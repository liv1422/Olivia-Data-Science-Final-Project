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ob1055_usnh_edu/Documents/Desktop/BIOL 806 Data Science/Biotoxin Data/"/>
    </mc:Choice>
  </mc:AlternateContent>
  <xr:revisionPtr revIDLastSave="24" documentId="8_{2DA585EA-3DF1-4F2A-B07D-C84F4B787D04}" xr6:coauthVersionLast="47" xr6:coauthVersionMax="47" xr10:uidLastSave="{6747252C-06B4-4605-BB65-DF1D0FC45D7A}"/>
  <bookViews>
    <workbookView xWindow="2730" yWindow="45" windowWidth="19320" windowHeight="15435" activeTab="1" xr2:uid="{4CA0F756-92FA-3C4A-9D1A-F87BBEF72024}"/>
  </bookViews>
  <sheets>
    <sheet name="Master" sheetId="1" r:id="rId1"/>
    <sheet name="Master Renamed" sheetId="4" r:id="rId2"/>
    <sheet name="Tagging key" sheetId="2" r:id="rId3"/>
    <sheet name="Feeding" sheetId="3" r:id="rId4"/>
  </sheets>
  <definedNames>
    <definedName name="_xlnm._FilterDatabase" localSheetId="0" hidden="1">Master!$A$1:$U$722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1" i="4" l="1"/>
  <c r="J721" i="4" s="1"/>
  <c r="F720" i="4"/>
  <c r="F719" i="4"/>
  <c r="I719" i="4" s="1"/>
  <c r="F718" i="4"/>
  <c r="I718" i="4" s="1"/>
  <c r="I717" i="4"/>
  <c r="H717" i="4"/>
  <c r="F717" i="4"/>
  <c r="J717" i="4" s="1"/>
  <c r="F716" i="4"/>
  <c r="I716" i="4" s="1"/>
  <c r="F715" i="4"/>
  <c r="J715" i="4" s="1"/>
  <c r="F714" i="4"/>
  <c r="F713" i="4"/>
  <c r="J713" i="4" s="1"/>
  <c r="I712" i="4"/>
  <c r="F712" i="4"/>
  <c r="F711" i="4"/>
  <c r="J711" i="4" s="1"/>
  <c r="F710" i="4"/>
  <c r="I710" i="4" s="1"/>
  <c r="F709" i="4"/>
  <c r="F708" i="4"/>
  <c r="I708" i="4" s="1"/>
  <c r="F707" i="4"/>
  <c r="I707" i="4" s="1"/>
  <c r="F706" i="4"/>
  <c r="J705" i="4"/>
  <c r="I705" i="4"/>
  <c r="F705" i="4"/>
  <c r="H705" i="4" s="1"/>
  <c r="I704" i="4"/>
  <c r="F704" i="4"/>
  <c r="J703" i="4"/>
  <c r="H703" i="4"/>
  <c r="F703" i="4"/>
  <c r="I703" i="4" s="1"/>
  <c r="F702" i="4"/>
  <c r="I702" i="4" s="1"/>
  <c r="F701" i="4"/>
  <c r="F700" i="4"/>
  <c r="I700" i="4" s="1"/>
  <c r="H699" i="4"/>
  <c r="F699" i="4"/>
  <c r="I699" i="4" s="1"/>
  <c r="F698" i="4"/>
  <c r="F697" i="4"/>
  <c r="J697" i="4" s="1"/>
  <c r="F696" i="4"/>
  <c r="I696" i="4" s="1"/>
  <c r="F695" i="4"/>
  <c r="J695" i="4" s="1"/>
  <c r="F694" i="4"/>
  <c r="I694" i="4" s="1"/>
  <c r="F693" i="4"/>
  <c r="I692" i="4"/>
  <c r="F692" i="4"/>
  <c r="F691" i="4"/>
  <c r="I691" i="4" s="1"/>
  <c r="F690" i="4"/>
  <c r="H689" i="4"/>
  <c r="F689" i="4"/>
  <c r="I689" i="4" s="1"/>
  <c r="F688" i="4"/>
  <c r="I688" i="4" s="1"/>
  <c r="F687" i="4"/>
  <c r="J687" i="4" s="1"/>
  <c r="F686" i="4"/>
  <c r="I686" i="4" s="1"/>
  <c r="F685" i="4"/>
  <c r="F684" i="4"/>
  <c r="I684" i="4" s="1"/>
  <c r="F683" i="4"/>
  <c r="I683" i="4" s="1"/>
  <c r="F682" i="4"/>
  <c r="F681" i="4"/>
  <c r="J681" i="4" s="1"/>
  <c r="F680" i="4"/>
  <c r="I680" i="4" s="1"/>
  <c r="J679" i="4"/>
  <c r="I679" i="4"/>
  <c r="H679" i="4"/>
  <c r="F679" i="4"/>
  <c r="F678" i="4"/>
  <c r="I678" i="4" s="1"/>
  <c r="F677" i="4"/>
  <c r="F676" i="4"/>
  <c r="I676" i="4" s="1"/>
  <c r="J675" i="4"/>
  <c r="F675" i="4"/>
  <c r="I675" i="4" s="1"/>
  <c r="F674" i="4"/>
  <c r="F673" i="4"/>
  <c r="J673" i="4" s="1"/>
  <c r="I672" i="4"/>
  <c r="F672" i="4"/>
  <c r="H671" i="4"/>
  <c r="F671" i="4"/>
  <c r="J671" i="4" s="1"/>
  <c r="F670" i="4"/>
  <c r="I670" i="4" s="1"/>
  <c r="F669" i="4"/>
  <c r="I668" i="4"/>
  <c r="F668" i="4"/>
  <c r="F667" i="4"/>
  <c r="I667" i="4" s="1"/>
  <c r="F666" i="4"/>
  <c r="F665" i="4"/>
  <c r="J665" i="4" s="1"/>
  <c r="F664" i="4"/>
  <c r="I664" i="4" s="1"/>
  <c r="F663" i="4"/>
  <c r="J663" i="4" s="1"/>
  <c r="I662" i="4"/>
  <c r="F662" i="4"/>
  <c r="F661" i="4"/>
  <c r="I660" i="4"/>
  <c r="F660" i="4"/>
  <c r="F659" i="4"/>
  <c r="I659" i="4" s="1"/>
  <c r="F658" i="4"/>
  <c r="F657" i="4"/>
  <c r="J657" i="4" s="1"/>
  <c r="F656" i="4"/>
  <c r="I656" i="4" s="1"/>
  <c r="F655" i="4"/>
  <c r="H655" i="4" s="1"/>
  <c r="I654" i="4"/>
  <c r="F654" i="4"/>
  <c r="J653" i="4"/>
  <c r="F653" i="4"/>
  <c r="F652" i="4"/>
  <c r="I652" i="4" s="1"/>
  <c r="F651" i="4"/>
  <c r="I651" i="4" s="1"/>
  <c r="F650" i="4"/>
  <c r="J649" i="4"/>
  <c r="F649" i="4"/>
  <c r="I649" i="4" s="1"/>
  <c r="F648" i="4"/>
  <c r="I648" i="4" s="1"/>
  <c r="F647" i="4"/>
  <c r="J647" i="4" s="1"/>
  <c r="I646" i="4"/>
  <c r="F646" i="4"/>
  <c r="F645" i="4"/>
  <c r="J645" i="4" s="1"/>
  <c r="F644" i="4"/>
  <c r="I644" i="4" s="1"/>
  <c r="F643" i="4"/>
  <c r="I643" i="4" s="1"/>
  <c r="F642" i="4"/>
  <c r="H641" i="4"/>
  <c r="F641" i="4"/>
  <c r="J641" i="4" s="1"/>
  <c r="F640" i="4"/>
  <c r="I640" i="4" s="1"/>
  <c r="F639" i="4"/>
  <c r="H639" i="4" s="1"/>
  <c r="F638" i="4"/>
  <c r="I638" i="4" s="1"/>
  <c r="J637" i="4"/>
  <c r="F637" i="4"/>
  <c r="I636" i="4"/>
  <c r="F636" i="4"/>
  <c r="F635" i="4"/>
  <c r="I635" i="4" s="1"/>
  <c r="F634" i="4"/>
  <c r="H633" i="4"/>
  <c r="F633" i="4"/>
  <c r="I633" i="4" s="1"/>
  <c r="F632" i="4"/>
  <c r="I632" i="4" s="1"/>
  <c r="F631" i="4"/>
  <c r="J631" i="4" s="1"/>
  <c r="F630" i="4"/>
  <c r="I630" i="4" s="1"/>
  <c r="F629" i="4"/>
  <c r="J629" i="4" s="1"/>
  <c r="F628" i="4"/>
  <c r="I628" i="4" s="1"/>
  <c r="F627" i="4"/>
  <c r="I627" i="4" s="1"/>
  <c r="F626" i="4"/>
  <c r="H625" i="4"/>
  <c r="F625" i="4"/>
  <c r="J625" i="4" s="1"/>
  <c r="I624" i="4"/>
  <c r="F624" i="4"/>
  <c r="J623" i="4"/>
  <c r="I623" i="4"/>
  <c r="F623" i="4"/>
  <c r="H623" i="4" s="1"/>
  <c r="F622" i="4"/>
  <c r="I622" i="4" s="1"/>
  <c r="F621" i="4"/>
  <c r="J621" i="4" s="1"/>
  <c r="I620" i="4"/>
  <c r="F620" i="4"/>
  <c r="F619" i="4"/>
  <c r="I619" i="4" s="1"/>
  <c r="F618" i="4"/>
  <c r="J617" i="4"/>
  <c r="H617" i="4"/>
  <c r="F617" i="4"/>
  <c r="I617" i="4" s="1"/>
  <c r="F616" i="4"/>
  <c r="I616" i="4" s="1"/>
  <c r="J615" i="4"/>
  <c r="I615" i="4"/>
  <c r="H615" i="4"/>
  <c r="F615" i="4"/>
  <c r="F614" i="4"/>
  <c r="I614" i="4" s="1"/>
  <c r="F613" i="4"/>
  <c r="J613" i="4" s="1"/>
  <c r="I612" i="4"/>
  <c r="F612" i="4"/>
  <c r="F611" i="4"/>
  <c r="I611" i="4" s="1"/>
  <c r="F610" i="4"/>
  <c r="F609" i="4"/>
  <c r="J609" i="4" s="1"/>
  <c r="I608" i="4"/>
  <c r="F608" i="4"/>
  <c r="J607" i="4"/>
  <c r="I607" i="4"/>
  <c r="F607" i="4"/>
  <c r="H607" i="4" s="1"/>
  <c r="I606" i="4"/>
  <c r="F606" i="4"/>
  <c r="F605" i="4"/>
  <c r="I605" i="4" s="1"/>
  <c r="F604" i="4"/>
  <c r="I604" i="4" s="1"/>
  <c r="F603" i="4"/>
  <c r="I603" i="4" s="1"/>
  <c r="I602" i="4"/>
  <c r="F602" i="4"/>
  <c r="J601" i="4"/>
  <c r="F601" i="4"/>
  <c r="I601" i="4" s="1"/>
  <c r="F600" i="4"/>
  <c r="I600" i="4" s="1"/>
  <c r="I599" i="4"/>
  <c r="H599" i="4"/>
  <c r="F599" i="4"/>
  <c r="J599" i="4" s="1"/>
  <c r="I598" i="4"/>
  <c r="F598" i="4"/>
  <c r="F597" i="4"/>
  <c r="I597" i="4" s="1"/>
  <c r="F596" i="4"/>
  <c r="I596" i="4" s="1"/>
  <c r="F595" i="4"/>
  <c r="I595" i="4" s="1"/>
  <c r="F594" i="4"/>
  <c r="I594" i="4" s="1"/>
  <c r="F593" i="4"/>
  <c r="J593" i="4" s="1"/>
  <c r="F592" i="4"/>
  <c r="I592" i="4" s="1"/>
  <c r="H591" i="4"/>
  <c r="F591" i="4"/>
  <c r="I591" i="4" s="1"/>
  <c r="F590" i="4"/>
  <c r="I590" i="4" s="1"/>
  <c r="F589" i="4"/>
  <c r="I589" i="4" s="1"/>
  <c r="F588" i="4"/>
  <c r="F587" i="4"/>
  <c r="I587" i="4" s="1"/>
  <c r="I586" i="4"/>
  <c r="F586" i="4"/>
  <c r="F585" i="4"/>
  <c r="J585" i="4" s="1"/>
  <c r="F584" i="4"/>
  <c r="I584" i="4" s="1"/>
  <c r="F583" i="4"/>
  <c r="J583" i="4" s="1"/>
  <c r="F582" i="4"/>
  <c r="I582" i="4" s="1"/>
  <c r="F581" i="4"/>
  <c r="I581" i="4" s="1"/>
  <c r="F580" i="4"/>
  <c r="F579" i="4"/>
  <c r="I579" i="4" s="1"/>
  <c r="F578" i="4"/>
  <c r="I578" i="4" s="1"/>
  <c r="I577" i="4"/>
  <c r="F577" i="4"/>
  <c r="J577" i="4" s="1"/>
  <c r="F576" i="4"/>
  <c r="I576" i="4" s="1"/>
  <c r="H575" i="4"/>
  <c r="F575" i="4"/>
  <c r="I575" i="4" s="1"/>
  <c r="F574" i="4"/>
  <c r="I574" i="4" s="1"/>
  <c r="F573" i="4"/>
  <c r="I573" i="4" s="1"/>
  <c r="F572" i="4"/>
  <c r="F571" i="4"/>
  <c r="I571" i="4" s="1"/>
  <c r="F570" i="4"/>
  <c r="I570" i="4" s="1"/>
  <c r="F569" i="4"/>
  <c r="J569" i="4" s="1"/>
  <c r="F568" i="4"/>
  <c r="I568" i="4" s="1"/>
  <c r="I567" i="4"/>
  <c r="H567" i="4"/>
  <c r="F567" i="4"/>
  <c r="J567" i="4" s="1"/>
  <c r="F566" i="4"/>
  <c r="I566" i="4" s="1"/>
  <c r="F565" i="4"/>
  <c r="I565" i="4" s="1"/>
  <c r="F564" i="4"/>
  <c r="I564" i="4" s="1"/>
  <c r="H563" i="4"/>
  <c r="F563" i="4"/>
  <c r="I563" i="4" s="1"/>
  <c r="F562" i="4"/>
  <c r="I562" i="4" s="1"/>
  <c r="F561" i="4"/>
  <c r="J561" i="4" s="1"/>
  <c r="F560" i="4"/>
  <c r="I560" i="4" s="1"/>
  <c r="F559" i="4"/>
  <c r="I559" i="4" s="1"/>
  <c r="F558" i="4"/>
  <c r="I558" i="4" s="1"/>
  <c r="F557" i="4"/>
  <c r="I557" i="4" s="1"/>
  <c r="F556" i="4"/>
  <c r="F555" i="4"/>
  <c r="I555" i="4" s="1"/>
  <c r="F554" i="4"/>
  <c r="I554" i="4" s="1"/>
  <c r="J553" i="4"/>
  <c r="H553" i="4"/>
  <c r="F553" i="4"/>
  <c r="I553" i="4" s="1"/>
  <c r="F552" i="4"/>
  <c r="I552" i="4" s="1"/>
  <c r="F551" i="4"/>
  <c r="J551" i="4" s="1"/>
  <c r="J550" i="4"/>
  <c r="H550" i="4"/>
  <c r="F550" i="4"/>
  <c r="I550" i="4" s="1"/>
  <c r="F549" i="4"/>
  <c r="J549" i="4" s="1"/>
  <c r="F548" i="4"/>
  <c r="I548" i="4" s="1"/>
  <c r="H547" i="4"/>
  <c r="F547" i="4"/>
  <c r="I547" i="4" s="1"/>
  <c r="F546" i="4"/>
  <c r="I546" i="4" s="1"/>
  <c r="F545" i="4"/>
  <c r="H545" i="4" s="1"/>
  <c r="H544" i="4"/>
  <c r="F544" i="4"/>
  <c r="I544" i="4" s="1"/>
  <c r="F543" i="4"/>
  <c r="J543" i="4" s="1"/>
  <c r="F542" i="4"/>
  <c r="I542" i="4" s="1"/>
  <c r="F541" i="4"/>
  <c r="J541" i="4" s="1"/>
  <c r="F540" i="4"/>
  <c r="I540" i="4" s="1"/>
  <c r="J539" i="4"/>
  <c r="H539" i="4"/>
  <c r="F539" i="4"/>
  <c r="I539" i="4" s="1"/>
  <c r="F538" i="4"/>
  <c r="I538" i="4" s="1"/>
  <c r="F537" i="4"/>
  <c r="J537" i="4" s="1"/>
  <c r="F536" i="4"/>
  <c r="I536" i="4" s="1"/>
  <c r="J535" i="4"/>
  <c r="I535" i="4"/>
  <c r="H535" i="4"/>
  <c r="F535" i="4"/>
  <c r="F534" i="4"/>
  <c r="I534" i="4" s="1"/>
  <c r="F533" i="4"/>
  <c r="J533" i="4" s="1"/>
  <c r="H532" i="4"/>
  <c r="F532" i="4"/>
  <c r="I532" i="4" s="1"/>
  <c r="F531" i="4"/>
  <c r="I531" i="4" s="1"/>
  <c r="F530" i="4"/>
  <c r="I530" i="4" s="1"/>
  <c r="I529" i="4"/>
  <c r="F529" i="4"/>
  <c r="H529" i="4" s="1"/>
  <c r="F528" i="4"/>
  <c r="I528" i="4" s="1"/>
  <c r="F527" i="4"/>
  <c r="J527" i="4" s="1"/>
  <c r="J526" i="4"/>
  <c r="F526" i="4"/>
  <c r="I526" i="4" s="1"/>
  <c r="F525" i="4"/>
  <c r="J525" i="4" s="1"/>
  <c r="H524" i="4"/>
  <c r="F524" i="4"/>
  <c r="I524" i="4" s="1"/>
  <c r="J523" i="4"/>
  <c r="F523" i="4"/>
  <c r="I523" i="4" s="1"/>
  <c r="H522" i="4"/>
  <c r="F522" i="4"/>
  <c r="I522" i="4" s="1"/>
  <c r="F521" i="4"/>
  <c r="J521" i="4" s="1"/>
  <c r="H520" i="4"/>
  <c r="F520" i="4"/>
  <c r="I520" i="4" s="1"/>
  <c r="H519" i="4"/>
  <c r="F519" i="4"/>
  <c r="J519" i="4" s="1"/>
  <c r="F518" i="4"/>
  <c r="I518" i="4" s="1"/>
  <c r="F517" i="4"/>
  <c r="J517" i="4" s="1"/>
  <c r="F516" i="4"/>
  <c r="I516" i="4" s="1"/>
  <c r="H515" i="4"/>
  <c r="F515" i="4"/>
  <c r="I515" i="4" s="1"/>
  <c r="J514" i="4"/>
  <c r="F514" i="4"/>
  <c r="I514" i="4" s="1"/>
  <c r="F513" i="4"/>
  <c r="H513" i="4" s="1"/>
  <c r="F512" i="4"/>
  <c r="I512" i="4" s="1"/>
  <c r="I511" i="4"/>
  <c r="F511" i="4"/>
  <c r="H511" i="4" s="1"/>
  <c r="F510" i="4"/>
  <c r="I510" i="4" s="1"/>
  <c r="F509" i="4"/>
  <c r="J509" i="4" s="1"/>
  <c r="F508" i="4"/>
  <c r="I508" i="4" s="1"/>
  <c r="F507" i="4"/>
  <c r="I507" i="4" s="1"/>
  <c r="F506" i="4"/>
  <c r="I506" i="4" s="1"/>
  <c r="F505" i="4"/>
  <c r="J505" i="4" s="1"/>
  <c r="F504" i="4"/>
  <c r="I504" i="4" s="1"/>
  <c r="F503" i="4"/>
  <c r="J503" i="4" s="1"/>
  <c r="F502" i="4"/>
  <c r="I502" i="4" s="1"/>
  <c r="F501" i="4"/>
  <c r="J501" i="4" s="1"/>
  <c r="J500" i="4"/>
  <c r="F500" i="4"/>
  <c r="I500" i="4" s="1"/>
  <c r="F499" i="4"/>
  <c r="I499" i="4" s="1"/>
  <c r="H498" i="4"/>
  <c r="F498" i="4"/>
  <c r="I498" i="4" s="1"/>
  <c r="I497" i="4"/>
  <c r="F497" i="4"/>
  <c r="H497" i="4" s="1"/>
  <c r="J496" i="4"/>
  <c r="H496" i="4"/>
  <c r="F496" i="4"/>
  <c r="I496" i="4" s="1"/>
  <c r="F495" i="4"/>
  <c r="J495" i="4" s="1"/>
  <c r="H494" i="4"/>
  <c r="F494" i="4"/>
  <c r="I494" i="4" s="1"/>
  <c r="F493" i="4"/>
  <c r="J493" i="4" s="1"/>
  <c r="F492" i="4"/>
  <c r="I492" i="4" s="1"/>
  <c r="F491" i="4"/>
  <c r="I491" i="4" s="1"/>
  <c r="J490" i="4"/>
  <c r="F490" i="4"/>
  <c r="I490" i="4" s="1"/>
  <c r="F489" i="4"/>
  <c r="J489" i="4" s="1"/>
  <c r="H488" i="4"/>
  <c r="F488" i="4"/>
  <c r="I488" i="4" s="1"/>
  <c r="F487" i="4"/>
  <c r="H487" i="4" s="1"/>
  <c r="F486" i="4"/>
  <c r="I486" i="4" s="1"/>
  <c r="F485" i="4"/>
  <c r="J485" i="4" s="1"/>
  <c r="H484" i="4"/>
  <c r="F484" i="4"/>
  <c r="I484" i="4" s="1"/>
  <c r="H483" i="4"/>
  <c r="F483" i="4"/>
  <c r="I483" i="4" s="1"/>
  <c r="F482" i="4"/>
  <c r="I482" i="4" s="1"/>
  <c r="F481" i="4"/>
  <c r="H481" i="4" s="1"/>
  <c r="F480" i="4"/>
  <c r="I480" i="4" s="1"/>
  <c r="J479" i="4"/>
  <c r="H479" i="4"/>
  <c r="F479" i="4"/>
  <c r="I479" i="4" s="1"/>
  <c r="F478" i="4"/>
  <c r="I478" i="4" s="1"/>
  <c r="F477" i="4"/>
  <c r="J477" i="4" s="1"/>
  <c r="F476" i="4"/>
  <c r="I476" i="4" s="1"/>
  <c r="F475" i="4"/>
  <c r="I475" i="4" s="1"/>
  <c r="F474" i="4"/>
  <c r="I474" i="4" s="1"/>
  <c r="F473" i="4"/>
  <c r="J473" i="4" s="1"/>
  <c r="H472" i="4"/>
  <c r="F472" i="4"/>
  <c r="I472" i="4" s="1"/>
  <c r="F471" i="4"/>
  <c r="J471" i="4" s="1"/>
  <c r="F470" i="4"/>
  <c r="I470" i="4" s="1"/>
  <c r="J469" i="4"/>
  <c r="I469" i="4"/>
  <c r="H469" i="4"/>
  <c r="J468" i="4"/>
  <c r="I468" i="4"/>
  <c r="H468" i="4"/>
  <c r="J467" i="4"/>
  <c r="I467" i="4"/>
  <c r="H467" i="4"/>
  <c r="J466" i="4"/>
  <c r="I466" i="4"/>
  <c r="H466" i="4"/>
  <c r="J465" i="4"/>
  <c r="I465" i="4"/>
  <c r="H465" i="4"/>
  <c r="J464" i="4"/>
  <c r="I464" i="4"/>
  <c r="H464" i="4"/>
  <c r="J463" i="4"/>
  <c r="I463" i="4"/>
  <c r="H463" i="4"/>
  <c r="J462" i="4"/>
  <c r="I462" i="4"/>
  <c r="H462" i="4"/>
  <c r="J461" i="4"/>
  <c r="I461" i="4"/>
  <c r="H461" i="4"/>
  <c r="J460" i="4"/>
  <c r="I460" i="4"/>
  <c r="H460" i="4"/>
  <c r="J459" i="4"/>
  <c r="I459" i="4"/>
  <c r="H459" i="4"/>
  <c r="J458" i="4"/>
  <c r="I458" i="4"/>
  <c r="H458" i="4"/>
  <c r="F457" i="4"/>
  <c r="I457" i="4" s="1"/>
  <c r="F456" i="4"/>
  <c r="I456" i="4" s="1"/>
  <c r="F455" i="4"/>
  <c r="I455" i="4" s="1"/>
  <c r="F454" i="4"/>
  <c r="H454" i="4" s="1"/>
  <c r="F453" i="4"/>
  <c r="I453" i="4" s="1"/>
  <c r="F452" i="4"/>
  <c r="J452" i="4" s="1"/>
  <c r="J451" i="4"/>
  <c r="H451" i="4"/>
  <c r="F451" i="4"/>
  <c r="I451" i="4" s="1"/>
  <c r="F450" i="4"/>
  <c r="J450" i="4" s="1"/>
  <c r="F449" i="4"/>
  <c r="I449" i="4" s="1"/>
  <c r="H448" i="4"/>
  <c r="F448" i="4"/>
  <c r="I448" i="4" s="1"/>
  <c r="F447" i="4"/>
  <c r="I447" i="4" s="1"/>
  <c r="F446" i="4"/>
  <c r="J446" i="4" s="1"/>
  <c r="J445" i="4"/>
  <c r="I445" i="4"/>
  <c r="H445" i="4"/>
  <c r="J444" i="4"/>
  <c r="I444" i="4"/>
  <c r="H444" i="4"/>
  <c r="J443" i="4"/>
  <c r="I443" i="4"/>
  <c r="H443" i="4"/>
  <c r="J442" i="4"/>
  <c r="I442" i="4"/>
  <c r="H442" i="4"/>
  <c r="J441" i="4"/>
  <c r="I441" i="4"/>
  <c r="H441" i="4"/>
  <c r="J440" i="4"/>
  <c r="I440" i="4"/>
  <c r="H440" i="4"/>
  <c r="J439" i="4"/>
  <c r="I439" i="4"/>
  <c r="H439" i="4"/>
  <c r="J438" i="4"/>
  <c r="I438" i="4"/>
  <c r="H438" i="4"/>
  <c r="J437" i="4"/>
  <c r="I437" i="4"/>
  <c r="H437" i="4"/>
  <c r="J436" i="4"/>
  <c r="I436" i="4"/>
  <c r="H436" i="4"/>
  <c r="J435" i="4"/>
  <c r="I435" i="4"/>
  <c r="H435" i="4"/>
  <c r="J434" i="4"/>
  <c r="I434" i="4"/>
  <c r="H434" i="4"/>
  <c r="F433" i="4"/>
  <c r="J433" i="4" s="1"/>
  <c r="F432" i="4"/>
  <c r="I432" i="4" s="1"/>
  <c r="J431" i="4"/>
  <c r="H431" i="4"/>
  <c r="F431" i="4"/>
  <c r="I431" i="4" s="1"/>
  <c r="F430" i="4"/>
  <c r="I430" i="4" s="1"/>
  <c r="F429" i="4"/>
  <c r="J429" i="4" s="1"/>
  <c r="F428" i="4"/>
  <c r="I428" i="4" s="1"/>
  <c r="F427" i="4"/>
  <c r="I427" i="4" s="1"/>
  <c r="F426" i="4"/>
  <c r="I426" i="4" s="1"/>
  <c r="F425" i="4"/>
  <c r="H425" i="4" s="1"/>
  <c r="F424" i="4"/>
  <c r="I424" i="4" s="1"/>
  <c r="F423" i="4"/>
  <c r="J423" i="4" s="1"/>
  <c r="J422" i="4"/>
  <c r="H422" i="4"/>
  <c r="F422" i="4"/>
  <c r="I422" i="4" s="1"/>
  <c r="J421" i="4"/>
  <c r="I421" i="4"/>
  <c r="H421" i="4"/>
  <c r="J420" i="4"/>
  <c r="I420" i="4"/>
  <c r="H420" i="4"/>
  <c r="J419" i="4"/>
  <c r="I419" i="4"/>
  <c r="H419" i="4"/>
  <c r="J418" i="4"/>
  <c r="I418" i="4"/>
  <c r="H418" i="4"/>
  <c r="J417" i="4"/>
  <c r="I417" i="4"/>
  <c r="H417" i="4"/>
  <c r="J416" i="4"/>
  <c r="I416" i="4"/>
  <c r="H416" i="4"/>
  <c r="J415" i="4"/>
  <c r="I415" i="4"/>
  <c r="H415" i="4"/>
  <c r="J414" i="4"/>
  <c r="I414" i="4"/>
  <c r="H414" i="4"/>
  <c r="J413" i="4"/>
  <c r="I413" i="4"/>
  <c r="H413" i="4"/>
  <c r="J412" i="4"/>
  <c r="I412" i="4"/>
  <c r="H412" i="4"/>
  <c r="J411" i="4"/>
  <c r="I411" i="4"/>
  <c r="H411" i="4"/>
  <c r="J410" i="4"/>
  <c r="I410" i="4"/>
  <c r="H410" i="4"/>
  <c r="J409" i="4"/>
  <c r="I409" i="4"/>
  <c r="H409" i="4"/>
  <c r="J408" i="4"/>
  <c r="I408" i="4"/>
  <c r="H408" i="4"/>
  <c r="J407" i="4"/>
  <c r="I407" i="4"/>
  <c r="H407" i="4"/>
  <c r="J406" i="4"/>
  <c r="I406" i="4"/>
  <c r="H406" i="4"/>
  <c r="J405" i="4"/>
  <c r="I405" i="4"/>
  <c r="H405" i="4"/>
  <c r="J404" i="4"/>
  <c r="I404" i="4"/>
  <c r="H404" i="4"/>
  <c r="J403" i="4"/>
  <c r="I403" i="4"/>
  <c r="H403" i="4"/>
  <c r="J402" i="4"/>
  <c r="I402" i="4"/>
  <c r="H402" i="4"/>
  <c r="J401" i="4"/>
  <c r="I401" i="4"/>
  <c r="H401" i="4"/>
  <c r="J400" i="4"/>
  <c r="I400" i="4"/>
  <c r="H400" i="4"/>
  <c r="J399" i="4"/>
  <c r="I399" i="4"/>
  <c r="H399" i="4"/>
  <c r="J398" i="4"/>
  <c r="I398" i="4"/>
  <c r="H398" i="4"/>
  <c r="J397" i="4"/>
  <c r="I397" i="4"/>
  <c r="H397" i="4"/>
  <c r="J396" i="4"/>
  <c r="I396" i="4"/>
  <c r="H396" i="4"/>
  <c r="J395" i="4"/>
  <c r="I395" i="4"/>
  <c r="H395" i="4"/>
  <c r="J394" i="4"/>
  <c r="I394" i="4"/>
  <c r="H394" i="4"/>
  <c r="J393" i="4"/>
  <c r="I393" i="4"/>
  <c r="H393" i="4"/>
  <c r="J392" i="4"/>
  <c r="I392" i="4"/>
  <c r="H392" i="4"/>
  <c r="J391" i="4"/>
  <c r="I391" i="4"/>
  <c r="H391" i="4"/>
  <c r="J390" i="4"/>
  <c r="I390" i="4"/>
  <c r="H390" i="4"/>
  <c r="J389" i="4"/>
  <c r="I389" i="4"/>
  <c r="H389" i="4"/>
  <c r="J388" i="4"/>
  <c r="I388" i="4"/>
  <c r="H388" i="4"/>
  <c r="J387" i="4"/>
  <c r="I387" i="4"/>
  <c r="H387" i="4"/>
  <c r="J386" i="4"/>
  <c r="I386" i="4"/>
  <c r="H386" i="4"/>
  <c r="J385" i="4"/>
  <c r="I385" i="4"/>
  <c r="H385" i="4"/>
  <c r="J384" i="4"/>
  <c r="I384" i="4"/>
  <c r="H384" i="4"/>
  <c r="J383" i="4"/>
  <c r="I383" i="4"/>
  <c r="H383" i="4"/>
  <c r="J382" i="4"/>
  <c r="I382" i="4"/>
  <c r="H382" i="4"/>
  <c r="J381" i="4"/>
  <c r="I381" i="4"/>
  <c r="H381" i="4"/>
  <c r="J380" i="4"/>
  <c r="I380" i="4"/>
  <c r="H380" i="4"/>
  <c r="J379" i="4"/>
  <c r="I379" i="4"/>
  <c r="H379" i="4"/>
  <c r="J378" i="4"/>
  <c r="I378" i="4"/>
  <c r="H378" i="4"/>
  <c r="J377" i="4"/>
  <c r="I377" i="4"/>
  <c r="H377" i="4"/>
  <c r="J376" i="4"/>
  <c r="I376" i="4"/>
  <c r="H376" i="4"/>
  <c r="J375" i="4"/>
  <c r="I375" i="4"/>
  <c r="H375" i="4"/>
  <c r="J374" i="4"/>
  <c r="I374" i="4"/>
  <c r="H374" i="4"/>
  <c r="F373" i="4"/>
  <c r="J373" i="4" s="1"/>
  <c r="F372" i="4"/>
  <c r="I372" i="4" s="1"/>
  <c r="F371" i="4"/>
  <c r="I371" i="4" s="1"/>
  <c r="F370" i="4"/>
  <c r="I370" i="4" s="1"/>
  <c r="F369" i="4"/>
  <c r="J369" i="4" s="1"/>
  <c r="H368" i="4"/>
  <c r="F368" i="4"/>
  <c r="I368" i="4" s="1"/>
  <c r="F367" i="4"/>
  <c r="I367" i="4" s="1"/>
  <c r="F366" i="4"/>
  <c r="I366" i="4" s="1"/>
  <c r="F365" i="4"/>
  <c r="J365" i="4" s="1"/>
  <c r="F364" i="4"/>
  <c r="J364" i="4" s="1"/>
  <c r="F363" i="4"/>
  <c r="J363" i="4" s="1"/>
  <c r="F362" i="4"/>
  <c r="J362" i="4" s="1"/>
  <c r="F361" i="4"/>
  <c r="J361" i="4" s="1"/>
  <c r="F360" i="4"/>
  <c r="J360" i="4" s="1"/>
  <c r="F359" i="4"/>
  <c r="J359" i="4" s="1"/>
  <c r="F358" i="4"/>
  <c r="J358" i="4" s="1"/>
  <c r="F357" i="4"/>
  <c r="J357" i="4" s="1"/>
  <c r="F356" i="4"/>
  <c r="J356" i="4" s="1"/>
  <c r="F355" i="4"/>
  <c r="J355" i="4" s="1"/>
  <c r="F354" i="4"/>
  <c r="J354" i="4" s="1"/>
  <c r="F353" i="4"/>
  <c r="J353" i="4" s="1"/>
  <c r="F352" i="4"/>
  <c r="J352" i="4" s="1"/>
  <c r="F351" i="4"/>
  <c r="J351" i="4" s="1"/>
  <c r="F350" i="4"/>
  <c r="J350" i="4" s="1"/>
  <c r="J349" i="4"/>
  <c r="I349" i="4"/>
  <c r="H349" i="4"/>
  <c r="J348" i="4"/>
  <c r="I348" i="4"/>
  <c r="H348" i="4"/>
  <c r="J347" i="4"/>
  <c r="I347" i="4"/>
  <c r="H347" i="4"/>
  <c r="J346" i="4"/>
  <c r="I346" i="4"/>
  <c r="H346" i="4"/>
  <c r="J345" i="4"/>
  <c r="I345" i="4"/>
  <c r="H345" i="4"/>
  <c r="J344" i="4"/>
  <c r="I344" i="4"/>
  <c r="H344" i="4"/>
  <c r="J343" i="4"/>
  <c r="I343" i="4"/>
  <c r="H343" i="4"/>
  <c r="J342" i="4"/>
  <c r="I342" i="4"/>
  <c r="H342" i="4"/>
  <c r="J341" i="4"/>
  <c r="I341" i="4"/>
  <c r="H341" i="4"/>
  <c r="J340" i="4"/>
  <c r="I340" i="4"/>
  <c r="H340" i="4"/>
  <c r="J339" i="4"/>
  <c r="I339" i="4"/>
  <c r="H339" i="4"/>
  <c r="J338" i="4"/>
  <c r="I338" i="4"/>
  <c r="H338" i="4"/>
  <c r="J337" i="4"/>
  <c r="I337" i="4"/>
  <c r="H337" i="4"/>
  <c r="J336" i="4"/>
  <c r="I336" i="4"/>
  <c r="H336" i="4"/>
  <c r="J335" i="4"/>
  <c r="I335" i="4"/>
  <c r="H335" i="4"/>
  <c r="J334" i="4"/>
  <c r="I334" i="4"/>
  <c r="H334" i="4"/>
  <c r="J333" i="4"/>
  <c r="I333" i="4"/>
  <c r="H333" i="4"/>
  <c r="J332" i="4"/>
  <c r="I332" i="4"/>
  <c r="H332" i="4"/>
  <c r="J331" i="4"/>
  <c r="I331" i="4"/>
  <c r="H331" i="4"/>
  <c r="J330" i="4"/>
  <c r="I330" i="4"/>
  <c r="H330" i="4"/>
  <c r="J329" i="4"/>
  <c r="I329" i="4"/>
  <c r="H329" i="4"/>
  <c r="J328" i="4"/>
  <c r="I328" i="4"/>
  <c r="H328" i="4"/>
  <c r="J327" i="4"/>
  <c r="I327" i="4"/>
  <c r="H327" i="4"/>
  <c r="J326" i="4"/>
  <c r="I326" i="4"/>
  <c r="H326" i="4"/>
  <c r="J325" i="4"/>
  <c r="I325" i="4"/>
  <c r="H325" i="4"/>
  <c r="J324" i="4"/>
  <c r="I324" i="4"/>
  <c r="H324" i="4"/>
  <c r="J323" i="4"/>
  <c r="I323" i="4"/>
  <c r="H323" i="4"/>
  <c r="J322" i="4"/>
  <c r="I322" i="4"/>
  <c r="H322" i="4"/>
  <c r="J321" i="4"/>
  <c r="I321" i="4"/>
  <c r="H321" i="4"/>
  <c r="J320" i="4"/>
  <c r="I320" i="4"/>
  <c r="H320" i="4"/>
  <c r="J319" i="4"/>
  <c r="I319" i="4"/>
  <c r="H319" i="4"/>
  <c r="J318" i="4"/>
  <c r="I318" i="4"/>
  <c r="H318" i="4"/>
  <c r="J317" i="4"/>
  <c r="I317" i="4"/>
  <c r="H317" i="4"/>
  <c r="J316" i="4"/>
  <c r="I316" i="4"/>
  <c r="H316" i="4"/>
  <c r="J315" i="4"/>
  <c r="I315" i="4"/>
  <c r="H315" i="4"/>
  <c r="J314" i="4"/>
  <c r="I314" i="4"/>
  <c r="H314" i="4"/>
  <c r="J313" i="4"/>
  <c r="I313" i="4"/>
  <c r="H313" i="4"/>
  <c r="J312" i="4"/>
  <c r="I312" i="4"/>
  <c r="H312" i="4"/>
  <c r="J311" i="4"/>
  <c r="I311" i="4"/>
  <c r="H311" i="4"/>
  <c r="J310" i="4"/>
  <c r="I310" i="4"/>
  <c r="H310" i="4"/>
  <c r="J309" i="4"/>
  <c r="I309" i="4"/>
  <c r="H309" i="4"/>
  <c r="J308" i="4"/>
  <c r="I308" i="4"/>
  <c r="H308" i="4"/>
  <c r="J307" i="4"/>
  <c r="I307" i="4"/>
  <c r="H307" i="4"/>
  <c r="J306" i="4"/>
  <c r="I306" i="4"/>
  <c r="H306" i="4"/>
  <c r="J305" i="4"/>
  <c r="I305" i="4"/>
  <c r="H305" i="4"/>
  <c r="J304" i="4"/>
  <c r="I304" i="4"/>
  <c r="H304" i="4"/>
  <c r="J303" i="4"/>
  <c r="I303" i="4"/>
  <c r="H303" i="4"/>
  <c r="J302" i="4"/>
  <c r="I302" i="4"/>
  <c r="H302" i="4"/>
  <c r="F301" i="4"/>
  <c r="J301" i="4" s="1"/>
  <c r="F300" i="4"/>
  <c r="J300" i="4" s="1"/>
  <c r="F299" i="4"/>
  <c r="I299" i="4" s="1"/>
  <c r="H298" i="4"/>
  <c r="F298" i="4"/>
  <c r="I298" i="4" s="1"/>
  <c r="F297" i="4"/>
  <c r="I297" i="4" s="1"/>
  <c r="F296" i="4"/>
  <c r="I296" i="4" s="1"/>
  <c r="J295" i="4"/>
  <c r="F295" i="4"/>
  <c r="I295" i="4" s="1"/>
  <c r="F294" i="4"/>
  <c r="I294" i="4" s="1"/>
  <c r="F293" i="4"/>
  <c r="I293" i="4" s="1"/>
  <c r="F292" i="4"/>
  <c r="F291" i="4"/>
  <c r="I291" i="4" s="1"/>
  <c r="F290" i="4"/>
  <c r="I290" i="4" s="1"/>
  <c r="J289" i="4"/>
  <c r="I289" i="4"/>
  <c r="H289" i="4"/>
  <c r="J288" i="4"/>
  <c r="I288" i="4"/>
  <c r="H288" i="4"/>
  <c r="J287" i="4"/>
  <c r="I287" i="4"/>
  <c r="H287" i="4"/>
  <c r="J286" i="4"/>
  <c r="I286" i="4"/>
  <c r="H286" i="4"/>
  <c r="J285" i="4"/>
  <c r="I285" i="4"/>
  <c r="H285" i="4"/>
  <c r="J284" i="4"/>
  <c r="I284" i="4"/>
  <c r="H284" i="4"/>
  <c r="J283" i="4"/>
  <c r="I283" i="4"/>
  <c r="H283" i="4"/>
  <c r="J282" i="4"/>
  <c r="I282" i="4"/>
  <c r="H282" i="4"/>
  <c r="J281" i="4"/>
  <c r="I281" i="4"/>
  <c r="H281" i="4"/>
  <c r="J280" i="4"/>
  <c r="I280" i="4"/>
  <c r="H280" i="4"/>
  <c r="J279" i="4"/>
  <c r="I279" i="4"/>
  <c r="H279" i="4"/>
  <c r="J278" i="4"/>
  <c r="I278" i="4"/>
  <c r="H278" i="4"/>
  <c r="F277" i="4"/>
  <c r="I277" i="4" s="1"/>
  <c r="F276" i="4"/>
  <c r="I276" i="4" s="1"/>
  <c r="F275" i="4"/>
  <c r="I275" i="4" s="1"/>
  <c r="F274" i="4"/>
  <c r="I274" i="4" s="1"/>
  <c r="F273" i="4"/>
  <c r="I273" i="4" s="1"/>
  <c r="F272" i="4"/>
  <c r="F271" i="4"/>
  <c r="I271" i="4" s="1"/>
  <c r="F270" i="4"/>
  <c r="I270" i="4" s="1"/>
  <c r="F269" i="4"/>
  <c r="F268" i="4"/>
  <c r="I268" i="4" s="1"/>
  <c r="F267" i="4"/>
  <c r="I267" i="4" s="1"/>
  <c r="F266" i="4"/>
  <c r="J265" i="4"/>
  <c r="I265" i="4"/>
  <c r="H265" i="4"/>
  <c r="J264" i="4"/>
  <c r="I264" i="4"/>
  <c r="H264" i="4"/>
  <c r="J263" i="4"/>
  <c r="I263" i="4"/>
  <c r="H263" i="4"/>
  <c r="J262" i="4"/>
  <c r="I262" i="4"/>
  <c r="H262" i="4"/>
  <c r="J261" i="4"/>
  <c r="I261" i="4"/>
  <c r="H261" i="4"/>
  <c r="J260" i="4"/>
  <c r="I260" i="4"/>
  <c r="H260" i="4"/>
  <c r="J259" i="4"/>
  <c r="I259" i="4"/>
  <c r="H259" i="4"/>
  <c r="J258" i="4"/>
  <c r="I258" i="4"/>
  <c r="H258" i="4"/>
  <c r="J257" i="4"/>
  <c r="I257" i="4"/>
  <c r="H257" i="4"/>
  <c r="J256" i="4"/>
  <c r="I256" i="4"/>
  <c r="H256" i="4"/>
  <c r="J255" i="4"/>
  <c r="I255" i="4"/>
  <c r="H255" i="4"/>
  <c r="J254" i="4"/>
  <c r="I254" i="4"/>
  <c r="H254" i="4"/>
  <c r="J253" i="4"/>
  <c r="I253" i="4"/>
  <c r="H253" i="4"/>
  <c r="J252" i="4"/>
  <c r="I252" i="4"/>
  <c r="H252" i="4"/>
  <c r="J251" i="4"/>
  <c r="I251" i="4"/>
  <c r="H251" i="4"/>
  <c r="J250" i="4"/>
  <c r="I250" i="4"/>
  <c r="H250" i="4"/>
  <c r="J249" i="4"/>
  <c r="I249" i="4"/>
  <c r="H249" i="4"/>
  <c r="J248" i="4"/>
  <c r="I248" i="4"/>
  <c r="H248" i="4"/>
  <c r="J247" i="4"/>
  <c r="I247" i="4"/>
  <c r="H247" i="4"/>
  <c r="J246" i="4"/>
  <c r="I246" i="4"/>
  <c r="H246" i="4"/>
  <c r="J245" i="4"/>
  <c r="I245" i="4"/>
  <c r="H245" i="4"/>
  <c r="J244" i="4"/>
  <c r="I244" i="4"/>
  <c r="H244" i="4"/>
  <c r="J243" i="4"/>
  <c r="I243" i="4"/>
  <c r="H243" i="4"/>
  <c r="J242" i="4"/>
  <c r="I242" i="4"/>
  <c r="H242" i="4"/>
  <c r="J241" i="4"/>
  <c r="I241" i="4"/>
  <c r="H241" i="4"/>
  <c r="J240" i="4"/>
  <c r="I240" i="4"/>
  <c r="H240" i="4"/>
  <c r="J239" i="4"/>
  <c r="I239" i="4"/>
  <c r="H239" i="4"/>
  <c r="J238" i="4"/>
  <c r="I238" i="4"/>
  <c r="H238" i="4"/>
  <c r="J237" i="4"/>
  <c r="I237" i="4"/>
  <c r="H237" i="4"/>
  <c r="J236" i="4"/>
  <c r="I236" i="4"/>
  <c r="H236" i="4"/>
  <c r="J235" i="4"/>
  <c r="I235" i="4"/>
  <c r="H235" i="4"/>
  <c r="J234" i="4"/>
  <c r="I234" i="4"/>
  <c r="H234" i="4"/>
  <c r="J233" i="4"/>
  <c r="I233" i="4"/>
  <c r="H233" i="4"/>
  <c r="J232" i="4"/>
  <c r="I232" i="4"/>
  <c r="H232" i="4"/>
  <c r="J231" i="4"/>
  <c r="I231" i="4"/>
  <c r="H231" i="4"/>
  <c r="J230" i="4"/>
  <c r="I230" i="4"/>
  <c r="H230" i="4"/>
  <c r="J229" i="4"/>
  <c r="I229" i="4"/>
  <c r="H229" i="4"/>
  <c r="J228" i="4"/>
  <c r="I228" i="4"/>
  <c r="H228" i="4"/>
  <c r="J227" i="4"/>
  <c r="I227" i="4"/>
  <c r="H227" i="4"/>
  <c r="J226" i="4"/>
  <c r="I226" i="4"/>
  <c r="H226" i="4"/>
  <c r="J225" i="4"/>
  <c r="I225" i="4"/>
  <c r="H225" i="4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F447" i="1"/>
  <c r="H64" i="1"/>
  <c r="F297" i="1"/>
  <c r="I297" i="1" s="1"/>
  <c r="F632" i="1"/>
  <c r="F480" i="1"/>
  <c r="F481" i="1"/>
  <c r="I481" i="1" s="1"/>
  <c r="F482" i="1"/>
  <c r="H482" i="1" s="1"/>
  <c r="F483" i="1"/>
  <c r="H483" i="1" s="1"/>
  <c r="F484" i="1"/>
  <c r="J484" i="1"/>
  <c r="F485" i="1"/>
  <c r="H485" i="1" s="1"/>
  <c r="F486" i="1"/>
  <c r="J486" i="1" s="1"/>
  <c r="F487" i="1"/>
  <c r="H487" i="1" s="1"/>
  <c r="F488" i="1"/>
  <c r="I488" i="1" s="1"/>
  <c r="F489" i="1"/>
  <c r="J489" i="1" s="1"/>
  <c r="F490" i="1"/>
  <c r="F491" i="1"/>
  <c r="H491" i="1" s="1"/>
  <c r="F492" i="1"/>
  <c r="F493" i="1"/>
  <c r="F494" i="1"/>
  <c r="I494" i="1"/>
  <c r="F495" i="1"/>
  <c r="H495" i="1" s="1"/>
  <c r="F496" i="1"/>
  <c r="J496" i="1" s="1"/>
  <c r="F497" i="1"/>
  <c r="H497" i="1" s="1"/>
  <c r="F498" i="1"/>
  <c r="H498" i="1" s="1"/>
  <c r="F499" i="1"/>
  <c r="J499" i="1" s="1"/>
  <c r="F500" i="1"/>
  <c r="F501" i="1"/>
  <c r="H501" i="1" s="1"/>
  <c r="F502" i="1"/>
  <c r="F503" i="1"/>
  <c r="I503" i="1" s="1"/>
  <c r="F504" i="1"/>
  <c r="I504" i="1" s="1"/>
  <c r="F505" i="1"/>
  <c r="I505" i="1" s="1"/>
  <c r="F506" i="1"/>
  <c r="H506" i="1" s="1"/>
  <c r="F507" i="1"/>
  <c r="J507" i="1" s="1"/>
  <c r="F508" i="1"/>
  <c r="J508" i="1" s="1"/>
  <c r="F509" i="1"/>
  <c r="J509" i="1" s="1"/>
  <c r="F510" i="1"/>
  <c r="H510" i="1" s="1"/>
  <c r="F511" i="1"/>
  <c r="H511" i="1" s="1"/>
  <c r="F512" i="1"/>
  <c r="F513" i="1"/>
  <c r="F514" i="1"/>
  <c r="I514" i="1" s="1"/>
  <c r="F515" i="1"/>
  <c r="H515" i="1" s="1"/>
  <c r="F516" i="1"/>
  <c r="H516" i="1" s="1"/>
  <c r="F517" i="1"/>
  <c r="H517" i="1" s="1"/>
  <c r="F518" i="1"/>
  <c r="H518" i="1" s="1"/>
  <c r="F519" i="1"/>
  <c r="I519" i="1" s="1"/>
  <c r="F520" i="1"/>
  <c r="F521" i="1"/>
  <c r="H521" i="1" s="1"/>
  <c r="F522" i="1"/>
  <c r="F523" i="1"/>
  <c r="J523" i="1" s="1"/>
  <c r="F524" i="1"/>
  <c r="I524" i="1" s="1"/>
  <c r="F525" i="1"/>
  <c r="J525" i="1" s="1"/>
  <c r="F526" i="1"/>
  <c r="I526" i="1" s="1"/>
  <c r="F527" i="1"/>
  <c r="J527" i="1" s="1"/>
  <c r="F528" i="1"/>
  <c r="H528" i="1" s="1"/>
  <c r="F529" i="1"/>
  <c r="J529" i="1" s="1"/>
  <c r="F530" i="1"/>
  <c r="I530" i="1" s="1"/>
  <c r="F531" i="1"/>
  <c r="F532" i="1"/>
  <c r="J532" i="1" s="1"/>
  <c r="F533" i="1"/>
  <c r="J533" i="1" s="1"/>
  <c r="F534" i="1"/>
  <c r="I534" i="1" s="1"/>
  <c r="F535" i="1"/>
  <c r="J535" i="1" s="1"/>
  <c r="F536" i="1"/>
  <c r="I536" i="1" s="1"/>
  <c r="F537" i="1"/>
  <c r="J537" i="1" s="1"/>
  <c r="F538" i="1"/>
  <c r="J538" i="1" s="1"/>
  <c r="F539" i="1"/>
  <c r="J539" i="1" s="1"/>
  <c r="F540" i="1"/>
  <c r="H540" i="1" s="1"/>
  <c r="F541" i="1"/>
  <c r="J541" i="1" s="1"/>
  <c r="F542" i="1"/>
  <c r="J542" i="1" s="1"/>
  <c r="F543" i="1"/>
  <c r="H543" i="1" s="1"/>
  <c r="F544" i="1"/>
  <c r="I544" i="1" s="1"/>
  <c r="F545" i="1"/>
  <c r="H545" i="1" s="1"/>
  <c r="F546" i="1"/>
  <c r="H546" i="1" s="1"/>
  <c r="F547" i="1"/>
  <c r="I547" i="1" s="1"/>
  <c r="F548" i="1"/>
  <c r="I548" i="1" s="1"/>
  <c r="F549" i="1"/>
  <c r="H549" i="1" s="1"/>
  <c r="F550" i="1"/>
  <c r="F551" i="1"/>
  <c r="F552" i="1"/>
  <c r="I552" i="1" s="1"/>
  <c r="F553" i="1"/>
  <c r="I553" i="1" s="1"/>
  <c r="F554" i="1"/>
  <c r="I554" i="1" s="1"/>
  <c r="F555" i="1"/>
  <c r="I555" i="1" s="1"/>
  <c r="F556" i="1"/>
  <c r="H556" i="1" s="1"/>
  <c r="F557" i="1"/>
  <c r="H557" i="1" s="1"/>
  <c r="F558" i="1"/>
  <c r="I558" i="1" s="1"/>
  <c r="F559" i="1"/>
  <c r="H559" i="1" s="1"/>
  <c r="F560" i="1"/>
  <c r="J560" i="1" s="1"/>
  <c r="F561" i="1"/>
  <c r="I561" i="1"/>
  <c r="F562" i="1"/>
  <c r="I562" i="1" s="1"/>
  <c r="F563" i="1"/>
  <c r="J563" i="1" s="1"/>
  <c r="F564" i="1"/>
  <c r="I564" i="1"/>
  <c r="F565" i="1"/>
  <c r="J565" i="1" s="1"/>
  <c r="F566" i="1"/>
  <c r="H566" i="1" s="1"/>
  <c r="F567" i="1"/>
  <c r="H567" i="1" s="1"/>
  <c r="F568" i="1"/>
  <c r="I568" i="1" s="1"/>
  <c r="J568" i="1"/>
  <c r="F569" i="1"/>
  <c r="J569" i="1" s="1"/>
  <c r="F570" i="1"/>
  <c r="F571" i="1"/>
  <c r="J571" i="1" s="1"/>
  <c r="F572" i="1"/>
  <c r="H572" i="1" s="1"/>
  <c r="F573" i="1"/>
  <c r="I573" i="1"/>
  <c r="F574" i="1"/>
  <c r="I574" i="1" s="1"/>
  <c r="F575" i="1"/>
  <c r="J575" i="1" s="1"/>
  <c r="F576" i="1"/>
  <c r="J576" i="1" s="1"/>
  <c r="F577" i="1"/>
  <c r="I577" i="1" s="1"/>
  <c r="F578" i="1"/>
  <c r="J578" i="1" s="1"/>
  <c r="F579" i="1"/>
  <c r="J579" i="1" s="1"/>
  <c r="F580" i="1"/>
  <c r="H580" i="1" s="1"/>
  <c r="F581" i="1"/>
  <c r="J581" i="1" s="1"/>
  <c r="F582" i="1"/>
  <c r="I582" i="1" s="1"/>
  <c r="F583" i="1"/>
  <c r="F584" i="1"/>
  <c r="I584" i="1" s="1"/>
  <c r="F585" i="1"/>
  <c r="J585" i="1" s="1"/>
  <c r="F586" i="1"/>
  <c r="H586" i="1" s="1"/>
  <c r="F587" i="1"/>
  <c r="I587" i="1" s="1"/>
  <c r="F588" i="1"/>
  <c r="H588" i="1" s="1"/>
  <c r="F589" i="1"/>
  <c r="J589" i="1" s="1"/>
  <c r="F590" i="1"/>
  <c r="H590" i="1" s="1"/>
  <c r="F591" i="1"/>
  <c r="J591" i="1" s="1"/>
  <c r="F592" i="1"/>
  <c r="J592" i="1" s="1"/>
  <c r="F593" i="1"/>
  <c r="F594" i="1"/>
  <c r="I594" i="1"/>
  <c r="F595" i="1"/>
  <c r="J595" i="1" s="1"/>
  <c r="F596" i="1"/>
  <c r="H596" i="1" s="1"/>
  <c r="F597" i="1"/>
  <c r="H597" i="1" s="1"/>
  <c r="F598" i="1"/>
  <c r="J598" i="1" s="1"/>
  <c r="F599" i="1"/>
  <c r="J599" i="1" s="1"/>
  <c r="F600" i="1"/>
  <c r="H600" i="1" s="1"/>
  <c r="F601" i="1"/>
  <c r="H601" i="1" s="1"/>
  <c r="F602" i="1"/>
  <c r="J602" i="1" s="1"/>
  <c r="F603" i="1"/>
  <c r="H603" i="1" s="1"/>
  <c r="F604" i="1"/>
  <c r="I604" i="1" s="1"/>
  <c r="F605" i="1"/>
  <c r="J605" i="1" s="1"/>
  <c r="F606" i="1"/>
  <c r="H606" i="1" s="1"/>
  <c r="F607" i="1"/>
  <c r="H607" i="1" s="1"/>
  <c r="F608" i="1"/>
  <c r="J608" i="1"/>
  <c r="F609" i="1"/>
  <c r="J609" i="1" s="1"/>
  <c r="F610" i="1"/>
  <c r="J610" i="1" s="1"/>
  <c r="F611" i="1"/>
  <c r="J611" i="1" s="1"/>
  <c r="F612" i="1"/>
  <c r="H612" i="1" s="1"/>
  <c r="F613" i="1"/>
  <c r="J613" i="1" s="1"/>
  <c r="F614" i="1"/>
  <c r="I614" i="1" s="1"/>
  <c r="F615" i="1"/>
  <c r="J615" i="1" s="1"/>
  <c r="F616" i="1"/>
  <c r="H616" i="1" s="1"/>
  <c r="F617" i="1"/>
  <c r="H617" i="1"/>
  <c r="F618" i="1"/>
  <c r="H618" i="1" s="1"/>
  <c r="F619" i="1"/>
  <c r="J619" i="1" s="1"/>
  <c r="F620" i="1"/>
  <c r="J620" i="1"/>
  <c r="F621" i="1"/>
  <c r="I621" i="1" s="1"/>
  <c r="F622" i="1"/>
  <c r="F623" i="1"/>
  <c r="J623" i="1" s="1"/>
  <c r="F624" i="1"/>
  <c r="I624" i="1" s="1"/>
  <c r="F625" i="1"/>
  <c r="I625" i="1" s="1"/>
  <c r="F626" i="1"/>
  <c r="H626" i="1" s="1"/>
  <c r="F627" i="1"/>
  <c r="H627" i="1" s="1"/>
  <c r="F628" i="1"/>
  <c r="I628" i="1" s="1"/>
  <c r="F629" i="1"/>
  <c r="H629" i="1" s="1"/>
  <c r="F630" i="1"/>
  <c r="J630" i="1" s="1"/>
  <c r="F631" i="1"/>
  <c r="H631" i="1" s="1"/>
  <c r="F633" i="1"/>
  <c r="I633" i="1" s="1"/>
  <c r="F634" i="1"/>
  <c r="I634" i="1" s="1"/>
  <c r="F635" i="1"/>
  <c r="J635" i="1"/>
  <c r="F636" i="1"/>
  <c r="H636" i="1"/>
  <c r="F637" i="1"/>
  <c r="I637" i="1" s="1"/>
  <c r="F638" i="1"/>
  <c r="J638" i="1"/>
  <c r="F639" i="1"/>
  <c r="J639" i="1" s="1"/>
  <c r="F640" i="1"/>
  <c r="J640" i="1" s="1"/>
  <c r="F641" i="1"/>
  <c r="J641" i="1" s="1"/>
  <c r="F642" i="1"/>
  <c r="I642" i="1" s="1"/>
  <c r="F643" i="1"/>
  <c r="J643" i="1" s="1"/>
  <c r="F644" i="1"/>
  <c r="I644" i="1" s="1"/>
  <c r="F645" i="1"/>
  <c r="J645" i="1" s="1"/>
  <c r="F646" i="1"/>
  <c r="H646" i="1" s="1"/>
  <c r="F647" i="1"/>
  <c r="H647" i="1" s="1"/>
  <c r="F648" i="1"/>
  <c r="H648" i="1" s="1"/>
  <c r="F649" i="1"/>
  <c r="J649" i="1" s="1"/>
  <c r="F650" i="1"/>
  <c r="J650" i="1" s="1"/>
  <c r="F651" i="1"/>
  <c r="J651" i="1" s="1"/>
  <c r="F652" i="1"/>
  <c r="I652" i="1" s="1"/>
  <c r="F653" i="1"/>
  <c r="H653" i="1" s="1"/>
  <c r="J653" i="1"/>
  <c r="F654" i="1"/>
  <c r="I654" i="1" s="1"/>
  <c r="F655" i="1"/>
  <c r="I655" i="1" s="1"/>
  <c r="F656" i="1"/>
  <c r="H656" i="1" s="1"/>
  <c r="F657" i="1"/>
  <c r="I657" i="1" s="1"/>
  <c r="J657" i="1"/>
  <c r="F658" i="1"/>
  <c r="J658" i="1" s="1"/>
  <c r="F659" i="1"/>
  <c r="I659" i="1" s="1"/>
  <c r="F660" i="1"/>
  <c r="J660" i="1" s="1"/>
  <c r="F661" i="1"/>
  <c r="H661" i="1" s="1"/>
  <c r="J661" i="1"/>
  <c r="F662" i="1"/>
  <c r="J662" i="1" s="1"/>
  <c r="F663" i="1"/>
  <c r="J663" i="1" s="1"/>
  <c r="F664" i="1"/>
  <c r="I664" i="1" s="1"/>
  <c r="F665" i="1"/>
  <c r="J665" i="1" s="1"/>
  <c r="F666" i="1"/>
  <c r="H666" i="1" s="1"/>
  <c r="F667" i="1"/>
  <c r="I667" i="1" s="1"/>
  <c r="F668" i="1"/>
  <c r="H668" i="1" s="1"/>
  <c r="F669" i="1"/>
  <c r="I669" i="1" s="1"/>
  <c r="F670" i="1"/>
  <c r="J670" i="1" s="1"/>
  <c r="F671" i="1"/>
  <c r="I671" i="1" s="1"/>
  <c r="F672" i="1"/>
  <c r="I672" i="1" s="1"/>
  <c r="F673" i="1"/>
  <c r="H673" i="1" s="1"/>
  <c r="F674" i="1"/>
  <c r="I674" i="1" s="1"/>
  <c r="F675" i="1"/>
  <c r="H675" i="1" s="1"/>
  <c r="F676" i="1"/>
  <c r="H676" i="1" s="1"/>
  <c r="F677" i="1"/>
  <c r="J677" i="1" s="1"/>
  <c r="F678" i="1"/>
  <c r="I678" i="1" s="1"/>
  <c r="F679" i="1"/>
  <c r="H679" i="1" s="1"/>
  <c r="F680" i="1"/>
  <c r="J680" i="1" s="1"/>
  <c r="F681" i="1"/>
  <c r="I681" i="1" s="1"/>
  <c r="J681" i="1"/>
  <c r="F682" i="1"/>
  <c r="I682" i="1" s="1"/>
  <c r="F683" i="1"/>
  <c r="J683" i="1" s="1"/>
  <c r="F684" i="1"/>
  <c r="I684" i="1" s="1"/>
  <c r="F685" i="1"/>
  <c r="I685" i="1" s="1"/>
  <c r="J685" i="1"/>
  <c r="F686" i="1"/>
  <c r="H686" i="1" s="1"/>
  <c r="F687" i="1"/>
  <c r="I687" i="1" s="1"/>
  <c r="F688" i="1"/>
  <c r="J688" i="1" s="1"/>
  <c r="F689" i="1"/>
  <c r="H689" i="1" s="1"/>
  <c r="J689" i="1"/>
  <c r="F690" i="1"/>
  <c r="J690" i="1" s="1"/>
  <c r="F691" i="1"/>
  <c r="I691" i="1" s="1"/>
  <c r="F692" i="1"/>
  <c r="H692" i="1" s="1"/>
  <c r="F693" i="1"/>
  <c r="H693" i="1" s="1"/>
  <c r="F694" i="1"/>
  <c r="I694" i="1" s="1"/>
  <c r="F695" i="1"/>
  <c r="H695" i="1" s="1"/>
  <c r="F696" i="1"/>
  <c r="H696" i="1" s="1"/>
  <c r="F697" i="1"/>
  <c r="H697" i="1" s="1"/>
  <c r="F698" i="1"/>
  <c r="I698" i="1" s="1"/>
  <c r="F699" i="1"/>
  <c r="I699" i="1" s="1"/>
  <c r="F700" i="1"/>
  <c r="J700" i="1" s="1"/>
  <c r="F701" i="1"/>
  <c r="J701" i="1" s="1"/>
  <c r="F702" i="1"/>
  <c r="J702" i="1" s="1"/>
  <c r="F703" i="1"/>
  <c r="H703" i="1" s="1"/>
  <c r="F704" i="1"/>
  <c r="I704" i="1" s="1"/>
  <c r="F705" i="1"/>
  <c r="J705" i="1" s="1"/>
  <c r="F706" i="1"/>
  <c r="H706" i="1" s="1"/>
  <c r="F707" i="1"/>
  <c r="I707" i="1" s="1"/>
  <c r="F708" i="1"/>
  <c r="J708" i="1" s="1"/>
  <c r="F709" i="1"/>
  <c r="J709" i="1"/>
  <c r="F710" i="1"/>
  <c r="J710" i="1" s="1"/>
  <c r="F711" i="1"/>
  <c r="H711" i="1" s="1"/>
  <c r="F712" i="1"/>
  <c r="I712" i="1" s="1"/>
  <c r="F713" i="1"/>
  <c r="I713" i="1" s="1"/>
  <c r="H713" i="1"/>
  <c r="F714" i="1"/>
  <c r="I714" i="1" s="1"/>
  <c r="F715" i="1"/>
  <c r="I715" i="1" s="1"/>
  <c r="F716" i="1"/>
  <c r="H716" i="1" s="1"/>
  <c r="F717" i="1"/>
  <c r="J717" i="1" s="1"/>
  <c r="F718" i="1"/>
  <c r="J718" i="1" s="1"/>
  <c r="F719" i="1"/>
  <c r="H719" i="1" s="1"/>
  <c r="F720" i="1"/>
  <c r="J720" i="1" s="1"/>
  <c r="F721" i="1"/>
  <c r="I721" i="1" s="1"/>
  <c r="F722" i="1"/>
  <c r="J722" i="1" s="1"/>
  <c r="H481" i="1"/>
  <c r="J470" i="1"/>
  <c r="J480" i="1"/>
  <c r="J482" i="1"/>
  <c r="J490" i="1"/>
  <c r="J492" i="1"/>
  <c r="J493" i="1"/>
  <c r="J500" i="1"/>
  <c r="J502" i="1"/>
  <c r="J503" i="1"/>
  <c r="J510" i="1"/>
  <c r="J512" i="1"/>
  <c r="J513" i="1"/>
  <c r="J520" i="1"/>
  <c r="J522" i="1"/>
  <c r="J531" i="1"/>
  <c r="J540" i="1"/>
  <c r="J550" i="1"/>
  <c r="J551" i="1"/>
  <c r="J552" i="1"/>
  <c r="J553" i="1"/>
  <c r="J561" i="1"/>
  <c r="J570" i="1"/>
  <c r="J573" i="1"/>
  <c r="J580" i="1"/>
  <c r="J583" i="1"/>
  <c r="J590" i="1"/>
  <c r="J593" i="1"/>
  <c r="J622" i="1"/>
  <c r="J632" i="1"/>
  <c r="J714" i="1"/>
  <c r="I470" i="1"/>
  <c r="I480" i="1"/>
  <c r="I482" i="1"/>
  <c r="I490" i="1"/>
  <c r="I492" i="1"/>
  <c r="I493" i="1"/>
  <c r="I500" i="1"/>
  <c r="I501" i="1"/>
  <c r="I502" i="1"/>
  <c r="I510" i="1"/>
  <c r="I512" i="1"/>
  <c r="I513" i="1"/>
  <c r="I520" i="1"/>
  <c r="I521" i="1"/>
  <c r="I522" i="1"/>
  <c r="I531" i="1"/>
  <c r="I532" i="1"/>
  <c r="I533" i="1"/>
  <c r="I550" i="1"/>
  <c r="I551" i="1"/>
  <c r="I560" i="1"/>
  <c r="I570" i="1"/>
  <c r="I583" i="1"/>
  <c r="I592" i="1"/>
  <c r="I593" i="1"/>
  <c r="I601" i="1"/>
  <c r="I602" i="1"/>
  <c r="I622" i="1"/>
  <c r="I631" i="1"/>
  <c r="I632" i="1"/>
  <c r="I643" i="1"/>
  <c r="I653" i="1"/>
  <c r="H470" i="1"/>
  <c r="H480" i="1"/>
  <c r="H484" i="1"/>
  <c r="H490" i="1"/>
  <c r="H492" i="1"/>
  <c r="H493" i="1"/>
  <c r="H500" i="1"/>
  <c r="H502" i="1"/>
  <c r="H512" i="1"/>
  <c r="H513" i="1"/>
  <c r="H520" i="1"/>
  <c r="H522" i="1"/>
  <c r="H523" i="1"/>
  <c r="H531" i="1"/>
  <c r="H532" i="1"/>
  <c r="H544" i="1"/>
  <c r="H550" i="1"/>
  <c r="H551" i="1"/>
  <c r="H552" i="1"/>
  <c r="H554" i="1"/>
  <c r="H560" i="1"/>
  <c r="H561" i="1"/>
  <c r="H570" i="1"/>
  <c r="H571" i="1"/>
  <c r="H573" i="1"/>
  <c r="H583" i="1"/>
  <c r="H592" i="1"/>
  <c r="H593" i="1"/>
  <c r="H622" i="1"/>
  <c r="H630" i="1"/>
  <c r="H632" i="1"/>
  <c r="H674" i="1"/>
  <c r="H714" i="1"/>
  <c r="F472" i="1"/>
  <c r="I472" i="1" s="1"/>
  <c r="F473" i="1"/>
  <c r="H473" i="1" s="1"/>
  <c r="F474" i="1"/>
  <c r="I474" i="1" s="1"/>
  <c r="F475" i="1"/>
  <c r="J475" i="1" s="1"/>
  <c r="F476" i="1"/>
  <c r="H476" i="1" s="1"/>
  <c r="F477" i="1"/>
  <c r="J477" i="1" s="1"/>
  <c r="F478" i="1"/>
  <c r="J478" i="1" s="1"/>
  <c r="F479" i="1"/>
  <c r="J479" i="1" s="1"/>
  <c r="F471" i="1"/>
  <c r="J471" i="1" s="1"/>
  <c r="H652" i="1"/>
  <c r="H704" i="1"/>
  <c r="I662" i="1"/>
  <c r="H702" i="1"/>
  <c r="H541" i="1"/>
  <c r="H569" i="1"/>
  <c r="J712" i="1"/>
  <c r="I660" i="1"/>
  <c r="H650" i="1"/>
  <c r="H670" i="1"/>
  <c r="H642" i="1"/>
  <c r="J674" i="1"/>
  <c r="H691" i="1"/>
  <c r="I539" i="1"/>
  <c r="I610" i="1"/>
  <c r="H660" i="1"/>
  <c r="H640" i="1"/>
  <c r="I670" i="1"/>
  <c r="I640" i="1"/>
  <c r="I579" i="1"/>
  <c r="H610" i="1"/>
  <c r="H539" i="1"/>
  <c r="H620" i="1"/>
  <c r="H529" i="1"/>
  <c r="H681" i="1"/>
  <c r="H579" i="1"/>
  <c r="H599" i="1"/>
  <c r="I599" i="1"/>
  <c r="I569" i="1"/>
  <c r="H635" i="1"/>
  <c r="I571" i="1"/>
  <c r="H672" i="1"/>
  <c r="I702" i="1"/>
  <c r="H685" i="1"/>
  <c r="H645" i="1"/>
  <c r="H715" i="1"/>
  <c r="H584" i="1"/>
  <c r="H514" i="1"/>
  <c r="I630" i="1"/>
  <c r="J494" i="1"/>
  <c r="H494" i="1"/>
  <c r="H535" i="1"/>
  <c r="H585" i="1"/>
  <c r="I527" i="1"/>
  <c r="I487" i="1"/>
  <c r="I486" i="1"/>
  <c r="H486" i="1"/>
  <c r="I668" i="1"/>
  <c r="I542" i="1"/>
  <c r="I647" i="1"/>
  <c r="I496" i="1"/>
  <c r="J627" i="1"/>
  <c r="J547" i="1"/>
  <c r="H638" i="1"/>
  <c r="I638" i="1"/>
  <c r="J517" i="1"/>
  <c r="I613" i="1"/>
  <c r="H613" i="1"/>
  <c r="H605" i="1"/>
  <c r="H657" i="1"/>
  <c r="H625" i="1"/>
  <c r="I639" i="1"/>
  <c r="H565" i="1"/>
  <c r="H575" i="1"/>
  <c r="J514" i="1"/>
  <c r="J554" i="1"/>
  <c r="I484" i="1"/>
  <c r="J534" i="1"/>
  <c r="J476" i="1"/>
  <c r="H614" i="1"/>
  <c r="H594" i="1"/>
  <c r="H564" i="1"/>
  <c r="I528" i="1"/>
  <c r="I476" i="1"/>
  <c r="J584" i="1"/>
  <c r="H598" i="1"/>
  <c r="H665" i="1"/>
  <c r="H639" i="1"/>
  <c r="H534" i="1"/>
  <c r="I473" i="1"/>
  <c r="J544" i="1"/>
  <c r="J628" i="1"/>
  <c r="H538" i="1"/>
  <c r="H527" i="1"/>
  <c r="I708" i="1"/>
  <c r="I497" i="1"/>
  <c r="J698" i="1"/>
  <c r="J588" i="1"/>
  <c r="J487" i="1"/>
  <c r="I538" i="1"/>
  <c r="J558" i="1"/>
  <c r="J473" i="1"/>
  <c r="I498" i="1"/>
  <c r="H608" i="1"/>
  <c r="H537" i="1"/>
  <c r="H479" i="1"/>
  <c r="H558" i="1"/>
  <c r="H547" i="1"/>
  <c r="I648" i="1"/>
  <c r="I617" i="1"/>
  <c r="I537" i="1"/>
  <c r="I508" i="1"/>
  <c r="J528" i="1"/>
  <c r="J498" i="1"/>
  <c r="H568" i="1"/>
  <c r="I507" i="1"/>
  <c r="J678" i="1"/>
  <c r="J617" i="1"/>
  <c r="J497" i="1"/>
  <c r="I709" i="1"/>
  <c r="H678" i="1"/>
  <c r="H578" i="1"/>
  <c r="I598" i="1"/>
  <c r="J614" i="1"/>
  <c r="H658" i="1"/>
  <c r="H508" i="1"/>
  <c r="I658" i="1"/>
  <c r="I578" i="1"/>
  <c r="I479" i="1"/>
  <c r="J594" i="1"/>
  <c r="H709" i="1"/>
  <c r="H698" i="1"/>
  <c r="H507" i="1"/>
  <c r="I517" i="1"/>
  <c r="I478" i="1"/>
  <c r="J564" i="1"/>
  <c r="I608" i="1"/>
  <c r="H609" i="1"/>
  <c r="J524" i="1"/>
  <c r="H524" i="1"/>
  <c r="H525" i="1"/>
  <c r="I590" i="1"/>
  <c r="J597" i="1"/>
  <c r="I597" i="1"/>
  <c r="I618" i="1"/>
  <c r="J618" i="1"/>
  <c r="I620" i="1"/>
  <c r="H624" i="1"/>
  <c r="I656" i="1"/>
  <c r="I636" i="1"/>
  <c r="I616" i="1"/>
  <c r="I516" i="1"/>
  <c r="I705" i="1"/>
  <c r="I695" i="1"/>
  <c r="I645" i="1"/>
  <c r="I635" i="1"/>
  <c r="I605" i="1"/>
  <c r="I585" i="1"/>
  <c r="I575" i="1"/>
  <c r="I565" i="1"/>
  <c r="I535" i="1"/>
  <c r="J706" i="1"/>
  <c r="J696" i="1"/>
  <c r="J676" i="1"/>
  <c r="J666" i="1"/>
  <c r="J646" i="1"/>
  <c r="J636" i="1"/>
  <c r="J626" i="1"/>
  <c r="J606" i="1"/>
  <c r="J586" i="1"/>
  <c r="J566" i="1"/>
  <c r="J546" i="1"/>
  <c r="J516" i="1"/>
  <c r="I706" i="1"/>
  <c r="I666" i="1"/>
  <c r="I646" i="1"/>
  <c r="I626" i="1"/>
  <c r="I606" i="1"/>
  <c r="I586" i="1"/>
  <c r="I566" i="1"/>
  <c r="I546" i="1"/>
  <c r="J481" i="1"/>
  <c r="F432" i="1"/>
  <c r="J432" i="1" s="1"/>
  <c r="F365" i="1"/>
  <c r="H365" i="1" s="1"/>
  <c r="F448" i="1"/>
  <c r="H448" i="1" s="1"/>
  <c r="F449" i="1"/>
  <c r="J449" i="1" s="1"/>
  <c r="F450" i="1"/>
  <c r="H450" i="1" s="1"/>
  <c r="F451" i="1"/>
  <c r="J451" i="1" s="1"/>
  <c r="F452" i="1"/>
  <c r="J452" i="1" s="1"/>
  <c r="F453" i="1"/>
  <c r="J453" i="1" s="1"/>
  <c r="F454" i="1"/>
  <c r="J454" i="1" s="1"/>
  <c r="F455" i="1"/>
  <c r="J455" i="1" s="1"/>
  <c r="F456" i="1"/>
  <c r="I456" i="1" s="1"/>
  <c r="F457" i="1"/>
  <c r="J457" i="1" s="1"/>
  <c r="F458" i="1"/>
  <c r="J458" i="1" s="1"/>
  <c r="J447" i="1"/>
  <c r="F424" i="1"/>
  <c r="I424" i="1" s="1"/>
  <c r="F425" i="1"/>
  <c r="H425" i="1" s="1"/>
  <c r="F426" i="1"/>
  <c r="H426" i="1" s="1"/>
  <c r="F427" i="1"/>
  <c r="J427" i="1" s="1"/>
  <c r="F428" i="1"/>
  <c r="J428" i="1"/>
  <c r="F429" i="1"/>
  <c r="J429" i="1" s="1"/>
  <c r="F430" i="1"/>
  <c r="J430" i="1" s="1"/>
  <c r="F431" i="1"/>
  <c r="J431" i="1" s="1"/>
  <c r="F433" i="1"/>
  <c r="I433" i="1"/>
  <c r="F434" i="1"/>
  <c r="J434" i="1"/>
  <c r="F423" i="1"/>
  <c r="I423" i="1" s="1"/>
  <c r="F352" i="1"/>
  <c r="I352" i="1" s="1"/>
  <c r="F353" i="1"/>
  <c r="J353" i="1" s="1"/>
  <c r="F354" i="1"/>
  <c r="H354" i="1"/>
  <c r="F355" i="1"/>
  <c r="H355" i="1" s="1"/>
  <c r="F356" i="1"/>
  <c r="H356" i="1" s="1"/>
  <c r="F357" i="1"/>
  <c r="H357" i="1" s="1"/>
  <c r="F358" i="1"/>
  <c r="H358" i="1" s="1"/>
  <c r="F359" i="1"/>
  <c r="I359" i="1" s="1"/>
  <c r="F360" i="1"/>
  <c r="I360" i="1" s="1"/>
  <c r="F361" i="1"/>
  <c r="J361" i="1"/>
  <c r="F362" i="1"/>
  <c r="H362" i="1" s="1"/>
  <c r="F363" i="1"/>
  <c r="J363" i="1" s="1"/>
  <c r="F364" i="1"/>
  <c r="H364" i="1" s="1"/>
  <c r="F366" i="1"/>
  <c r="H366" i="1" s="1"/>
  <c r="F367" i="1"/>
  <c r="J367" i="1" s="1"/>
  <c r="F368" i="1"/>
  <c r="F369" i="1"/>
  <c r="I369" i="1" s="1"/>
  <c r="F370" i="1"/>
  <c r="I370" i="1" s="1"/>
  <c r="F371" i="1"/>
  <c r="J371" i="1" s="1"/>
  <c r="F372" i="1"/>
  <c r="J372" i="1" s="1"/>
  <c r="F373" i="1"/>
  <c r="J373" i="1" s="1"/>
  <c r="F374" i="1"/>
  <c r="H374" i="1" s="1"/>
  <c r="F351" i="1"/>
  <c r="J351" i="1" s="1"/>
  <c r="F292" i="1"/>
  <c r="H292" i="1" s="1"/>
  <c r="F293" i="1"/>
  <c r="J293" i="1" s="1"/>
  <c r="F294" i="1"/>
  <c r="J294" i="1" s="1"/>
  <c r="F295" i="1"/>
  <c r="J295" i="1"/>
  <c r="F296" i="1"/>
  <c r="J296" i="1" s="1"/>
  <c r="F298" i="1"/>
  <c r="J298" i="1" s="1"/>
  <c r="F299" i="1"/>
  <c r="J299" i="1" s="1"/>
  <c r="F300" i="1"/>
  <c r="J300" i="1" s="1"/>
  <c r="F301" i="1"/>
  <c r="J301" i="1" s="1"/>
  <c r="F302" i="1"/>
  <c r="I302" i="1" s="1"/>
  <c r="F291" i="1"/>
  <c r="H291" i="1" s="1"/>
  <c r="F268" i="1"/>
  <c r="I268" i="1" s="1"/>
  <c r="F269" i="1"/>
  <c r="I269" i="1"/>
  <c r="F270" i="1"/>
  <c r="J270" i="1" s="1"/>
  <c r="F271" i="1"/>
  <c r="F272" i="1"/>
  <c r="H272" i="1" s="1"/>
  <c r="F273" i="1"/>
  <c r="I273" i="1" s="1"/>
  <c r="F274" i="1"/>
  <c r="H274" i="1" s="1"/>
  <c r="F275" i="1"/>
  <c r="I275" i="1" s="1"/>
  <c r="F276" i="1"/>
  <c r="I276" i="1" s="1"/>
  <c r="F277" i="1"/>
  <c r="I277" i="1" s="1"/>
  <c r="F278" i="1"/>
  <c r="J278" i="1" s="1"/>
  <c r="F267" i="1"/>
  <c r="J267" i="1" s="1"/>
  <c r="H8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9" i="1"/>
  <c r="J271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8" i="1"/>
  <c r="J368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56" i="1"/>
  <c r="J459" i="1"/>
  <c r="J460" i="1"/>
  <c r="J461" i="1"/>
  <c r="J462" i="1"/>
  <c r="J463" i="1"/>
  <c r="J464" i="1"/>
  <c r="J465" i="1"/>
  <c r="J466" i="1"/>
  <c r="J467" i="1"/>
  <c r="J468" i="1"/>
  <c r="J469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70" i="1"/>
  <c r="I271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6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8" i="1"/>
  <c r="I368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5" i="1"/>
  <c r="I427" i="1"/>
  <c r="I432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8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5" i="1"/>
  <c r="H5" i="1"/>
  <c r="H6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71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2" i="1"/>
  <c r="H359" i="1"/>
  <c r="H363" i="1"/>
  <c r="H368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7" i="1"/>
  <c r="H431" i="1"/>
  <c r="H432" i="1"/>
  <c r="H433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269" i="1"/>
  <c r="I274" i="1"/>
  <c r="J277" i="1"/>
  <c r="H277" i="1"/>
  <c r="J276" i="1"/>
  <c r="H276" i="1"/>
  <c r="I295" i="1"/>
  <c r="H295" i="1"/>
  <c r="H351" i="1"/>
  <c r="H294" i="1"/>
  <c r="H293" i="1"/>
  <c r="I294" i="1"/>
  <c r="H455" i="1"/>
  <c r="I455" i="1"/>
  <c r="H454" i="1"/>
  <c r="I454" i="1"/>
  <c r="I453" i="1"/>
  <c r="H453" i="1"/>
  <c r="H452" i="1"/>
  <c r="I452" i="1"/>
  <c r="I451" i="1"/>
  <c r="H451" i="1"/>
  <c r="I450" i="1"/>
  <c r="J450" i="1"/>
  <c r="I449" i="1"/>
  <c r="H449" i="1"/>
  <c r="J448" i="1"/>
  <c r="I447" i="1"/>
  <c r="H434" i="1"/>
  <c r="J433" i="1"/>
  <c r="I430" i="1"/>
  <c r="H430" i="1"/>
  <c r="I429" i="1"/>
  <c r="H429" i="1"/>
  <c r="H428" i="1"/>
  <c r="I428" i="1"/>
  <c r="J426" i="1"/>
  <c r="I426" i="1"/>
  <c r="J425" i="1"/>
  <c r="H424" i="1"/>
  <c r="J424" i="1"/>
  <c r="H423" i="1"/>
  <c r="J423" i="1"/>
  <c r="I374" i="1"/>
  <c r="I373" i="1"/>
  <c r="H373" i="1"/>
  <c r="I372" i="1"/>
  <c r="H372" i="1"/>
  <c r="H371" i="1"/>
  <c r="J370" i="1"/>
  <c r="H370" i="1"/>
  <c r="J369" i="1"/>
  <c r="H369" i="1"/>
  <c r="I367" i="1"/>
  <c r="H367" i="1"/>
  <c r="J366" i="1"/>
  <c r="I366" i="1"/>
  <c r="I365" i="1"/>
  <c r="I364" i="1"/>
  <c r="I363" i="1"/>
  <c r="I362" i="1"/>
  <c r="J362" i="1"/>
  <c r="H361" i="1"/>
  <c r="J360" i="1"/>
  <c r="H360" i="1"/>
  <c r="J359" i="1"/>
  <c r="J357" i="1"/>
  <c r="I357" i="1"/>
  <c r="J356" i="1"/>
  <c r="I356" i="1"/>
  <c r="I355" i="1"/>
  <c r="I354" i="1"/>
  <c r="H353" i="1"/>
  <c r="I353" i="1"/>
  <c r="J352" i="1"/>
  <c r="I351" i="1"/>
  <c r="J302" i="1"/>
  <c r="H302" i="1"/>
  <c r="I301" i="1"/>
  <c r="H299" i="1"/>
  <c r="H298" i="1"/>
  <c r="I298" i="1"/>
  <c r="H296" i="1"/>
  <c r="I293" i="1"/>
  <c r="I292" i="1"/>
  <c r="J292" i="1"/>
  <c r="J291" i="1"/>
  <c r="I457" i="1"/>
  <c r="I371" i="1"/>
  <c r="I361" i="1"/>
  <c r="J365" i="1"/>
  <c r="J355" i="1"/>
  <c r="J374" i="1"/>
  <c r="J364" i="1"/>
  <c r="J354" i="1"/>
  <c r="J298" i="4" l="1"/>
  <c r="H367" i="4"/>
  <c r="H371" i="4"/>
  <c r="H423" i="4"/>
  <c r="J427" i="4"/>
  <c r="H432" i="4"/>
  <c r="H452" i="4"/>
  <c r="H456" i="4"/>
  <c r="H470" i="4"/>
  <c r="J475" i="4"/>
  <c r="H480" i="4"/>
  <c r="J484" i="4"/>
  <c r="J488" i="4"/>
  <c r="H507" i="4"/>
  <c r="J511" i="4"/>
  <c r="H551" i="4"/>
  <c r="J575" i="4"/>
  <c r="J603" i="4"/>
  <c r="J633" i="4"/>
  <c r="H647" i="4"/>
  <c r="I655" i="4"/>
  <c r="H665" i="4"/>
  <c r="H673" i="4"/>
  <c r="J689" i="4"/>
  <c r="J367" i="4"/>
  <c r="J371" i="4"/>
  <c r="I423" i="4"/>
  <c r="I452" i="4"/>
  <c r="J456" i="4"/>
  <c r="I551" i="4"/>
  <c r="I647" i="4"/>
  <c r="J655" i="4"/>
  <c r="I665" i="4"/>
  <c r="I673" i="4"/>
  <c r="J299" i="4"/>
  <c r="I481" i="4"/>
  <c r="J502" i="4"/>
  <c r="H508" i="4"/>
  <c r="H512" i="4"/>
  <c r="J515" i="4"/>
  <c r="J524" i="4"/>
  <c r="H534" i="4"/>
  <c r="H538" i="4"/>
  <c r="J555" i="4"/>
  <c r="H561" i="4"/>
  <c r="H631" i="4"/>
  <c r="I639" i="4"/>
  <c r="H687" i="4"/>
  <c r="H499" i="4"/>
  <c r="J508" i="4"/>
  <c r="J512" i="4"/>
  <c r="H530" i="4"/>
  <c r="J538" i="4"/>
  <c r="H543" i="4"/>
  <c r="I561" i="4"/>
  <c r="H577" i="4"/>
  <c r="H601" i="4"/>
  <c r="H609" i="4"/>
  <c r="I631" i="4"/>
  <c r="J639" i="4"/>
  <c r="H683" i="4"/>
  <c r="I687" i="4"/>
  <c r="H719" i="4"/>
  <c r="I300" i="4"/>
  <c r="J424" i="4"/>
  <c r="J453" i="4"/>
  <c r="J472" i="4"/>
  <c r="I487" i="4"/>
  <c r="J499" i="4"/>
  <c r="J530" i="4"/>
  <c r="J683" i="4"/>
  <c r="J719" i="4"/>
  <c r="J487" i="4"/>
  <c r="H649" i="4"/>
  <c r="H657" i="4"/>
  <c r="H667" i="4"/>
  <c r="H675" i="4"/>
  <c r="H275" i="4"/>
  <c r="J275" i="4"/>
  <c r="J370" i="4"/>
  <c r="H492" i="4"/>
  <c r="H500" i="4"/>
  <c r="H514" i="4"/>
  <c r="H523" i="4"/>
  <c r="I292" i="4"/>
  <c r="J292" i="4"/>
  <c r="H292" i="4"/>
  <c r="I266" i="4"/>
  <c r="J266" i="4"/>
  <c r="I269" i="4"/>
  <c r="J269" i="4"/>
  <c r="I272" i="4"/>
  <c r="J272" i="4"/>
  <c r="H269" i="4"/>
  <c r="I425" i="4"/>
  <c r="H428" i="4"/>
  <c r="J448" i="4"/>
  <c r="I454" i="4"/>
  <c r="H457" i="4"/>
  <c r="J470" i="4"/>
  <c r="H476" i="4"/>
  <c r="H482" i="4"/>
  <c r="H491" i="4"/>
  <c r="J494" i="4"/>
  <c r="H503" i="4"/>
  <c r="H506" i="4"/>
  <c r="H518" i="4"/>
  <c r="J520" i="4"/>
  <c r="H527" i="4"/>
  <c r="J532" i="4"/>
  <c r="H542" i="4"/>
  <c r="J544" i="4"/>
  <c r="J547" i="4"/>
  <c r="J563" i="4"/>
  <c r="J581" i="4"/>
  <c r="H587" i="4"/>
  <c r="J591" i="4"/>
  <c r="H611" i="4"/>
  <c r="H627" i="4"/>
  <c r="H643" i="4"/>
  <c r="H659" i="4"/>
  <c r="H663" i="4"/>
  <c r="J699" i="4"/>
  <c r="H713" i="4"/>
  <c r="J428" i="4"/>
  <c r="J457" i="4"/>
  <c r="J476" i="4"/>
  <c r="J482" i="4"/>
  <c r="J491" i="4"/>
  <c r="I503" i="4"/>
  <c r="J506" i="4"/>
  <c r="J518" i="4"/>
  <c r="I527" i="4"/>
  <c r="J542" i="4"/>
  <c r="J587" i="4"/>
  <c r="J611" i="4"/>
  <c r="J627" i="4"/>
  <c r="J643" i="4"/>
  <c r="J659" i="4"/>
  <c r="I663" i="4"/>
  <c r="I713" i="4"/>
  <c r="H426" i="4"/>
  <c r="H449" i="4"/>
  <c r="H455" i="4"/>
  <c r="H471" i="4"/>
  <c r="H474" i="4"/>
  <c r="H486" i="4"/>
  <c r="H495" i="4"/>
  <c r="H510" i="4"/>
  <c r="H536" i="4"/>
  <c r="I545" i="4"/>
  <c r="H548" i="4"/>
  <c r="H571" i="4"/>
  <c r="H585" i="4"/>
  <c r="H595" i="4"/>
  <c r="H697" i="4"/>
  <c r="H707" i="4"/>
  <c r="H711" i="4"/>
  <c r="J426" i="4"/>
  <c r="J449" i="4"/>
  <c r="J455" i="4"/>
  <c r="I471" i="4"/>
  <c r="J474" i="4"/>
  <c r="J486" i="4"/>
  <c r="I495" i="4"/>
  <c r="J510" i="4"/>
  <c r="J536" i="4"/>
  <c r="J548" i="4"/>
  <c r="J571" i="4"/>
  <c r="I585" i="4"/>
  <c r="J595" i="4"/>
  <c r="I697" i="4"/>
  <c r="J707" i="4"/>
  <c r="I711" i="4"/>
  <c r="J368" i="4"/>
  <c r="H430" i="4"/>
  <c r="J432" i="4"/>
  <c r="H447" i="4"/>
  <c r="H478" i="4"/>
  <c r="J480" i="4"/>
  <c r="J483" i="4"/>
  <c r="J492" i="4"/>
  <c r="J498" i="4"/>
  <c r="H504" i="4"/>
  <c r="J507" i="4"/>
  <c r="I513" i="4"/>
  <c r="H516" i="4"/>
  <c r="I519" i="4"/>
  <c r="J522" i="4"/>
  <c r="H528" i="4"/>
  <c r="H531" i="4"/>
  <c r="J534" i="4"/>
  <c r="H540" i="4"/>
  <c r="I543" i="4"/>
  <c r="H546" i="4"/>
  <c r="H559" i="4"/>
  <c r="H569" i="4"/>
  <c r="H579" i="4"/>
  <c r="H583" i="4"/>
  <c r="H593" i="4"/>
  <c r="I609" i="4"/>
  <c r="H619" i="4"/>
  <c r="I625" i="4"/>
  <c r="H635" i="4"/>
  <c r="I641" i="4"/>
  <c r="H651" i="4"/>
  <c r="I657" i="4"/>
  <c r="J667" i="4"/>
  <c r="I671" i="4"/>
  <c r="H681" i="4"/>
  <c r="H691" i="4"/>
  <c r="H695" i="4"/>
  <c r="H721" i="4"/>
  <c r="H273" i="4"/>
  <c r="J276" i="4"/>
  <c r="H296" i="4"/>
  <c r="H267" i="4"/>
  <c r="J270" i="4"/>
  <c r="J273" i="4"/>
  <c r="H290" i="4"/>
  <c r="J293" i="4"/>
  <c r="J296" i="4"/>
  <c r="J267" i="4"/>
  <c r="H277" i="4"/>
  <c r="J290" i="4"/>
  <c r="H271" i="4"/>
  <c r="J274" i="4"/>
  <c r="J277" i="4"/>
  <c r="H294" i="4"/>
  <c r="J297" i="4"/>
  <c r="J268" i="4"/>
  <c r="J271" i="4"/>
  <c r="J291" i="4"/>
  <c r="J294" i="4"/>
  <c r="H424" i="4"/>
  <c r="H427" i="4"/>
  <c r="J430" i="4"/>
  <c r="J447" i="4"/>
  <c r="H453" i="4"/>
  <c r="H475" i="4"/>
  <c r="J478" i="4"/>
  <c r="H490" i="4"/>
  <c r="H502" i="4"/>
  <c r="J504" i="4"/>
  <c r="J516" i="4"/>
  <c r="H526" i="4"/>
  <c r="J528" i="4"/>
  <c r="J531" i="4"/>
  <c r="J540" i="4"/>
  <c r="J546" i="4"/>
  <c r="H555" i="4"/>
  <c r="J559" i="4"/>
  <c r="I569" i="4"/>
  <c r="J579" i="4"/>
  <c r="I583" i="4"/>
  <c r="I593" i="4"/>
  <c r="H603" i="4"/>
  <c r="J619" i="4"/>
  <c r="J635" i="4"/>
  <c r="J651" i="4"/>
  <c r="I681" i="4"/>
  <c r="J691" i="4"/>
  <c r="I695" i="4"/>
  <c r="H715" i="4"/>
  <c r="I721" i="4"/>
  <c r="H350" i="4"/>
  <c r="H352" i="4"/>
  <c r="H354" i="4"/>
  <c r="H356" i="4"/>
  <c r="H358" i="4"/>
  <c r="H360" i="4"/>
  <c r="H362" i="4"/>
  <c r="H364" i="4"/>
  <c r="H366" i="4"/>
  <c r="H373" i="4"/>
  <c r="J425" i="4"/>
  <c r="H450" i="4"/>
  <c r="J454" i="4"/>
  <c r="H477" i="4"/>
  <c r="J481" i="4"/>
  <c r="H493" i="4"/>
  <c r="J497" i="4"/>
  <c r="H509" i="4"/>
  <c r="J513" i="4"/>
  <c r="H525" i="4"/>
  <c r="J529" i="4"/>
  <c r="H541" i="4"/>
  <c r="J545" i="4"/>
  <c r="J570" i="4"/>
  <c r="H570" i="4"/>
  <c r="H573" i="4"/>
  <c r="J602" i="4"/>
  <c r="H602" i="4"/>
  <c r="H605" i="4"/>
  <c r="I621" i="4"/>
  <c r="H621" i="4"/>
  <c r="I637" i="4"/>
  <c r="H637" i="4"/>
  <c r="I653" i="4"/>
  <c r="H653" i="4"/>
  <c r="J693" i="4"/>
  <c r="I693" i="4"/>
  <c r="H693" i="4"/>
  <c r="J706" i="4"/>
  <c r="H706" i="4"/>
  <c r="I706" i="4"/>
  <c r="I350" i="4"/>
  <c r="I352" i="4"/>
  <c r="I354" i="4"/>
  <c r="I356" i="4"/>
  <c r="I358" i="4"/>
  <c r="I360" i="4"/>
  <c r="I362" i="4"/>
  <c r="I364" i="4"/>
  <c r="J366" i="4"/>
  <c r="I373" i="4"/>
  <c r="I450" i="4"/>
  <c r="I477" i="4"/>
  <c r="I493" i="4"/>
  <c r="I509" i="4"/>
  <c r="I525" i="4"/>
  <c r="I541" i="4"/>
  <c r="J556" i="4"/>
  <c r="H556" i="4"/>
  <c r="J573" i="4"/>
  <c r="J588" i="4"/>
  <c r="H588" i="4"/>
  <c r="J605" i="4"/>
  <c r="J666" i="4"/>
  <c r="H666" i="4"/>
  <c r="I666" i="4"/>
  <c r="H369" i="4"/>
  <c r="H433" i="4"/>
  <c r="H446" i="4"/>
  <c r="H473" i="4"/>
  <c r="H489" i="4"/>
  <c r="H505" i="4"/>
  <c r="H521" i="4"/>
  <c r="H537" i="4"/>
  <c r="I556" i="4"/>
  <c r="J562" i="4"/>
  <c r="H562" i="4"/>
  <c r="H565" i="4"/>
  <c r="I588" i="4"/>
  <c r="J594" i="4"/>
  <c r="H594" i="4"/>
  <c r="H597" i="4"/>
  <c r="J618" i="4"/>
  <c r="H618" i="4"/>
  <c r="I618" i="4"/>
  <c r="J634" i="4"/>
  <c r="H634" i="4"/>
  <c r="I634" i="4"/>
  <c r="J650" i="4"/>
  <c r="H650" i="4"/>
  <c r="I650" i="4"/>
  <c r="J677" i="4"/>
  <c r="I677" i="4"/>
  <c r="H677" i="4"/>
  <c r="J690" i="4"/>
  <c r="H690" i="4"/>
  <c r="I690" i="4"/>
  <c r="I369" i="4"/>
  <c r="I433" i="4"/>
  <c r="I446" i="4"/>
  <c r="I473" i="4"/>
  <c r="I489" i="4"/>
  <c r="I505" i="4"/>
  <c r="I521" i="4"/>
  <c r="I537" i="4"/>
  <c r="J565" i="4"/>
  <c r="J580" i="4"/>
  <c r="H580" i="4"/>
  <c r="J597" i="4"/>
  <c r="J701" i="4"/>
  <c r="I701" i="4"/>
  <c r="H701" i="4"/>
  <c r="J714" i="4"/>
  <c r="H714" i="4"/>
  <c r="I714" i="4"/>
  <c r="J564" i="4"/>
  <c r="H564" i="4"/>
  <c r="J596" i="4"/>
  <c r="H596" i="4"/>
  <c r="J669" i="4"/>
  <c r="I669" i="4"/>
  <c r="H669" i="4"/>
  <c r="J682" i="4"/>
  <c r="H682" i="4"/>
  <c r="I682" i="4"/>
  <c r="H301" i="4"/>
  <c r="H351" i="4"/>
  <c r="H353" i="4"/>
  <c r="H355" i="4"/>
  <c r="H357" i="4"/>
  <c r="H359" i="4"/>
  <c r="H361" i="4"/>
  <c r="H363" i="4"/>
  <c r="H365" i="4"/>
  <c r="H429" i="4"/>
  <c r="H485" i="4"/>
  <c r="H501" i="4"/>
  <c r="H517" i="4"/>
  <c r="H533" i="4"/>
  <c r="H549" i="4"/>
  <c r="J554" i="4"/>
  <c r="H554" i="4"/>
  <c r="H557" i="4"/>
  <c r="I580" i="4"/>
  <c r="J586" i="4"/>
  <c r="H586" i="4"/>
  <c r="H589" i="4"/>
  <c r="I613" i="4"/>
  <c r="H613" i="4"/>
  <c r="I629" i="4"/>
  <c r="H629" i="4"/>
  <c r="I645" i="4"/>
  <c r="H645" i="4"/>
  <c r="J661" i="4"/>
  <c r="I661" i="4"/>
  <c r="H661" i="4"/>
  <c r="J674" i="4"/>
  <c r="H674" i="4"/>
  <c r="I674" i="4"/>
  <c r="H266" i="4"/>
  <c r="H268" i="4"/>
  <c r="H270" i="4"/>
  <c r="H272" i="4"/>
  <c r="H274" i="4"/>
  <c r="H276" i="4"/>
  <c r="H291" i="4"/>
  <c r="H293" i="4"/>
  <c r="H295" i="4"/>
  <c r="H297" i="4"/>
  <c r="H299" i="4"/>
  <c r="I301" i="4"/>
  <c r="I351" i="4"/>
  <c r="I353" i="4"/>
  <c r="I355" i="4"/>
  <c r="I357" i="4"/>
  <c r="I359" i="4"/>
  <c r="I361" i="4"/>
  <c r="I363" i="4"/>
  <c r="I365" i="4"/>
  <c r="H372" i="4"/>
  <c r="I429" i="4"/>
  <c r="I485" i="4"/>
  <c r="I501" i="4"/>
  <c r="I517" i="4"/>
  <c r="I533" i="4"/>
  <c r="I549" i="4"/>
  <c r="J557" i="4"/>
  <c r="J572" i="4"/>
  <c r="H572" i="4"/>
  <c r="J589" i="4"/>
  <c r="J685" i="4"/>
  <c r="I685" i="4"/>
  <c r="H685" i="4"/>
  <c r="J698" i="4"/>
  <c r="H698" i="4"/>
  <c r="I698" i="4"/>
  <c r="H370" i="4"/>
  <c r="J372" i="4"/>
  <c r="I572" i="4"/>
  <c r="J578" i="4"/>
  <c r="H578" i="4"/>
  <c r="H581" i="4"/>
  <c r="J610" i="4"/>
  <c r="H610" i="4"/>
  <c r="I610" i="4"/>
  <c r="J626" i="4"/>
  <c r="H626" i="4"/>
  <c r="I626" i="4"/>
  <c r="J642" i="4"/>
  <c r="H642" i="4"/>
  <c r="I642" i="4"/>
  <c r="J658" i="4"/>
  <c r="H658" i="4"/>
  <c r="I658" i="4"/>
  <c r="J709" i="4"/>
  <c r="I709" i="4"/>
  <c r="H709" i="4"/>
  <c r="J552" i="4"/>
  <c r="H552" i="4"/>
  <c r="J560" i="4"/>
  <c r="H560" i="4"/>
  <c r="J568" i="4"/>
  <c r="H568" i="4"/>
  <c r="J576" i="4"/>
  <c r="H576" i="4"/>
  <c r="J584" i="4"/>
  <c r="H584" i="4"/>
  <c r="J592" i="4"/>
  <c r="H592" i="4"/>
  <c r="J600" i="4"/>
  <c r="H600" i="4"/>
  <c r="J608" i="4"/>
  <c r="H608" i="4"/>
  <c r="J616" i="4"/>
  <c r="H616" i="4"/>
  <c r="J624" i="4"/>
  <c r="H624" i="4"/>
  <c r="J632" i="4"/>
  <c r="H632" i="4"/>
  <c r="J640" i="4"/>
  <c r="H640" i="4"/>
  <c r="J648" i="4"/>
  <c r="H648" i="4"/>
  <c r="J656" i="4"/>
  <c r="H656" i="4"/>
  <c r="J664" i="4"/>
  <c r="H664" i="4"/>
  <c r="J672" i="4"/>
  <c r="H672" i="4"/>
  <c r="J680" i="4"/>
  <c r="H680" i="4"/>
  <c r="J688" i="4"/>
  <c r="H688" i="4"/>
  <c r="J696" i="4"/>
  <c r="H696" i="4"/>
  <c r="J704" i="4"/>
  <c r="H704" i="4"/>
  <c r="J712" i="4"/>
  <c r="H712" i="4"/>
  <c r="J720" i="4"/>
  <c r="H720" i="4"/>
  <c r="I720" i="4"/>
  <c r="J558" i="4"/>
  <c r="H558" i="4"/>
  <c r="J566" i="4"/>
  <c r="H566" i="4"/>
  <c r="J574" i="4"/>
  <c r="H574" i="4"/>
  <c r="J582" i="4"/>
  <c r="H582" i="4"/>
  <c r="J590" i="4"/>
  <c r="H590" i="4"/>
  <c r="J598" i="4"/>
  <c r="H598" i="4"/>
  <c r="J606" i="4"/>
  <c r="H606" i="4"/>
  <c r="J614" i="4"/>
  <c r="H614" i="4"/>
  <c r="J622" i="4"/>
  <c r="H622" i="4"/>
  <c r="J630" i="4"/>
  <c r="H630" i="4"/>
  <c r="J638" i="4"/>
  <c r="H638" i="4"/>
  <c r="J646" i="4"/>
  <c r="H646" i="4"/>
  <c r="J654" i="4"/>
  <c r="H654" i="4"/>
  <c r="J662" i="4"/>
  <c r="H662" i="4"/>
  <c r="J670" i="4"/>
  <c r="H670" i="4"/>
  <c r="J678" i="4"/>
  <c r="H678" i="4"/>
  <c r="J686" i="4"/>
  <c r="H686" i="4"/>
  <c r="J694" i="4"/>
  <c r="H694" i="4"/>
  <c r="J702" i="4"/>
  <c r="H702" i="4"/>
  <c r="J710" i="4"/>
  <c r="H710" i="4"/>
  <c r="I715" i="4"/>
  <c r="J718" i="4"/>
  <c r="H718" i="4"/>
  <c r="J604" i="4"/>
  <c r="H604" i="4"/>
  <c r="J612" i="4"/>
  <c r="H612" i="4"/>
  <c r="J620" i="4"/>
  <c r="H620" i="4"/>
  <c r="J628" i="4"/>
  <c r="H628" i="4"/>
  <c r="J636" i="4"/>
  <c r="H636" i="4"/>
  <c r="J644" i="4"/>
  <c r="H644" i="4"/>
  <c r="J652" i="4"/>
  <c r="H652" i="4"/>
  <c r="J660" i="4"/>
  <c r="H660" i="4"/>
  <c r="J668" i="4"/>
  <c r="H668" i="4"/>
  <c r="J676" i="4"/>
  <c r="H676" i="4"/>
  <c r="J684" i="4"/>
  <c r="H684" i="4"/>
  <c r="J692" i="4"/>
  <c r="H692" i="4"/>
  <c r="J700" i="4"/>
  <c r="H700" i="4"/>
  <c r="J708" i="4"/>
  <c r="H708" i="4"/>
  <c r="J716" i="4"/>
  <c r="H716" i="4"/>
  <c r="J672" i="1"/>
  <c r="H700" i="1"/>
  <c r="J644" i="1"/>
  <c r="H633" i="1"/>
  <c r="I609" i="1"/>
  <c r="J557" i="1"/>
  <c r="H677" i="1"/>
  <c r="H581" i="1"/>
  <c r="J664" i="1"/>
  <c r="I563" i="1"/>
  <c r="J633" i="1"/>
  <c r="I300" i="1"/>
  <c r="J648" i="1"/>
  <c r="J548" i="1"/>
  <c r="I588" i="1"/>
  <c r="I677" i="1"/>
  <c r="H705" i="1"/>
  <c r="H680" i="1"/>
  <c r="I711" i="1"/>
  <c r="H563" i="1"/>
  <c r="H533" i="1"/>
  <c r="J273" i="1"/>
  <c r="H300" i="1"/>
  <c r="H273" i="1"/>
  <c r="H471" i="1"/>
  <c r="I686" i="1"/>
  <c r="J616" i="1"/>
  <c r="I525" i="1"/>
  <c r="I676" i="1"/>
  <c r="I518" i="1"/>
  <c r="I689" i="1"/>
  <c r="J604" i="1"/>
  <c r="H472" i="1"/>
  <c r="H708" i="1"/>
  <c r="H574" i="1"/>
  <c r="J682" i="1"/>
  <c r="I650" i="1"/>
  <c r="J721" i="1"/>
  <c r="J704" i="1"/>
  <c r="J472" i="1"/>
  <c r="H503" i="1"/>
  <c r="I696" i="1"/>
  <c r="H477" i="1"/>
  <c r="I475" i="1"/>
  <c r="I717" i="1"/>
  <c r="H664" i="1"/>
  <c r="J603" i="1"/>
  <c r="H278" i="1"/>
  <c r="I278" i="1"/>
  <c r="H270" i="1"/>
  <c r="J526" i="1"/>
  <c r="J624" i="1"/>
  <c r="H649" i="1"/>
  <c r="H628" i="1"/>
  <c r="H504" i="1"/>
  <c r="J518" i="1"/>
  <c r="H496" i="1"/>
  <c r="I661" i="1"/>
  <c r="I710" i="1"/>
  <c r="J654" i="1"/>
  <c r="H682" i="1"/>
  <c r="I596" i="1"/>
  <c r="I649" i="1"/>
  <c r="J504" i="1"/>
  <c r="J574" i="1"/>
  <c r="H604" i="1"/>
  <c r="H717" i="1"/>
  <c r="I557" i="1"/>
  <c r="J642" i="1"/>
  <c r="H710" i="1"/>
  <c r="I581" i="1"/>
  <c r="I541" i="1"/>
  <c r="H654" i="1"/>
  <c r="H475" i="1"/>
  <c r="J483" i="1"/>
  <c r="I716" i="1"/>
  <c r="J684" i="1"/>
  <c r="J703" i="1"/>
  <c r="H684" i="1"/>
  <c r="H275" i="1"/>
  <c r="J716" i="1"/>
  <c r="I556" i="1"/>
  <c r="J694" i="1"/>
  <c r="J612" i="1"/>
  <c r="J671" i="1"/>
  <c r="I697" i="1"/>
  <c r="J621" i="1"/>
  <c r="H720" i="1"/>
  <c r="H621" i="1"/>
  <c r="I483" i="1"/>
  <c r="J693" i="1"/>
  <c r="H694" i="1"/>
  <c r="I589" i="1"/>
  <c r="H722" i="1"/>
  <c r="H577" i="1"/>
  <c r="H690" i="1"/>
  <c r="H602" i="1"/>
  <c r="I572" i="1"/>
  <c r="J572" i="1"/>
  <c r="J673" i="1"/>
  <c r="J631" i="1"/>
  <c r="J272" i="1"/>
  <c r="J556" i="1"/>
  <c r="J656" i="1"/>
  <c r="I665" i="1"/>
  <c r="H712" i="1"/>
  <c r="H688" i="1"/>
  <c r="I688" i="1"/>
  <c r="J474" i="1"/>
  <c r="H595" i="1"/>
  <c r="H718" i="1"/>
  <c r="I690" i="1"/>
  <c r="I529" i="1"/>
  <c r="H662" i="1"/>
  <c r="H643" i="1"/>
  <c r="I523" i="1"/>
  <c r="I471" i="1"/>
  <c r="I477" i="1"/>
  <c r="I718" i="1"/>
  <c r="H548" i="1"/>
  <c r="I720" i="1"/>
  <c r="I701" i="1"/>
  <c r="H634" i="1"/>
  <c r="J697" i="1"/>
  <c r="I623" i="1"/>
  <c r="H267" i="1"/>
  <c r="J275" i="1"/>
  <c r="I272" i="1"/>
  <c r="I291" i="1"/>
  <c r="J686" i="1"/>
  <c r="H669" i="1"/>
  <c r="H488" i="1"/>
  <c r="J668" i="1"/>
  <c r="J577" i="1"/>
  <c r="H542" i="1"/>
  <c r="I700" i="1"/>
  <c r="I692" i="1"/>
  <c r="I693" i="1"/>
  <c r="I722" i="1"/>
  <c r="H721" i="1"/>
  <c r="J506" i="1"/>
  <c r="I595" i="1"/>
  <c r="I506" i="1"/>
  <c r="J488" i="1"/>
  <c r="I612" i="1"/>
  <c r="H589" i="1"/>
  <c r="H701" i="1"/>
  <c r="I499" i="1"/>
  <c r="J634" i="1"/>
  <c r="J669" i="1"/>
  <c r="I627" i="1"/>
  <c r="H297" i="1"/>
  <c r="H268" i="1"/>
  <c r="J268" i="1"/>
  <c r="I299" i="1"/>
  <c r="I431" i="1"/>
  <c r="I515" i="1"/>
  <c r="I675" i="1"/>
  <c r="I719" i="1"/>
  <c r="I607" i="1"/>
  <c r="H687" i="1"/>
  <c r="H555" i="1"/>
  <c r="I559" i="1"/>
  <c r="I549" i="1"/>
  <c r="H641" i="1"/>
  <c r="I673" i="1"/>
  <c r="H530" i="1"/>
  <c r="I703" i="1"/>
  <c r="I611" i="1"/>
  <c r="I580" i="1"/>
  <c r="I489" i="1"/>
  <c r="J521" i="1"/>
  <c r="J501" i="1"/>
  <c r="J596" i="1"/>
  <c r="I576" i="1"/>
  <c r="H659" i="1"/>
  <c r="H699" i="1"/>
  <c r="H478" i="1"/>
  <c r="I679" i="1"/>
  <c r="H615" i="1"/>
  <c r="H707" i="1"/>
  <c r="I629" i="1"/>
  <c r="I619" i="1"/>
  <c r="I600" i="1"/>
  <c r="J711" i="1"/>
  <c r="J600" i="1"/>
  <c r="J692" i="1"/>
  <c r="H505" i="1"/>
  <c r="H474" i="1"/>
  <c r="H683" i="1"/>
  <c r="H591" i="1"/>
  <c r="H489" i="1"/>
  <c r="I683" i="1"/>
  <c r="I603" i="1"/>
  <c r="J543" i="1"/>
  <c r="J719" i="1"/>
  <c r="J715" i="1"/>
  <c r="J707" i="1"/>
  <c r="J699" i="1"/>
  <c r="J695" i="1"/>
  <c r="J691" i="1"/>
  <c r="J687" i="1"/>
  <c r="J679" i="1"/>
  <c r="J675" i="1"/>
  <c r="H671" i="1"/>
  <c r="J667" i="1"/>
  <c r="H663" i="1"/>
  <c r="J659" i="1"/>
  <c r="J655" i="1"/>
  <c r="I651" i="1"/>
  <c r="J647" i="1"/>
  <c r="J629" i="1"/>
  <c r="J625" i="1"/>
  <c r="I591" i="1"/>
  <c r="H587" i="1"/>
  <c r="J559" i="1"/>
  <c r="J555" i="1"/>
  <c r="J549" i="1"/>
  <c r="J545" i="1"/>
  <c r="H536" i="1"/>
  <c r="H526" i="1"/>
  <c r="J297" i="1"/>
  <c r="I615" i="1"/>
  <c r="H611" i="1"/>
  <c r="I509" i="1"/>
  <c r="H562" i="1"/>
  <c r="I543" i="1"/>
  <c r="J562" i="1"/>
  <c r="J536" i="1"/>
  <c r="I545" i="1"/>
  <c r="I567" i="1"/>
  <c r="H655" i="1"/>
  <c r="H519" i="1"/>
  <c r="I641" i="1"/>
  <c r="H499" i="1"/>
  <c r="J713" i="1"/>
  <c r="H623" i="1"/>
  <c r="H582" i="1"/>
  <c r="I540" i="1"/>
  <c r="J274" i="1"/>
  <c r="J607" i="1"/>
  <c r="H667" i="1"/>
  <c r="H651" i="1"/>
  <c r="H619" i="1"/>
  <c r="I680" i="1"/>
  <c r="J652" i="1"/>
  <c r="H509" i="1"/>
  <c r="H644" i="1"/>
  <c r="J582" i="1"/>
  <c r="J511" i="1"/>
  <c r="J491" i="1"/>
  <c r="J637" i="1"/>
  <c r="H576" i="1"/>
  <c r="J567" i="1"/>
  <c r="J519" i="1"/>
  <c r="J515" i="1"/>
  <c r="J505" i="1"/>
  <c r="J495" i="1"/>
  <c r="J485" i="1"/>
  <c r="I495" i="1"/>
  <c r="H637" i="1"/>
  <c r="I663" i="1"/>
  <c r="H553" i="1"/>
  <c r="I511" i="1"/>
  <c r="I491" i="1"/>
  <c r="J530" i="1"/>
  <c r="J587" i="1"/>
  <c r="I485" i="1"/>
  <c r="J601" i="1"/>
</calcChain>
</file>

<file path=xl/sharedStrings.xml><?xml version="1.0" encoding="utf-8"?>
<sst xmlns="http://schemas.openxmlformats.org/spreadsheetml/2006/main" count="7879" uniqueCount="1579">
  <si>
    <t>Date</t>
  </si>
  <si>
    <t>Comments</t>
  </si>
  <si>
    <t>Tank</t>
  </si>
  <si>
    <t>Section</t>
  </si>
  <si>
    <t>Treatment</t>
  </si>
  <si>
    <t>Species</t>
  </si>
  <si>
    <t>BeeTag ID</t>
  </si>
  <si>
    <t>Unique_ID</t>
  </si>
  <si>
    <t>Weight (g)</t>
  </si>
  <si>
    <t>Length (mm)</t>
  </si>
  <si>
    <t>Width (mm)</t>
  </si>
  <si>
    <t>Depth (mm)</t>
  </si>
  <si>
    <t xml:space="preserve">Ripe? </t>
  </si>
  <si>
    <t>Dry Shell (g)</t>
  </si>
  <si>
    <t>Balance: Shizmadu UP423X d=0.001g,UniBloc</t>
  </si>
  <si>
    <t>Warm</t>
  </si>
  <si>
    <t>Oyster</t>
  </si>
  <si>
    <t>W42</t>
  </si>
  <si>
    <t>O_W42</t>
  </si>
  <si>
    <t>02 Jul 25 Moved oysters and mussels to boxes</t>
  </si>
  <si>
    <t>B61</t>
  </si>
  <si>
    <t>O_B61</t>
  </si>
  <si>
    <t>03 Jul 25 Moved scallops to boxes</t>
  </si>
  <si>
    <t>B54</t>
  </si>
  <si>
    <t>O_B54</t>
  </si>
  <si>
    <t>R42</t>
  </si>
  <si>
    <t>O_R42</t>
  </si>
  <si>
    <t>B68</t>
  </si>
  <si>
    <t>O_B68</t>
  </si>
  <si>
    <t>B65</t>
  </si>
  <si>
    <t>O_B65</t>
  </si>
  <si>
    <t>Removed a double</t>
  </si>
  <si>
    <t>B5</t>
  </si>
  <si>
    <t>O_B5</t>
  </si>
  <si>
    <t>Was in box 3</t>
  </si>
  <si>
    <t>B88</t>
  </si>
  <si>
    <t>O_B88</t>
  </si>
  <si>
    <t>R49</t>
  </si>
  <si>
    <t>O_R49</t>
  </si>
  <si>
    <t>W15</t>
  </si>
  <si>
    <t>O_W15</t>
  </si>
  <si>
    <t>B92</t>
  </si>
  <si>
    <t>O_B92</t>
  </si>
  <si>
    <t>Was in box 2</t>
  </si>
  <si>
    <t>B91</t>
  </si>
  <si>
    <t>O_B91</t>
  </si>
  <si>
    <t>Mussel</t>
  </si>
  <si>
    <t>G30</t>
  </si>
  <si>
    <t>M_G30</t>
  </si>
  <si>
    <t>B31</t>
  </si>
  <si>
    <t>M_B31</t>
  </si>
  <si>
    <t>B67</t>
  </si>
  <si>
    <t>M_B67</t>
  </si>
  <si>
    <t>R28</t>
  </si>
  <si>
    <t>M_R28</t>
  </si>
  <si>
    <t>R82</t>
  </si>
  <si>
    <t>M_R82</t>
  </si>
  <si>
    <t>B52</t>
  </si>
  <si>
    <t>M_B52</t>
  </si>
  <si>
    <t>B93</t>
  </si>
  <si>
    <t>M_B93</t>
  </si>
  <si>
    <t>G1</t>
  </si>
  <si>
    <t>M_G1</t>
  </si>
  <si>
    <t>G51</t>
  </si>
  <si>
    <t>M_G51</t>
  </si>
  <si>
    <t>B47 Died 7/10, replaced with G51</t>
  </si>
  <si>
    <t>B51</t>
  </si>
  <si>
    <t>M_B51</t>
  </si>
  <si>
    <t>B69</t>
  </si>
  <si>
    <t>M_B69</t>
  </si>
  <si>
    <t>B94</t>
  </si>
  <si>
    <t>M_B94</t>
  </si>
  <si>
    <t>Scallop</t>
  </si>
  <si>
    <t>Y32</t>
  </si>
  <si>
    <t>S_Y32</t>
  </si>
  <si>
    <t>G70</t>
  </si>
  <si>
    <t>S_G70</t>
  </si>
  <si>
    <t>Was in as G79</t>
  </si>
  <si>
    <t>Y54</t>
  </si>
  <si>
    <t>S_Y54</t>
  </si>
  <si>
    <t>Y74</t>
  </si>
  <si>
    <t>S_Y74</t>
  </si>
  <si>
    <t>Y71</t>
  </si>
  <si>
    <t>S_Y71</t>
  </si>
  <si>
    <t>W57</t>
  </si>
  <si>
    <t>S_W57</t>
  </si>
  <si>
    <t>G37</t>
  </si>
  <si>
    <t>S_G37</t>
  </si>
  <si>
    <t>G50</t>
  </si>
  <si>
    <t>S_G50</t>
  </si>
  <si>
    <t>B3</t>
  </si>
  <si>
    <t>S_B3</t>
  </si>
  <si>
    <t>Y10 Died 7/10</t>
  </si>
  <si>
    <t>G55B Died 7/14</t>
  </si>
  <si>
    <t>B4</t>
  </si>
  <si>
    <t>S_B4</t>
  </si>
  <si>
    <t>Y93 Died 7/10</t>
  </si>
  <si>
    <t>G46B Died 7/14</t>
  </si>
  <si>
    <t>B2</t>
  </si>
  <si>
    <t>S_B2</t>
  </si>
  <si>
    <t>G34 Died 7/13</t>
  </si>
  <si>
    <t>B1</t>
  </si>
  <si>
    <t>S_B1</t>
  </si>
  <si>
    <t>G62 Died 7/10</t>
  </si>
  <si>
    <t>G45B Died 7/13</t>
  </si>
  <si>
    <t>Multi</t>
  </si>
  <si>
    <t xml:space="preserve">W4 </t>
  </si>
  <si>
    <t xml:space="preserve">O_W4 </t>
  </si>
  <si>
    <t>B100</t>
  </si>
  <si>
    <t>O_B100</t>
  </si>
  <si>
    <t>W48</t>
  </si>
  <si>
    <t>O_W48</t>
  </si>
  <si>
    <t>B34</t>
  </si>
  <si>
    <t>O_B34</t>
  </si>
  <si>
    <t>W16</t>
  </si>
  <si>
    <t>O_W16</t>
  </si>
  <si>
    <t>B64</t>
  </si>
  <si>
    <t>O_B64</t>
  </si>
  <si>
    <t>B8</t>
  </si>
  <si>
    <t>O_B8</t>
  </si>
  <si>
    <t>W40</t>
  </si>
  <si>
    <t>O_W40</t>
  </si>
  <si>
    <t>B89B</t>
  </si>
  <si>
    <t>O_B89B</t>
  </si>
  <si>
    <t>W9B</t>
  </si>
  <si>
    <t>O_W9B</t>
  </si>
  <si>
    <t>O_B52</t>
  </si>
  <si>
    <t>B28</t>
  </si>
  <si>
    <t>O_B28</t>
  </si>
  <si>
    <t>G75</t>
  </si>
  <si>
    <t>S_G75</t>
  </si>
  <si>
    <t>G13</t>
  </si>
  <si>
    <t>S_G13</t>
  </si>
  <si>
    <t>G69B</t>
  </si>
  <si>
    <t>S_G69B</t>
  </si>
  <si>
    <t>G59</t>
  </si>
  <si>
    <t>S_G59</t>
  </si>
  <si>
    <t>W89B</t>
  </si>
  <si>
    <t>S_W89B</t>
  </si>
  <si>
    <t>S_G30</t>
  </si>
  <si>
    <t>W61</t>
  </si>
  <si>
    <t>S_W61</t>
  </si>
  <si>
    <t>W63</t>
  </si>
  <si>
    <t>S_W63</t>
  </si>
  <si>
    <t>G43B</t>
  </si>
  <si>
    <t>S_G43B</t>
  </si>
  <si>
    <t>Y77 Died 7/10</t>
  </si>
  <si>
    <t>G54B</t>
  </si>
  <si>
    <t>S_G54B</t>
  </si>
  <si>
    <t>Y27 Died 7/6</t>
  </si>
  <si>
    <t>Y30</t>
  </si>
  <si>
    <t>S_Y30</t>
  </si>
  <si>
    <t>G99</t>
  </si>
  <si>
    <t>S_G99</t>
  </si>
  <si>
    <t>B25</t>
  </si>
  <si>
    <t>M_B25</t>
  </si>
  <si>
    <t>B20</t>
  </si>
  <si>
    <t>M_B20</t>
  </si>
  <si>
    <t>M_B88</t>
  </si>
  <si>
    <t>B38</t>
  </si>
  <si>
    <t>M_B38</t>
  </si>
  <si>
    <t>M_B65</t>
  </si>
  <si>
    <t>Missing 17-Aug-25</t>
  </si>
  <si>
    <t>G22</t>
  </si>
  <si>
    <t>M_G22</t>
  </si>
  <si>
    <t>B40</t>
  </si>
  <si>
    <t>M_B40</t>
  </si>
  <si>
    <t>R58</t>
  </si>
  <si>
    <t>M_R58</t>
  </si>
  <si>
    <t>M_B54</t>
  </si>
  <si>
    <t>B30</t>
  </si>
  <si>
    <t>M_B30</t>
  </si>
  <si>
    <t>B32</t>
  </si>
  <si>
    <t>M_B32</t>
  </si>
  <si>
    <t>B16</t>
  </si>
  <si>
    <t>M_B16</t>
  </si>
  <si>
    <t>Ambient</t>
  </si>
  <si>
    <t>B42</t>
  </si>
  <si>
    <t>M_B42</t>
  </si>
  <si>
    <t>B79</t>
  </si>
  <si>
    <t>M_B79</t>
  </si>
  <si>
    <t>B36</t>
  </si>
  <si>
    <t>M_B36</t>
  </si>
  <si>
    <t>R73</t>
  </si>
  <si>
    <t>M_R73</t>
  </si>
  <si>
    <t>G17</t>
  </si>
  <si>
    <t>M_G17</t>
  </si>
  <si>
    <t>M_B92</t>
  </si>
  <si>
    <t>B76</t>
  </si>
  <si>
    <t>M_B76</t>
  </si>
  <si>
    <t xml:space="preserve">B61 </t>
  </si>
  <si>
    <t>M_B61</t>
  </si>
  <si>
    <t>R88</t>
  </si>
  <si>
    <t>M_R88</t>
  </si>
  <si>
    <t>R92</t>
  </si>
  <si>
    <t>M_R92</t>
  </si>
  <si>
    <t>B21</t>
  </si>
  <si>
    <t>M_B21</t>
  </si>
  <si>
    <t>R55</t>
  </si>
  <si>
    <t>M_R55</t>
  </si>
  <si>
    <t>B97</t>
  </si>
  <si>
    <t>O_B97</t>
  </si>
  <si>
    <t>B47</t>
  </si>
  <si>
    <t>O_B47</t>
  </si>
  <si>
    <t>B86</t>
  </si>
  <si>
    <t>O_B86</t>
  </si>
  <si>
    <t>O_B31</t>
  </si>
  <si>
    <t>W27</t>
  </si>
  <si>
    <t>O_W27</t>
  </si>
  <si>
    <t>B60</t>
  </si>
  <si>
    <t>O_B60</t>
  </si>
  <si>
    <t>B46</t>
  </si>
  <si>
    <t>O_B46</t>
  </si>
  <si>
    <t>Died 8/4</t>
  </si>
  <si>
    <t>B96</t>
  </si>
  <si>
    <t>O_B96</t>
  </si>
  <si>
    <t>B35</t>
  </si>
  <si>
    <t>O_B35</t>
  </si>
  <si>
    <t>B57</t>
  </si>
  <si>
    <t>O_B57</t>
  </si>
  <si>
    <t>B58</t>
  </si>
  <si>
    <t>O_B58</t>
  </si>
  <si>
    <t>R65</t>
  </si>
  <si>
    <t>O_R65</t>
  </si>
  <si>
    <t>Y38</t>
  </si>
  <si>
    <t>S_Y38</t>
  </si>
  <si>
    <t>G78</t>
  </si>
  <si>
    <t>S_G78</t>
  </si>
  <si>
    <t>S_G1</t>
  </si>
  <si>
    <t>G61</t>
  </si>
  <si>
    <t>S_G61</t>
  </si>
  <si>
    <t>Y35</t>
  </si>
  <si>
    <t>S_Y35</t>
  </si>
  <si>
    <t>Y15</t>
  </si>
  <si>
    <t>S_Y15</t>
  </si>
  <si>
    <t>W68</t>
  </si>
  <si>
    <t>S_W68</t>
  </si>
  <si>
    <t>W93</t>
  </si>
  <si>
    <t>S_W93</t>
  </si>
  <si>
    <t>G97</t>
  </si>
  <si>
    <t>S_G97</t>
  </si>
  <si>
    <t>G9</t>
  </si>
  <si>
    <t>S_G9B</t>
  </si>
  <si>
    <t>G27</t>
  </si>
  <si>
    <t>S_G27</t>
  </si>
  <si>
    <t>G71</t>
  </si>
  <si>
    <t>S_G71</t>
  </si>
  <si>
    <t>G77??</t>
  </si>
  <si>
    <t>Acidified</t>
  </si>
  <si>
    <t>B53</t>
  </si>
  <si>
    <t>M_B53</t>
  </si>
  <si>
    <t>B26</t>
  </si>
  <si>
    <t>M_B26</t>
  </si>
  <si>
    <t>M_B58</t>
  </si>
  <si>
    <t>G4</t>
  </si>
  <si>
    <t>M_G4</t>
  </si>
  <si>
    <t>B19</t>
  </si>
  <si>
    <t>M_B19</t>
  </si>
  <si>
    <t>G35</t>
  </si>
  <si>
    <t>M_G35</t>
  </si>
  <si>
    <t>R75</t>
  </si>
  <si>
    <t>M_R75</t>
  </si>
  <si>
    <t>R68</t>
  </si>
  <si>
    <t>M_R68</t>
  </si>
  <si>
    <t>B48</t>
  </si>
  <si>
    <t>M_B48</t>
  </si>
  <si>
    <t>G36</t>
  </si>
  <si>
    <t>M_G36</t>
  </si>
  <si>
    <t>R66</t>
  </si>
  <si>
    <t>M_R66</t>
  </si>
  <si>
    <t>R96</t>
  </si>
  <si>
    <t>M_R96</t>
  </si>
  <si>
    <t>G44</t>
  </si>
  <si>
    <t>S_G44</t>
  </si>
  <si>
    <t>Y55</t>
  </si>
  <si>
    <t>S_Y55</t>
  </si>
  <si>
    <t>Dead on 10 Aug (recent)</t>
  </si>
  <si>
    <t>G11</t>
  </si>
  <si>
    <t>S_G11</t>
  </si>
  <si>
    <t>Y66</t>
  </si>
  <si>
    <t>S_Y66</t>
  </si>
  <si>
    <t>G33</t>
  </si>
  <si>
    <t>S_G33</t>
  </si>
  <si>
    <t>Y62</t>
  </si>
  <si>
    <t>S_Y62</t>
  </si>
  <si>
    <t>Y37</t>
  </si>
  <si>
    <t>S_Y37</t>
  </si>
  <si>
    <t>Barnacles (dead)</t>
  </si>
  <si>
    <t>Y5</t>
  </si>
  <si>
    <t>S_Y5</t>
  </si>
  <si>
    <t>G72</t>
  </si>
  <si>
    <t>S_G72</t>
  </si>
  <si>
    <t>W49</t>
  </si>
  <si>
    <t>S_W49</t>
  </si>
  <si>
    <t>Y49</t>
  </si>
  <si>
    <t>S_Y49</t>
  </si>
  <si>
    <t>no tag</t>
  </si>
  <si>
    <t>W73</t>
  </si>
  <si>
    <t>S_W73</t>
  </si>
  <si>
    <t>O_B20</t>
  </si>
  <si>
    <t>W5</t>
  </si>
  <si>
    <t>O_W5</t>
  </si>
  <si>
    <t>V dead 8/13</t>
  </si>
  <si>
    <t>R89B</t>
  </si>
  <si>
    <t>O_R89B</t>
  </si>
  <si>
    <t>R27</t>
  </si>
  <si>
    <t>O_R27</t>
  </si>
  <si>
    <t>B27</t>
  </si>
  <si>
    <t>O_B27</t>
  </si>
  <si>
    <t xml:space="preserve">B3 </t>
  </si>
  <si>
    <t xml:space="preserve">O_B3 </t>
  </si>
  <si>
    <t>Dead on 8 Aug (recent)</t>
  </si>
  <si>
    <t>B85</t>
  </si>
  <si>
    <t>O_B85</t>
  </si>
  <si>
    <t>R39</t>
  </si>
  <si>
    <t>O_R39</t>
  </si>
  <si>
    <t>Died 8/5</t>
  </si>
  <si>
    <t>O_R66</t>
  </si>
  <si>
    <t>W10</t>
  </si>
  <si>
    <t>O_W10</t>
  </si>
  <si>
    <t>B18</t>
  </si>
  <si>
    <t>O_B18</t>
  </si>
  <si>
    <t>R50</t>
  </si>
  <si>
    <t>O_R50</t>
  </si>
  <si>
    <t>Y22</t>
  </si>
  <si>
    <t>S_Y22</t>
  </si>
  <si>
    <t>Y60</t>
  </si>
  <si>
    <t>S_Y60</t>
  </si>
  <si>
    <t>Y26</t>
  </si>
  <si>
    <t>S_Y26</t>
  </si>
  <si>
    <t>G91</t>
  </si>
  <si>
    <t>S_G91</t>
  </si>
  <si>
    <t>G98</t>
  </si>
  <si>
    <t>S_G98</t>
  </si>
  <si>
    <t>Y68</t>
  </si>
  <si>
    <t>S_Y68</t>
  </si>
  <si>
    <t>G42</t>
  </si>
  <si>
    <t>S_G42</t>
  </si>
  <si>
    <t>W53</t>
  </si>
  <si>
    <t>S_W53</t>
  </si>
  <si>
    <t>W85</t>
  </si>
  <si>
    <t>S_W85</t>
  </si>
  <si>
    <t>W79</t>
  </si>
  <si>
    <t>S_W79</t>
  </si>
  <si>
    <t>Y46</t>
  </si>
  <si>
    <t>S_Y46</t>
  </si>
  <si>
    <t>Dead barnacles</t>
  </si>
  <si>
    <t>Y70</t>
  </si>
  <si>
    <t>S_Y70</t>
  </si>
  <si>
    <t>B41</t>
  </si>
  <si>
    <t>O_B41</t>
  </si>
  <si>
    <t>R97</t>
  </si>
  <si>
    <t>O_R97</t>
  </si>
  <si>
    <t>R13</t>
  </si>
  <si>
    <t>O_R13</t>
  </si>
  <si>
    <t>R56</t>
  </si>
  <si>
    <t>O_R56</t>
  </si>
  <si>
    <t>Seems like old meas don't match up</t>
  </si>
  <si>
    <t>R91</t>
  </si>
  <si>
    <t>O_R91</t>
  </si>
  <si>
    <t>Had a pea crab!!!</t>
  </si>
  <si>
    <t>R21</t>
  </si>
  <si>
    <t>O_R21</t>
  </si>
  <si>
    <t>W22</t>
  </si>
  <si>
    <t>O_W22</t>
  </si>
  <si>
    <t>O_R28</t>
  </si>
  <si>
    <t>R53</t>
  </si>
  <si>
    <t>O_R53</t>
  </si>
  <si>
    <t>R59</t>
  </si>
  <si>
    <t>O_R59</t>
  </si>
  <si>
    <t>B56</t>
  </si>
  <si>
    <t>O_B56</t>
  </si>
  <si>
    <t>R24</t>
  </si>
  <si>
    <t>O_R24</t>
  </si>
  <si>
    <t>B12</t>
  </si>
  <si>
    <t>M_B12</t>
  </si>
  <si>
    <t>M_B8</t>
  </si>
  <si>
    <t>G52</t>
  </si>
  <si>
    <t>M_G52</t>
  </si>
  <si>
    <t>G37 Died 7/10</t>
  </si>
  <si>
    <t>B45</t>
  </si>
  <si>
    <t>M_B45</t>
  </si>
  <si>
    <t>M_B57</t>
  </si>
  <si>
    <t>Missing 8/13</t>
  </si>
  <si>
    <t>M_B18</t>
  </si>
  <si>
    <t>M_R97</t>
  </si>
  <si>
    <t>B98</t>
  </si>
  <si>
    <t>M_B86</t>
  </si>
  <si>
    <t>Was in sheet as B98; could match measurements</t>
  </si>
  <si>
    <t>B82</t>
  </si>
  <si>
    <t>M_B82</t>
  </si>
  <si>
    <t>M_R49</t>
  </si>
  <si>
    <t>M_R42</t>
  </si>
  <si>
    <t>B78</t>
  </si>
  <si>
    <t>M_B78</t>
  </si>
  <si>
    <t>G53</t>
  </si>
  <si>
    <t>S_G53</t>
  </si>
  <si>
    <t>Y98</t>
  </si>
  <si>
    <t>S_Y98</t>
  </si>
  <si>
    <t>W55</t>
  </si>
  <si>
    <t>S_W55</t>
  </si>
  <si>
    <t>Dead 8/17</t>
  </si>
  <si>
    <t>Y97</t>
  </si>
  <si>
    <t>S_Y97</t>
  </si>
  <si>
    <t>Y13</t>
  </si>
  <si>
    <t>S_Y13</t>
  </si>
  <si>
    <t>Y42</t>
  </si>
  <si>
    <t>S_Y42</t>
  </si>
  <si>
    <t>G8</t>
  </si>
  <si>
    <t>S_G8</t>
  </si>
  <si>
    <t>G25</t>
  </si>
  <si>
    <t>S_G25</t>
  </si>
  <si>
    <t>Dead 8/13</t>
  </si>
  <si>
    <t>W58</t>
  </si>
  <si>
    <t>S_W58</t>
  </si>
  <si>
    <t>W94</t>
  </si>
  <si>
    <t>S_W94</t>
  </si>
  <si>
    <t>Y61</t>
  </si>
  <si>
    <t>S_Y61</t>
  </si>
  <si>
    <t>W67</t>
  </si>
  <si>
    <t>S_W67</t>
  </si>
  <si>
    <t>R12</t>
  </si>
  <si>
    <t>M_R12</t>
  </si>
  <si>
    <t>R99</t>
  </si>
  <si>
    <t>M_R99</t>
  </si>
  <si>
    <t>R76</t>
  </si>
  <si>
    <t>M_R76</t>
  </si>
  <si>
    <t>R6</t>
  </si>
  <si>
    <t>M_R6</t>
  </si>
  <si>
    <t>R41</t>
  </si>
  <si>
    <t>M_R41</t>
  </si>
  <si>
    <t>M_R13</t>
  </si>
  <si>
    <t>R30</t>
  </si>
  <si>
    <t>M_R30</t>
  </si>
  <si>
    <t>B37</t>
  </si>
  <si>
    <t>M_B37</t>
  </si>
  <si>
    <t>G10</t>
  </si>
  <si>
    <t>M_G10</t>
  </si>
  <si>
    <t>G21</t>
  </si>
  <si>
    <t>M_G21</t>
  </si>
  <si>
    <t>B6</t>
  </si>
  <si>
    <t>M_B6</t>
  </si>
  <si>
    <t>B77</t>
  </si>
  <si>
    <t>M_B77</t>
  </si>
  <si>
    <t>B24</t>
  </si>
  <si>
    <t>O_B24</t>
  </si>
  <si>
    <t>Died 8/3</t>
  </si>
  <si>
    <t>R7</t>
  </si>
  <si>
    <t>O_R7</t>
  </si>
  <si>
    <t>R43</t>
  </si>
  <si>
    <t>O_R43</t>
  </si>
  <si>
    <t>R37</t>
  </si>
  <si>
    <t>O_R37</t>
  </si>
  <si>
    <t>O_B25</t>
  </si>
  <si>
    <t>O_B30</t>
  </si>
  <si>
    <t>O_R73</t>
  </si>
  <si>
    <t>B74</t>
  </si>
  <si>
    <t>O_B74</t>
  </si>
  <si>
    <t>V dead on 8/17</t>
  </si>
  <si>
    <t>B13</t>
  </si>
  <si>
    <t>O_B13</t>
  </si>
  <si>
    <t>O_R30</t>
  </si>
  <si>
    <t>B83</t>
  </si>
  <si>
    <t>O_B83</t>
  </si>
  <si>
    <t>O_B78</t>
  </si>
  <si>
    <t>Double popped off</t>
  </si>
  <si>
    <t>M_R27</t>
  </si>
  <si>
    <t>R57</t>
  </si>
  <si>
    <t>M_R57</t>
  </si>
  <si>
    <t>R35</t>
  </si>
  <si>
    <t>M_R35</t>
  </si>
  <si>
    <t>R63</t>
  </si>
  <si>
    <t>M_R63</t>
  </si>
  <si>
    <t>R25</t>
  </si>
  <si>
    <t>M_R25</t>
  </si>
  <si>
    <t>G12</t>
  </si>
  <si>
    <t>M_G12</t>
  </si>
  <si>
    <t>R78</t>
  </si>
  <si>
    <t>M_R78</t>
  </si>
  <si>
    <t>M_G11</t>
  </si>
  <si>
    <t>G32</t>
  </si>
  <si>
    <t>M_G32</t>
  </si>
  <si>
    <t>G16</t>
  </si>
  <si>
    <t>M_G16</t>
  </si>
  <si>
    <t>R26</t>
  </si>
  <si>
    <t>M_R26</t>
  </si>
  <si>
    <t>R69</t>
  </si>
  <si>
    <t>M_R69</t>
  </si>
  <si>
    <t>G48B</t>
  </si>
  <si>
    <t>S_G48</t>
  </si>
  <si>
    <t>Y18 Died 7.10</t>
  </si>
  <si>
    <t>W65</t>
  </si>
  <si>
    <t>S_W65</t>
  </si>
  <si>
    <t>G26</t>
  </si>
  <si>
    <t>S_G26</t>
  </si>
  <si>
    <t>W99B</t>
  </si>
  <si>
    <t>S_W99B</t>
  </si>
  <si>
    <t>Y82</t>
  </si>
  <si>
    <t>S_Y82</t>
  </si>
  <si>
    <t>W84</t>
  </si>
  <si>
    <t>S_W84</t>
  </si>
  <si>
    <t>W80</t>
  </si>
  <si>
    <t>S_W80</t>
  </si>
  <si>
    <t>G85</t>
  </si>
  <si>
    <t>S_G85</t>
  </si>
  <si>
    <t>G15</t>
  </si>
  <si>
    <t>S_G15</t>
  </si>
  <si>
    <t>Y31</t>
  </si>
  <si>
    <t>S_Y31</t>
  </si>
  <si>
    <t>W75</t>
  </si>
  <si>
    <t>S_W75</t>
  </si>
  <si>
    <t>Y51</t>
  </si>
  <si>
    <t>S_Y51</t>
  </si>
  <si>
    <t>Died 8/17</t>
  </si>
  <si>
    <t>O_B69</t>
  </si>
  <si>
    <t>R9</t>
  </si>
  <si>
    <t>O_R9</t>
  </si>
  <si>
    <t>W38</t>
  </si>
  <si>
    <t>O_W38</t>
  </si>
  <si>
    <t>Died 8/13</t>
  </si>
  <si>
    <t>R94</t>
  </si>
  <si>
    <t>O_R94</t>
  </si>
  <si>
    <t>Missing bee tag</t>
  </si>
  <si>
    <t>W3</t>
  </si>
  <si>
    <t>O_W3</t>
  </si>
  <si>
    <t>R15</t>
  </si>
  <si>
    <t>O_R15</t>
  </si>
  <si>
    <t>R3</t>
  </si>
  <si>
    <t>O_R3</t>
  </si>
  <si>
    <t>B7</t>
  </si>
  <si>
    <t>O_B7</t>
  </si>
  <si>
    <t>R36</t>
  </si>
  <si>
    <t>O_R36</t>
  </si>
  <si>
    <t>R84</t>
  </si>
  <si>
    <t>O_R84</t>
  </si>
  <si>
    <t>O_R78</t>
  </si>
  <si>
    <t>R11</t>
  </si>
  <si>
    <t>O_R11</t>
  </si>
  <si>
    <t>R87</t>
  </si>
  <si>
    <t>O_R87</t>
  </si>
  <si>
    <t>B49</t>
  </si>
  <si>
    <t>O_B49</t>
  </si>
  <si>
    <t>R44</t>
  </si>
  <si>
    <t>O_R44</t>
  </si>
  <si>
    <t>B33</t>
  </si>
  <si>
    <t>O_B33</t>
  </si>
  <si>
    <t>R100</t>
  </si>
  <si>
    <t>O_R100</t>
  </si>
  <si>
    <t>O_R55</t>
  </si>
  <si>
    <t>O_B40</t>
  </si>
  <si>
    <t>O_B16</t>
  </si>
  <si>
    <t>O_B42</t>
  </si>
  <si>
    <t>R83</t>
  </si>
  <si>
    <t>O_R83</t>
  </si>
  <si>
    <t>B72</t>
  </si>
  <si>
    <t>O_B72</t>
  </si>
  <si>
    <t>R62</t>
  </si>
  <si>
    <t>O_R62</t>
  </si>
  <si>
    <t>G40</t>
  </si>
  <si>
    <t>G80</t>
  </si>
  <si>
    <t>Y20</t>
  </si>
  <si>
    <t>Y88</t>
  </si>
  <si>
    <t>W54</t>
  </si>
  <si>
    <t>G96</t>
  </si>
  <si>
    <t>G41</t>
  </si>
  <si>
    <t>Y3</t>
  </si>
  <si>
    <t>Y39</t>
  </si>
  <si>
    <t>W81</t>
  </si>
  <si>
    <t>G2</t>
  </si>
  <si>
    <t>M_B60</t>
  </si>
  <si>
    <t>M_B24</t>
  </si>
  <si>
    <t>G31</t>
  </si>
  <si>
    <t>M_G31</t>
  </si>
  <si>
    <t>R89</t>
  </si>
  <si>
    <t>M_R89</t>
  </si>
  <si>
    <t>M_R24</t>
  </si>
  <si>
    <t>B59</t>
  </si>
  <si>
    <t>M_B59</t>
  </si>
  <si>
    <t>G23</t>
  </si>
  <si>
    <t>M_G23</t>
  </si>
  <si>
    <t>G7</t>
  </si>
  <si>
    <t>M_G7</t>
  </si>
  <si>
    <t>B84</t>
  </si>
  <si>
    <t>M_B84</t>
  </si>
  <si>
    <t>R67</t>
  </si>
  <si>
    <t>M_R67</t>
  </si>
  <si>
    <t>M_B3</t>
  </si>
  <si>
    <t>R4</t>
  </si>
  <si>
    <t>M_R4</t>
  </si>
  <si>
    <t>G46 Died 7/10</t>
  </si>
  <si>
    <t>G47B Died 7/15</t>
  </si>
  <si>
    <t>G65 Died 7/10</t>
  </si>
  <si>
    <t>G49B Died 7/15</t>
  </si>
  <si>
    <t>Y8 Died 7/10</t>
  </si>
  <si>
    <t>G41B Died 7/15</t>
  </si>
  <si>
    <t>G55 Died 7/10</t>
  </si>
  <si>
    <t>G44B Died 7/15</t>
  </si>
  <si>
    <t>B9</t>
  </si>
  <si>
    <t>Y11 Died 7/16</t>
  </si>
  <si>
    <t>B11</t>
  </si>
  <si>
    <t>W64 died 7/16</t>
  </si>
  <si>
    <t>Y99 died 7/16</t>
  </si>
  <si>
    <t>B10</t>
  </si>
  <si>
    <t>Y86 died 7/16</t>
  </si>
  <si>
    <t>Y45</t>
  </si>
  <si>
    <t>Missing 8/17</t>
  </si>
  <si>
    <t>Y53 died 7/16</t>
  </si>
  <si>
    <t>Y44 died 7/16</t>
  </si>
  <si>
    <t>B14</t>
  </si>
  <si>
    <t>Y81 died 7/16</t>
  </si>
  <si>
    <t>B62</t>
  </si>
  <si>
    <t>O_B62</t>
  </si>
  <si>
    <t>B17</t>
  </si>
  <si>
    <t>O_B17</t>
  </si>
  <si>
    <t>O_R67</t>
  </si>
  <si>
    <t>O_B45</t>
  </si>
  <si>
    <t>R77</t>
  </si>
  <si>
    <t>O_R77</t>
  </si>
  <si>
    <t>R54</t>
  </si>
  <si>
    <t>O_R54</t>
  </si>
  <si>
    <t>R64</t>
  </si>
  <si>
    <t>O_R64</t>
  </si>
  <si>
    <t>R96B</t>
  </si>
  <si>
    <t>O_R96B</t>
  </si>
  <si>
    <t>W31</t>
  </si>
  <si>
    <t>O_W31</t>
  </si>
  <si>
    <t>R38</t>
  </si>
  <si>
    <t>O_R38</t>
  </si>
  <si>
    <t>B99B</t>
  </si>
  <si>
    <t>O_B99</t>
  </si>
  <si>
    <t>O_R41</t>
  </si>
  <si>
    <t>M_R11</t>
  </si>
  <si>
    <t>G28</t>
  </si>
  <si>
    <t>M_G28</t>
  </si>
  <si>
    <t>M_R94</t>
  </si>
  <si>
    <t>M_B85</t>
  </si>
  <si>
    <t>R60</t>
  </si>
  <si>
    <t>M_R60</t>
  </si>
  <si>
    <t>R40</t>
  </si>
  <si>
    <t>M_R40</t>
  </si>
  <si>
    <t>R52</t>
  </si>
  <si>
    <t>M_R52</t>
  </si>
  <si>
    <t>M_R53</t>
  </si>
  <si>
    <t>G20</t>
  </si>
  <si>
    <t>M_G20</t>
  </si>
  <si>
    <t>M_B83</t>
  </si>
  <si>
    <t>G38</t>
  </si>
  <si>
    <t>M_G38</t>
  </si>
  <si>
    <t>M_G15</t>
  </si>
  <si>
    <t>R80</t>
  </si>
  <si>
    <t>M_R80</t>
  </si>
  <si>
    <t>M_B4</t>
  </si>
  <si>
    <t>R45</t>
  </si>
  <si>
    <t>M_R45</t>
  </si>
  <si>
    <t>B71</t>
  </si>
  <si>
    <t>M_B71</t>
  </si>
  <si>
    <t>B73 mix up?</t>
  </si>
  <si>
    <t xml:space="preserve">R8 </t>
  </si>
  <si>
    <t>M_R8</t>
  </si>
  <si>
    <t>M_B68</t>
  </si>
  <si>
    <t>R74</t>
  </si>
  <si>
    <t>M_R74</t>
  </si>
  <si>
    <t>B39</t>
  </si>
  <si>
    <t>M_B39</t>
  </si>
  <si>
    <t xml:space="preserve">G3 </t>
  </si>
  <si>
    <t>M_G3</t>
  </si>
  <si>
    <t>M_B41</t>
  </si>
  <si>
    <t>M_G26</t>
  </si>
  <si>
    <t>M_B64</t>
  </si>
  <si>
    <t>O_B76</t>
  </si>
  <si>
    <t>B23</t>
  </si>
  <si>
    <t>O_B23</t>
  </si>
  <si>
    <t>B50</t>
  </si>
  <si>
    <t>O_B50</t>
  </si>
  <si>
    <t>B80</t>
  </si>
  <si>
    <t>O_B80</t>
  </si>
  <si>
    <t>O_R60</t>
  </si>
  <si>
    <t>W41</t>
  </si>
  <si>
    <t>O_W41</t>
  </si>
  <si>
    <t>R90</t>
  </si>
  <si>
    <t>O_R90</t>
  </si>
  <si>
    <t>O_R63</t>
  </si>
  <si>
    <t>B22</t>
  </si>
  <si>
    <t>O_B22</t>
  </si>
  <si>
    <t>O_B32</t>
  </si>
  <si>
    <t>W33</t>
  </si>
  <si>
    <t>O_W33</t>
  </si>
  <si>
    <t>W1</t>
  </si>
  <si>
    <t>O_W1</t>
  </si>
  <si>
    <t>G53B</t>
  </si>
  <si>
    <t>Y23 Replaced 7/10</t>
  </si>
  <si>
    <t>Y6</t>
  </si>
  <si>
    <t>Y6 died 7/23</t>
  </si>
  <si>
    <t>G56B</t>
  </si>
  <si>
    <t>G51 Replaced 7/10</t>
  </si>
  <si>
    <t>G57B</t>
  </si>
  <si>
    <t>G71 Replaced 7/10</t>
  </si>
  <si>
    <t>Y78</t>
  </si>
  <si>
    <t>W95</t>
  </si>
  <si>
    <t>Y59</t>
  </si>
  <si>
    <t>Y28</t>
  </si>
  <si>
    <t>Y65</t>
  </si>
  <si>
    <t>G58</t>
  </si>
  <si>
    <t>W71</t>
  </si>
  <si>
    <t>Y58</t>
  </si>
  <si>
    <t>G68B</t>
  </si>
  <si>
    <t>W78</t>
  </si>
  <si>
    <t>G48</t>
  </si>
  <si>
    <t>G6</t>
  </si>
  <si>
    <t>W83</t>
  </si>
  <si>
    <t>Y21</t>
  </si>
  <si>
    <t>Y4</t>
  </si>
  <si>
    <t>M_B33</t>
  </si>
  <si>
    <t xml:space="preserve">R3 </t>
  </si>
  <si>
    <t>M_R3</t>
  </si>
  <si>
    <t>R85</t>
  </si>
  <si>
    <t>M_R85</t>
  </si>
  <si>
    <t>M_R56</t>
  </si>
  <si>
    <t>missing bee tag</t>
  </si>
  <si>
    <t>M_R100</t>
  </si>
  <si>
    <t>R20</t>
  </si>
  <si>
    <t>M_R20</t>
  </si>
  <si>
    <t>R61</t>
  </si>
  <si>
    <t>M_R61</t>
  </si>
  <si>
    <t>M_R84</t>
  </si>
  <si>
    <t>R79</t>
  </si>
  <si>
    <t>M_R79</t>
  </si>
  <si>
    <t>R33</t>
  </si>
  <si>
    <t>M_R33</t>
  </si>
  <si>
    <t>M_B100</t>
  </si>
  <si>
    <t>M_B91</t>
  </si>
  <si>
    <t>B98B</t>
  </si>
  <si>
    <t>O_B98B</t>
  </si>
  <si>
    <t>W35</t>
  </si>
  <si>
    <t>O_W35</t>
  </si>
  <si>
    <t>W44</t>
  </si>
  <si>
    <t>O_W44</t>
  </si>
  <si>
    <t>O_B4</t>
  </si>
  <si>
    <t>O_B14</t>
  </si>
  <si>
    <t>B90</t>
  </si>
  <si>
    <t>O_B90</t>
  </si>
  <si>
    <t>Date?</t>
  </si>
  <si>
    <t>O_R52</t>
  </si>
  <si>
    <t>W17</t>
  </si>
  <si>
    <t>O_W17</t>
  </si>
  <si>
    <t>V dead 8/17</t>
  </si>
  <si>
    <t>W25</t>
  </si>
  <si>
    <t>O_W25</t>
  </si>
  <si>
    <t>O_B51</t>
  </si>
  <si>
    <t>O_B59</t>
  </si>
  <si>
    <t>O_B94</t>
  </si>
  <si>
    <t>W8</t>
  </si>
  <si>
    <t>O_W8</t>
  </si>
  <si>
    <t>O_B10</t>
  </si>
  <si>
    <t>O_R61</t>
  </si>
  <si>
    <t>R93</t>
  </si>
  <si>
    <t>O_R93</t>
  </si>
  <si>
    <t>Was long dead 8/10</t>
  </si>
  <si>
    <t>W14</t>
  </si>
  <si>
    <t>O_W14</t>
  </si>
  <si>
    <t>R14</t>
  </si>
  <si>
    <t>O_R14</t>
  </si>
  <si>
    <t>O_B39</t>
  </si>
  <si>
    <t>B95</t>
  </si>
  <si>
    <t>O_B95</t>
  </si>
  <si>
    <t>O_B21</t>
  </si>
  <si>
    <t>O_B53</t>
  </si>
  <si>
    <t>W20</t>
  </si>
  <si>
    <t>O_W20</t>
  </si>
  <si>
    <t>W6</t>
  </si>
  <si>
    <t>O_W6</t>
  </si>
  <si>
    <t>Double pulled off</t>
  </si>
  <si>
    <t>B15</t>
  </si>
  <si>
    <t>M_B15</t>
  </si>
  <si>
    <t>M_R39</t>
  </si>
  <si>
    <t xml:space="preserve">R10 </t>
  </si>
  <si>
    <t>M_R10</t>
  </si>
  <si>
    <t>M_R15</t>
  </si>
  <si>
    <t>M_B34</t>
  </si>
  <si>
    <t>B99</t>
  </si>
  <si>
    <t>M_B99</t>
  </si>
  <si>
    <t>R29</t>
  </si>
  <si>
    <t>M_R29</t>
  </si>
  <si>
    <t>B89</t>
  </si>
  <si>
    <t>M_B89</t>
  </si>
  <si>
    <t>M_B17</t>
  </si>
  <si>
    <t>B66</t>
  </si>
  <si>
    <t>M_B66</t>
  </si>
  <si>
    <t>M_B2</t>
  </si>
  <si>
    <t>G50B</t>
  </si>
  <si>
    <t>W100 Died 7/10</t>
  </si>
  <si>
    <t>Y90</t>
  </si>
  <si>
    <t>17-Aug bag??</t>
  </si>
  <si>
    <t>Y16</t>
  </si>
  <si>
    <t>G47</t>
  </si>
  <si>
    <t>G49</t>
  </si>
  <si>
    <t>Y87</t>
  </si>
  <si>
    <t>Y57</t>
  </si>
  <si>
    <t>Y92</t>
  </si>
  <si>
    <t>W60</t>
  </si>
  <si>
    <t>W86</t>
  </si>
  <si>
    <t>W77</t>
  </si>
  <si>
    <t>Y41</t>
  </si>
  <si>
    <t>M_B62</t>
  </si>
  <si>
    <t>B44</t>
  </si>
  <si>
    <t>M_B44</t>
  </si>
  <si>
    <t>M_R83</t>
  </si>
  <si>
    <t>M_B28</t>
  </si>
  <si>
    <t>M_G33</t>
  </si>
  <si>
    <t>G14</t>
  </si>
  <si>
    <t>M_G14</t>
  </si>
  <si>
    <t>R46</t>
  </si>
  <si>
    <t>M_R46</t>
  </si>
  <si>
    <t>M_R50</t>
  </si>
  <si>
    <t>R47</t>
  </si>
  <si>
    <t>M_R47</t>
  </si>
  <si>
    <t>R51</t>
  </si>
  <si>
    <t>M_R51</t>
  </si>
  <si>
    <t>B87</t>
  </si>
  <si>
    <t>M_B87</t>
  </si>
  <si>
    <t>M_R91</t>
  </si>
  <si>
    <t>G82</t>
  </si>
  <si>
    <t>G82? 2 measured 19.186</t>
  </si>
  <si>
    <t>Y83</t>
  </si>
  <si>
    <t>G88</t>
  </si>
  <si>
    <t>W56</t>
  </si>
  <si>
    <t>Two labeled? 27.757</t>
  </si>
  <si>
    <t>Y75</t>
  </si>
  <si>
    <t>Y19</t>
  </si>
  <si>
    <t>W97</t>
  </si>
  <si>
    <t>Y72</t>
  </si>
  <si>
    <t>G87</t>
  </si>
  <si>
    <t>W92</t>
  </si>
  <si>
    <t>G24</t>
  </si>
  <si>
    <t>G86</t>
  </si>
  <si>
    <t>B70</t>
  </si>
  <si>
    <t>O_B70</t>
  </si>
  <si>
    <t>O_B71</t>
  </si>
  <si>
    <t>R16</t>
  </si>
  <si>
    <t>O_R16</t>
  </si>
  <si>
    <t>B55</t>
  </si>
  <si>
    <t>O_B55</t>
  </si>
  <si>
    <t>O_R51</t>
  </si>
  <si>
    <t>B43</t>
  </si>
  <si>
    <t>O_B43</t>
  </si>
  <si>
    <t>O_R46</t>
  </si>
  <si>
    <t>W18</t>
  </si>
  <si>
    <t>O_W18</t>
  </si>
  <si>
    <t>O_B44</t>
  </si>
  <si>
    <t>O_B1</t>
  </si>
  <si>
    <t>W21</t>
  </si>
  <si>
    <t>O_W21</t>
  </si>
  <si>
    <t>W13</t>
  </si>
  <si>
    <t>O_W13</t>
  </si>
  <si>
    <t>G66B</t>
  </si>
  <si>
    <t>W88</t>
  </si>
  <si>
    <t>W82</t>
  </si>
  <si>
    <t>G89</t>
  </si>
  <si>
    <t>scratched tag</t>
  </si>
  <si>
    <t>Y24</t>
  </si>
  <si>
    <t>Y89</t>
  </si>
  <si>
    <t>Died 7/22</t>
  </si>
  <si>
    <t>W52</t>
  </si>
  <si>
    <t>G18</t>
  </si>
  <si>
    <t>Y2</t>
  </si>
  <si>
    <t>G39</t>
  </si>
  <si>
    <t>R72</t>
  </si>
  <si>
    <t>R34</t>
  </si>
  <si>
    <t>W2</t>
  </si>
  <si>
    <t>R22</t>
  </si>
  <si>
    <t>W28</t>
  </si>
  <si>
    <t>R86</t>
  </si>
  <si>
    <t>R31</t>
  </si>
  <si>
    <t>R98</t>
  </si>
  <si>
    <t>W45</t>
  </si>
  <si>
    <t>W19</t>
  </si>
  <si>
    <t>W46</t>
  </si>
  <si>
    <t>R17</t>
  </si>
  <si>
    <t>Was v dead 8/8/25</t>
  </si>
  <si>
    <t>W36</t>
  </si>
  <si>
    <t>W29</t>
  </si>
  <si>
    <t>G63</t>
  </si>
  <si>
    <t>W59</t>
  </si>
  <si>
    <t>W66</t>
  </si>
  <si>
    <t>G5</t>
  </si>
  <si>
    <t>Y52</t>
  </si>
  <si>
    <t>G94</t>
  </si>
  <si>
    <t>G64</t>
  </si>
  <si>
    <t>Y95</t>
  </si>
  <si>
    <t>G81</t>
  </si>
  <si>
    <t>R19</t>
  </si>
  <si>
    <t>B63</t>
  </si>
  <si>
    <t>R71</t>
  </si>
  <si>
    <t>R70</t>
  </si>
  <si>
    <t>W50</t>
  </si>
  <si>
    <t>G43</t>
  </si>
  <si>
    <t>G90</t>
  </si>
  <si>
    <t>W62</t>
  </si>
  <si>
    <t>G67</t>
  </si>
  <si>
    <t>W70</t>
  </si>
  <si>
    <t>Y91</t>
  </si>
  <si>
    <t>Y36</t>
  </si>
  <si>
    <t>G83</t>
  </si>
  <si>
    <t>Died 7/23</t>
  </si>
  <si>
    <t>Y14</t>
  </si>
  <si>
    <t>Died 7/20 ish</t>
  </si>
  <si>
    <t>Y29</t>
  </si>
  <si>
    <t>Died 7/20</t>
  </si>
  <si>
    <t>G19</t>
  </si>
  <si>
    <t>Dead 8/10</t>
  </si>
  <si>
    <t>G34</t>
  </si>
  <si>
    <t>Died 7/21</t>
  </si>
  <si>
    <t>W24</t>
  </si>
  <si>
    <t>W7</t>
  </si>
  <si>
    <t>W32</t>
  </si>
  <si>
    <t>W30</t>
  </si>
  <si>
    <t>W37</t>
  </si>
  <si>
    <t>R8</t>
  </si>
  <si>
    <t>B73</t>
  </si>
  <si>
    <t>W12</t>
  </si>
  <si>
    <t>Tag looks yellow after oven</t>
  </si>
  <si>
    <t>R48</t>
  </si>
  <si>
    <t>Removed double</t>
  </si>
  <si>
    <t>W39</t>
  </si>
  <si>
    <t>B81</t>
  </si>
  <si>
    <t>B81? Was labeled b8 on mastersheet</t>
  </si>
  <si>
    <t>R1</t>
  </si>
  <si>
    <t>R18</t>
  </si>
  <si>
    <t>R2</t>
  </si>
  <si>
    <t>Died 8/10</t>
  </si>
  <si>
    <t>R81</t>
  </si>
  <si>
    <t>B29</t>
  </si>
  <si>
    <t>V dead 8/10</t>
  </si>
  <si>
    <t>Y43</t>
  </si>
  <si>
    <t>Y47</t>
  </si>
  <si>
    <t>W69</t>
  </si>
  <si>
    <t>W96</t>
  </si>
  <si>
    <t>G54</t>
  </si>
  <si>
    <t>Y9B</t>
  </si>
  <si>
    <t>W87</t>
  </si>
  <si>
    <t xml:space="preserve">W1 </t>
  </si>
  <si>
    <t>Was green, swapped tag</t>
  </si>
  <si>
    <t>G29</t>
  </si>
  <si>
    <t xml:space="preserve">W5 </t>
  </si>
  <si>
    <t>Removed large barnacle at end</t>
  </si>
  <si>
    <t>R32</t>
  </si>
  <si>
    <t>R95</t>
  </si>
  <si>
    <t>missing 8/17</t>
  </si>
  <si>
    <t>W26</t>
  </si>
  <si>
    <t>R23</t>
  </si>
  <si>
    <t>W11</t>
  </si>
  <si>
    <t>W23</t>
  </si>
  <si>
    <t>W34</t>
  </si>
  <si>
    <t>W47</t>
  </si>
  <si>
    <t>G73</t>
  </si>
  <si>
    <t>Y1</t>
  </si>
  <si>
    <t>may be labeled differently elsewhere</t>
  </si>
  <si>
    <t>G76</t>
  </si>
  <si>
    <t>W72</t>
  </si>
  <si>
    <t>W98B</t>
  </si>
  <si>
    <t>Y100</t>
  </si>
  <si>
    <t>Y34</t>
  </si>
  <si>
    <t>Y25</t>
  </si>
  <si>
    <t>G84</t>
  </si>
  <si>
    <t xml:space="preserve">Mussel </t>
  </si>
  <si>
    <t>R5</t>
  </si>
  <si>
    <t>Y48</t>
  </si>
  <si>
    <t>G93</t>
  </si>
  <si>
    <t>Y63</t>
  </si>
  <si>
    <t>Y94</t>
  </si>
  <si>
    <t>G79</t>
  </si>
  <si>
    <t>Y79</t>
  </si>
  <si>
    <t>Y67</t>
  </si>
  <si>
    <t>G3</t>
  </si>
  <si>
    <t>G45</t>
  </si>
  <si>
    <t>W76</t>
  </si>
  <si>
    <t>Was labeled B83 in mastersheet</t>
  </si>
  <si>
    <t>R99B</t>
  </si>
  <si>
    <t>R10</t>
  </si>
  <si>
    <t>W90</t>
  </si>
  <si>
    <t>W74</t>
  </si>
  <si>
    <t>Y40</t>
  </si>
  <si>
    <t>Y96</t>
  </si>
  <si>
    <t>W51</t>
  </si>
  <si>
    <t>Y50</t>
  </si>
  <si>
    <t>Y56</t>
  </si>
  <si>
    <t>G42B</t>
  </si>
  <si>
    <t>Y64 Died 7/10</t>
  </si>
  <si>
    <t>Y33</t>
  </si>
  <si>
    <t>missing tag</t>
  </si>
  <si>
    <t>G92</t>
  </si>
  <si>
    <t>Y12</t>
  </si>
  <si>
    <t>G56</t>
  </si>
  <si>
    <t>dead 8/10</t>
  </si>
  <si>
    <t>B75</t>
  </si>
  <si>
    <t>Height (mm)</t>
  </si>
  <si>
    <t>Comment</t>
  </si>
  <si>
    <t>O_R1</t>
  </si>
  <si>
    <t>Missing tags R5 &amp; R6</t>
  </si>
  <si>
    <t>O_R2</t>
  </si>
  <si>
    <t>Died before expt</t>
  </si>
  <si>
    <t>R18 &amp; R40 was dead when labeled</t>
  </si>
  <si>
    <t>B79 &amp; B93 was dead when labeled</t>
  </si>
  <si>
    <t>O_R4</t>
  </si>
  <si>
    <t>LABEL Y7 &amp; Y84 WAS LOST</t>
  </si>
  <si>
    <t>Died before expt:</t>
  </si>
  <si>
    <t>O_R8</t>
  </si>
  <si>
    <t>O_R10</t>
  </si>
  <si>
    <t>W43</t>
  </si>
  <si>
    <t>O_R12</t>
  </si>
  <si>
    <t>O_R17</t>
  </si>
  <si>
    <t>O_R19</t>
  </si>
  <si>
    <t>O_R20</t>
  </si>
  <si>
    <t>O_R22</t>
  </si>
  <si>
    <t>O_R23</t>
  </si>
  <si>
    <t>O_R25</t>
  </si>
  <si>
    <t>O_R26</t>
  </si>
  <si>
    <t>O_R29</t>
  </si>
  <si>
    <t>O_R31</t>
  </si>
  <si>
    <t>O_R32</t>
  </si>
  <si>
    <t>O_R33</t>
  </si>
  <si>
    <t>O_R34</t>
  </si>
  <si>
    <t>O_R35</t>
  </si>
  <si>
    <t>rounded the length out for measurement. Slightly angled</t>
  </si>
  <si>
    <t>O_R45</t>
  </si>
  <si>
    <t>O_R47</t>
  </si>
  <si>
    <t>O_R48</t>
  </si>
  <si>
    <t>O_R57</t>
  </si>
  <si>
    <t>O_R58</t>
  </si>
  <si>
    <t>O_R68</t>
  </si>
  <si>
    <t>O_R69</t>
  </si>
  <si>
    <t>O_R70</t>
  </si>
  <si>
    <t>O_R71</t>
  </si>
  <si>
    <t>O_R72</t>
  </si>
  <si>
    <t>O_R74</t>
  </si>
  <si>
    <t>O_R75</t>
  </si>
  <si>
    <t>O_R76</t>
  </si>
  <si>
    <t>O_R79</t>
  </si>
  <si>
    <t>O_R80</t>
  </si>
  <si>
    <t>O_R81</t>
  </si>
  <si>
    <t>O_R82</t>
  </si>
  <si>
    <t>O_R85</t>
  </si>
  <si>
    <t>O_R86</t>
  </si>
  <si>
    <t>O_R88</t>
  </si>
  <si>
    <t>O_R92</t>
  </si>
  <si>
    <t>O_R95</t>
  </si>
  <si>
    <t>O_R98</t>
  </si>
  <si>
    <t>O_R99B</t>
  </si>
  <si>
    <t>O_B2</t>
  </si>
  <si>
    <t>O_B3</t>
  </si>
  <si>
    <t>O_B6</t>
  </si>
  <si>
    <t>O_B9</t>
  </si>
  <si>
    <t>O_B11</t>
  </si>
  <si>
    <t>O_B12</t>
  </si>
  <si>
    <t>O_B15</t>
  </si>
  <si>
    <t>O_B19</t>
  </si>
  <si>
    <t>O_B26</t>
  </si>
  <si>
    <t>O_B29</t>
  </si>
  <si>
    <t>O_B36</t>
  </si>
  <si>
    <t>O_B37</t>
  </si>
  <si>
    <t>O_B38</t>
  </si>
  <si>
    <t>O_B48</t>
  </si>
  <si>
    <t>O_B63</t>
  </si>
  <si>
    <t>O_B66</t>
  </si>
  <si>
    <t>O_B67</t>
  </si>
  <si>
    <t>O_B73</t>
  </si>
  <si>
    <t>O_B75</t>
  </si>
  <si>
    <t>O_B77</t>
  </si>
  <si>
    <t>O_B81</t>
  </si>
  <si>
    <t>O_B82</t>
  </si>
  <si>
    <t>O_B84</t>
  </si>
  <si>
    <t>O_B87</t>
  </si>
  <si>
    <t>O_W2</t>
  </si>
  <si>
    <t>W4</t>
  </si>
  <si>
    <t>O_W4</t>
  </si>
  <si>
    <t>O_W7</t>
  </si>
  <si>
    <t>W9</t>
  </si>
  <si>
    <t>O_W11</t>
  </si>
  <si>
    <t>O_W12</t>
  </si>
  <si>
    <t>O_W19</t>
  </si>
  <si>
    <t>O_W23</t>
  </si>
  <si>
    <t>O_W24</t>
  </si>
  <si>
    <t>O_W26</t>
  </si>
  <si>
    <t>O_W28</t>
  </si>
  <si>
    <t>O_W29</t>
  </si>
  <si>
    <t>O_W30</t>
  </si>
  <si>
    <t>O_W32</t>
  </si>
  <si>
    <t>O_W34</t>
  </si>
  <si>
    <t>O_W36</t>
  </si>
  <si>
    <t>O_W37</t>
  </si>
  <si>
    <t>O_W39</t>
  </si>
  <si>
    <t>O_W43</t>
  </si>
  <si>
    <t>Dead</t>
  </si>
  <si>
    <t>O_W45</t>
  </si>
  <si>
    <t>O_W46</t>
  </si>
  <si>
    <t>O_W47</t>
  </si>
  <si>
    <t>O_Y1</t>
  </si>
  <si>
    <t>O_Y2</t>
  </si>
  <si>
    <t>S_Y1</t>
  </si>
  <si>
    <t>S_Y2</t>
  </si>
  <si>
    <t>S_Y3</t>
  </si>
  <si>
    <t>S_Y4</t>
  </si>
  <si>
    <t>S_Y6</t>
  </si>
  <si>
    <t>Y8</t>
  </si>
  <si>
    <t>S_Y8</t>
  </si>
  <si>
    <t>S_Y9B</t>
  </si>
  <si>
    <t>Y10</t>
  </si>
  <si>
    <t>S_Y10</t>
  </si>
  <si>
    <t>Y11</t>
  </si>
  <si>
    <t>S_Y11</t>
  </si>
  <si>
    <t>S_Y12</t>
  </si>
  <si>
    <t>S_Y14</t>
  </si>
  <si>
    <t>S_Y16</t>
  </si>
  <si>
    <t>Y17</t>
  </si>
  <si>
    <t>S_Y17</t>
  </si>
  <si>
    <t>Y18</t>
  </si>
  <si>
    <t>S_Y18</t>
  </si>
  <si>
    <t>S_Y19</t>
  </si>
  <si>
    <t>S_Y20</t>
  </si>
  <si>
    <t>S_Y21</t>
  </si>
  <si>
    <t>Y23</t>
  </si>
  <si>
    <t>S_Y23</t>
  </si>
  <si>
    <t>S_Y24</t>
  </si>
  <si>
    <t>S_Y25</t>
  </si>
  <si>
    <t>Y27</t>
  </si>
  <si>
    <t>S_Y27</t>
  </si>
  <si>
    <t>S_Y28</t>
  </si>
  <si>
    <t>S_Y29</t>
  </si>
  <si>
    <t>S_Y33</t>
  </si>
  <si>
    <t>S_Y34</t>
  </si>
  <si>
    <t>S_Y36</t>
  </si>
  <si>
    <t>S_Y39</t>
  </si>
  <si>
    <t>S_Y40</t>
  </si>
  <si>
    <t>S_Y41</t>
  </si>
  <si>
    <t>S_Y43</t>
  </si>
  <si>
    <t>Y44</t>
  </si>
  <si>
    <t>S_Y44</t>
  </si>
  <si>
    <t>S_Y45</t>
  </si>
  <si>
    <t>S_Y47</t>
  </si>
  <si>
    <t>S_Y48</t>
  </si>
  <si>
    <t>S_Y50</t>
  </si>
  <si>
    <t>S_Y52</t>
  </si>
  <si>
    <t>Y53</t>
  </si>
  <si>
    <t>S_Y53</t>
  </si>
  <si>
    <t>S_Y56</t>
  </si>
  <si>
    <t>S_Y57</t>
  </si>
  <si>
    <t>S_Y58</t>
  </si>
  <si>
    <t>S_Y59</t>
  </si>
  <si>
    <t>S_Y63</t>
  </si>
  <si>
    <t>Y64</t>
  </si>
  <si>
    <t>S_Y64</t>
  </si>
  <si>
    <t>S_Y65</t>
  </si>
  <si>
    <t>S_Y67</t>
  </si>
  <si>
    <t>Y69B</t>
  </si>
  <si>
    <t>S_Y69B</t>
  </si>
  <si>
    <t>S_Y72</t>
  </si>
  <si>
    <t>Y73</t>
  </si>
  <si>
    <t>S_Y73</t>
  </si>
  <si>
    <t>S_Y75</t>
  </si>
  <si>
    <t>Y76</t>
  </si>
  <si>
    <t>S_Y76</t>
  </si>
  <si>
    <t>Y77</t>
  </si>
  <si>
    <t>S_Y77</t>
  </si>
  <si>
    <t>S_Y78</t>
  </si>
  <si>
    <t>S_Y79</t>
  </si>
  <si>
    <t>Y80</t>
  </si>
  <si>
    <t>S_Y80</t>
  </si>
  <si>
    <t>Y81</t>
  </si>
  <si>
    <t>S_Y81</t>
  </si>
  <si>
    <t>S_Y83</t>
  </si>
  <si>
    <t>Y85</t>
  </si>
  <si>
    <t>S_Y85</t>
  </si>
  <si>
    <t>Y86</t>
  </si>
  <si>
    <t>S_Y86</t>
  </si>
  <si>
    <t>S_Y87</t>
  </si>
  <si>
    <t>S_Y88</t>
  </si>
  <si>
    <t>S_Y89</t>
  </si>
  <si>
    <t>S_Y90</t>
  </si>
  <si>
    <t>S_Y91</t>
  </si>
  <si>
    <t>S_Y92</t>
  </si>
  <si>
    <t>Y93</t>
  </si>
  <si>
    <t>S_Y93</t>
  </si>
  <si>
    <t>S_Y94</t>
  </si>
  <si>
    <t>S_Y95</t>
  </si>
  <si>
    <t>S_Y96</t>
  </si>
  <si>
    <t>Y99</t>
  </si>
  <si>
    <t>S_Y99</t>
  </si>
  <si>
    <t>S_Y100</t>
  </si>
  <si>
    <t xml:space="preserve">S_W1 </t>
  </si>
  <si>
    <t>S_W2</t>
  </si>
  <si>
    <t>S_W3</t>
  </si>
  <si>
    <t xml:space="preserve">S_W5 </t>
  </si>
  <si>
    <t>S_W50</t>
  </si>
  <si>
    <t>S_W51</t>
  </si>
  <si>
    <t>S_W52</t>
  </si>
  <si>
    <t>S_W54</t>
  </si>
  <si>
    <t>S_W56</t>
  </si>
  <si>
    <t>S_W59</t>
  </si>
  <si>
    <t>S_W60</t>
  </si>
  <si>
    <t>S_W62</t>
  </si>
  <si>
    <t>W64</t>
  </si>
  <si>
    <t>S_W64</t>
  </si>
  <si>
    <t>S_W66</t>
  </si>
  <si>
    <t>S_W69</t>
  </si>
  <si>
    <t>S_W70</t>
  </si>
  <si>
    <t>S_W71</t>
  </si>
  <si>
    <t>S_W72</t>
  </si>
  <si>
    <t>S_W76</t>
  </si>
  <si>
    <t>S_W74</t>
  </si>
  <si>
    <t>S_W77</t>
  </si>
  <si>
    <t>S_W78</t>
  </si>
  <si>
    <t>S_W81</t>
  </si>
  <si>
    <t>S_W82</t>
  </si>
  <si>
    <t>S_W83</t>
  </si>
  <si>
    <t>S_W86</t>
  </si>
  <si>
    <t>S_W87</t>
  </si>
  <si>
    <t>S_W88</t>
  </si>
  <si>
    <t>S_W92</t>
  </si>
  <si>
    <t>S_W90</t>
  </si>
  <si>
    <t>W91</t>
  </si>
  <si>
    <t>S_W91</t>
  </si>
  <si>
    <t>S_W95</t>
  </si>
  <si>
    <t>S_W96</t>
  </si>
  <si>
    <t>S_W97</t>
  </si>
  <si>
    <t>S_W98B</t>
  </si>
  <si>
    <t>W100</t>
  </si>
  <si>
    <t>S_W100</t>
  </si>
  <si>
    <t>Missing G21 and G100</t>
  </si>
  <si>
    <t>S_G2</t>
  </si>
  <si>
    <t>S_G3</t>
  </si>
  <si>
    <t>S_G4</t>
  </si>
  <si>
    <t>S_G5</t>
  </si>
  <si>
    <t>S_G6</t>
  </si>
  <si>
    <t>S_G7</t>
  </si>
  <si>
    <t>G9B</t>
  </si>
  <si>
    <t>S_G10</t>
  </si>
  <si>
    <t>S_G12</t>
  </si>
  <si>
    <t>S_G14</t>
  </si>
  <si>
    <t>S_G16</t>
  </si>
  <si>
    <t>S_G17</t>
  </si>
  <si>
    <t>S_G18</t>
  </si>
  <si>
    <t>S_G19</t>
  </si>
  <si>
    <t>S_G20</t>
  </si>
  <si>
    <t>S_G22</t>
  </si>
  <si>
    <t>S_G23</t>
  </si>
  <si>
    <t>S_G24</t>
  </si>
  <si>
    <t>S_G28</t>
  </si>
  <si>
    <t>S_G29</t>
  </si>
  <si>
    <t>S_G31</t>
  </si>
  <si>
    <t>S_G32</t>
  </si>
  <si>
    <t>S_G34</t>
  </si>
  <si>
    <t>S_G35</t>
  </si>
  <si>
    <t>S_G36</t>
  </si>
  <si>
    <t>S_G38</t>
  </si>
  <si>
    <t>S_G39</t>
  </si>
  <si>
    <t>S_G40</t>
  </si>
  <si>
    <t>S_G41</t>
  </si>
  <si>
    <t>S_G43</t>
  </si>
  <si>
    <t>S_G45</t>
  </si>
  <si>
    <t>G46</t>
  </si>
  <si>
    <t>S_G46</t>
  </si>
  <si>
    <t>S_G47</t>
  </si>
  <si>
    <t>S_G49</t>
  </si>
  <si>
    <t>S_G51</t>
  </si>
  <si>
    <t>S_G52</t>
  </si>
  <si>
    <t>S_G54</t>
  </si>
  <si>
    <t>G55</t>
  </si>
  <si>
    <t>S_G55</t>
  </si>
  <si>
    <t>S_G56</t>
  </si>
  <si>
    <t>G57</t>
  </si>
  <si>
    <t>S_G57</t>
  </si>
  <si>
    <t>S_G58</t>
  </si>
  <si>
    <t>G60</t>
  </si>
  <si>
    <t>S_G60</t>
  </si>
  <si>
    <t>G62</t>
  </si>
  <si>
    <t>S_G62</t>
  </si>
  <si>
    <t>S_G63</t>
  </si>
  <si>
    <t>S_G64</t>
  </si>
  <si>
    <t>G65</t>
  </si>
  <si>
    <t>S_G65</t>
  </si>
  <si>
    <t>S_G66B</t>
  </si>
  <si>
    <t>S_G67</t>
  </si>
  <si>
    <t>S_G68B</t>
  </si>
  <si>
    <t>S_G73</t>
  </si>
  <si>
    <t>G74</t>
  </si>
  <si>
    <t>S_G74</t>
  </si>
  <si>
    <t>S_G76</t>
  </si>
  <si>
    <t>G77</t>
  </si>
  <si>
    <t>S_G77</t>
  </si>
  <si>
    <t>S_G79</t>
  </si>
  <si>
    <t>S_G80</t>
  </si>
  <si>
    <t>S_G81</t>
  </si>
  <si>
    <t>S_G82</t>
  </si>
  <si>
    <t>S_G83</t>
  </si>
  <si>
    <t>S_G84</t>
  </si>
  <si>
    <t>S_G86</t>
  </si>
  <si>
    <t>S_G87</t>
  </si>
  <si>
    <t>S_G88</t>
  </si>
  <si>
    <t>S_G89</t>
  </si>
  <si>
    <t>S_G90</t>
  </si>
  <si>
    <t>S_G92</t>
  </si>
  <si>
    <t>S_G93</t>
  </si>
  <si>
    <t>S_G94</t>
  </si>
  <si>
    <t>G95</t>
  </si>
  <si>
    <t>S_G95</t>
  </si>
  <si>
    <t>S_G96</t>
  </si>
  <si>
    <t>S_G53B</t>
  </si>
  <si>
    <t>G55B</t>
  </si>
  <si>
    <t>S_G55B</t>
  </si>
  <si>
    <t>S_G56B</t>
  </si>
  <si>
    <t>S_G57B</t>
  </si>
  <si>
    <t>S_G48B</t>
  </si>
  <si>
    <t>S_G42B</t>
  </si>
  <si>
    <t>G45B</t>
  </si>
  <si>
    <t>S_G45B</t>
  </si>
  <si>
    <t>G49B</t>
  </si>
  <si>
    <t>S_G49B</t>
  </si>
  <si>
    <t>G47B</t>
  </si>
  <si>
    <t>S_G47B</t>
  </si>
  <si>
    <t>G41B</t>
  </si>
  <si>
    <t>S_G41B</t>
  </si>
  <si>
    <t>G44B</t>
  </si>
  <si>
    <t>S_G44B</t>
  </si>
  <si>
    <t>S_G50B</t>
  </si>
  <si>
    <t>G46B</t>
  </si>
  <si>
    <t>S_G46B</t>
  </si>
  <si>
    <t>M_R1</t>
  </si>
  <si>
    <t>M_R2</t>
  </si>
  <si>
    <t>M_R5</t>
  </si>
  <si>
    <t>M_R7</t>
  </si>
  <si>
    <t>M_R9</t>
  </si>
  <si>
    <t>M_R14</t>
  </si>
  <si>
    <t>M_R16</t>
  </si>
  <si>
    <t>M_R17</t>
  </si>
  <si>
    <t>M_R18</t>
  </si>
  <si>
    <t>M_R19</t>
  </si>
  <si>
    <t>M_R21</t>
  </si>
  <si>
    <t>M_R22</t>
  </si>
  <si>
    <t>M_R23</t>
  </si>
  <si>
    <t>M_R31</t>
  </si>
  <si>
    <t>M_R32</t>
  </si>
  <si>
    <t>M_R34</t>
  </si>
  <si>
    <t>M_R36</t>
  </si>
  <si>
    <t>M_R37</t>
  </si>
  <si>
    <t>M_R38</t>
  </si>
  <si>
    <t>M_R43</t>
  </si>
  <si>
    <t>M_R44</t>
  </si>
  <si>
    <t>M_R48</t>
  </si>
  <si>
    <t>M_R54</t>
  </si>
  <si>
    <t>M_R59</t>
  </si>
  <si>
    <t>M_R62</t>
  </si>
  <si>
    <t>M_R64</t>
  </si>
  <si>
    <t>M_R65</t>
  </si>
  <si>
    <t>M_R70</t>
  </si>
  <si>
    <t>M_R71</t>
  </si>
  <si>
    <t>M_R72</t>
  </si>
  <si>
    <t>M_R77</t>
  </si>
  <si>
    <t>M_R81</t>
  </si>
  <si>
    <t>M_R86</t>
  </si>
  <si>
    <t>M_R87</t>
  </si>
  <si>
    <t>M_R90</t>
  </si>
  <si>
    <t>M_R93</t>
  </si>
  <si>
    <t>M_R95</t>
  </si>
  <si>
    <t>barnacles covering entire bottom</t>
  </si>
  <si>
    <t>M_R98</t>
  </si>
  <si>
    <t>M_B1</t>
  </si>
  <si>
    <t>M_B5</t>
  </si>
  <si>
    <t>M_B7</t>
  </si>
  <si>
    <t>M_B9</t>
  </si>
  <si>
    <t>M_B10</t>
  </si>
  <si>
    <t>M_B11</t>
  </si>
  <si>
    <t>M_B13</t>
  </si>
  <si>
    <t>M_B14</t>
  </si>
  <si>
    <t>M_B22</t>
  </si>
  <si>
    <t>M_B23</t>
  </si>
  <si>
    <t>M_B27</t>
  </si>
  <si>
    <t>M_B29</t>
  </si>
  <si>
    <t>M_B35</t>
  </si>
  <si>
    <t>M_B43</t>
  </si>
  <si>
    <t>M_B46</t>
  </si>
  <si>
    <t>Cracked but alive- not using</t>
  </si>
  <si>
    <t>M_B47</t>
  </si>
  <si>
    <t>M_B49</t>
  </si>
  <si>
    <t>M_B50</t>
  </si>
  <si>
    <t>M_B55</t>
  </si>
  <si>
    <t>M_B56</t>
  </si>
  <si>
    <t>M_B63</t>
  </si>
  <si>
    <t>M_B70</t>
  </si>
  <si>
    <t>M_B72</t>
  </si>
  <si>
    <t>M_B73</t>
  </si>
  <si>
    <t>M_B74</t>
  </si>
  <si>
    <t>M_B75</t>
  </si>
  <si>
    <t>M_B80</t>
  </si>
  <si>
    <t>M_B81</t>
  </si>
  <si>
    <t>M_B90</t>
  </si>
  <si>
    <t>M_B95</t>
  </si>
  <si>
    <t>M_B96</t>
  </si>
  <si>
    <t>M_B97</t>
  </si>
  <si>
    <t>M_B98</t>
  </si>
  <si>
    <t>M_G2</t>
  </si>
  <si>
    <t>M_G5</t>
  </si>
  <si>
    <t>M_G6</t>
  </si>
  <si>
    <t>M_G8</t>
  </si>
  <si>
    <t>M_G9</t>
  </si>
  <si>
    <t>M_G13</t>
  </si>
  <si>
    <t>M_G18</t>
  </si>
  <si>
    <t>M_G19</t>
  </si>
  <si>
    <t>M_G24</t>
  </si>
  <si>
    <t>M_G25</t>
  </si>
  <si>
    <t>M_G27</t>
  </si>
  <si>
    <t>M_G29</t>
  </si>
  <si>
    <t>M_G34</t>
  </si>
  <si>
    <t>M_G37</t>
  </si>
  <si>
    <t>M_G39</t>
  </si>
  <si>
    <t>M_G40</t>
  </si>
  <si>
    <t>M_Y3</t>
  </si>
  <si>
    <t>M_Y4</t>
  </si>
  <si>
    <t>Weights:</t>
  </si>
  <si>
    <t xml:space="preserve">Tank 1 box 9 has been replaced with B1,B2,B3,B4 </t>
  </si>
  <si>
    <t>Tank 9 box 1 has been replaced wih B5,B6,B7,B8</t>
  </si>
  <si>
    <t>Box</t>
  </si>
  <si>
    <t>Bee Tag</t>
  </si>
  <si>
    <t>Diet</t>
  </si>
  <si>
    <t>O_B_54</t>
  </si>
  <si>
    <t>O_B_65</t>
  </si>
  <si>
    <t>O_W_15</t>
  </si>
  <si>
    <t>M_B_31</t>
  </si>
  <si>
    <t>M_B_52</t>
  </si>
  <si>
    <t>M_B_51</t>
  </si>
  <si>
    <t>S_Y_74</t>
  </si>
  <si>
    <t>S_G_37</t>
  </si>
  <si>
    <t>S_B_3</t>
  </si>
  <si>
    <t>O_B_34</t>
  </si>
  <si>
    <t>O_W_16</t>
  </si>
  <si>
    <t>O_B_89</t>
  </si>
  <si>
    <t>S_G_13</t>
  </si>
  <si>
    <t>S_W_61</t>
  </si>
  <si>
    <t>S_G_43</t>
  </si>
  <si>
    <t>M_B_25</t>
  </si>
  <si>
    <t>M_G_22</t>
  </si>
  <si>
    <t>M_B_30</t>
  </si>
  <si>
    <t>M_R_73</t>
  </si>
  <si>
    <t>M_B_92</t>
  </si>
  <si>
    <t>M_B_21</t>
  </si>
  <si>
    <t>O_B_31</t>
  </si>
  <si>
    <t>O_B_60</t>
  </si>
  <si>
    <t>O_B_35</t>
  </si>
  <si>
    <t>S_Y_38</t>
  </si>
  <si>
    <t>S_Y_15</t>
  </si>
  <si>
    <t>S_G_97</t>
  </si>
  <si>
    <t>M_B_53</t>
  </si>
  <si>
    <t>M_G_35</t>
  </si>
  <si>
    <t>M_G_36</t>
  </si>
  <si>
    <t>S_Y_99</t>
  </si>
  <si>
    <t>S_Y_62</t>
  </si>
  <si>
    <t>S_W_73</t>
  </si>
  <si>
    <t>O_R_89</t>
  </si>
  <si>
    <t>O_B_3</t>
  </si>
  <si>
    <t>O_B_18</t>
  </si>
  <si>
    <t>S_Y_60</t>
  </si>
  <si>
    <t>S_G_98</t>
  </si>
  <si>
    <t>S_Y_70</t>
  </si>
  <si>
    <t>O_R_13</t>
  </si>
  <si>
    <t>O_R_28</t>
  </si>
  <si>
    <t>O_R_59</t>
  </si>
  <si>
    <t>M_B_8</t>
  </si>
  <si>
    <t>M_B_18</t>
  </si>
  <si>
    <t>ALIVE BUT CAME FROM ONE WITH A DEAD ONE</t>
  </si>
  <si>
    <t>M_R_42</t>
  </si>
  <si>
    <t>b24 dead</t>
  </si>
  <si>
    <t>S_W99</t>
  </si>
  <si>
    <t>S_B5</t>
  </si>
  <si>
    <t>S_B12</t>
  </si>
  <si>
    <t>S_B16</t>
  </si>
  <si>
    <t>O-R54</t>
  </si>
  <si>
    <t>O_B_80</t>
  </si>
  <si>
    <t>O_R_90</t>
  </si>
  <si>
    <t>O_W_1</t>
  </si>
  <si>
    <t>S_G_57</t>
  </si>
  <si>
    <t>S_Y_78</t>
  </si>
  <si>
    <t>S_Y_65</t>
  </si>
  <si>
    <t>S_G_68</t>
  </si>
  <si>
    <t>S_G_6</t>
  </si>
  <si>
    <t>S_G_38</t>
  </si>
  <si>
    <t>M_R_3</t>
  </si>
  <si>
    <t>M_R_20</t>
  </si>
  <si>
    <t>M_B_91</t>
  </si>
  <si>
    <t>O_B_98</t>
  </si>
  <si>
    <t>O_B_14</t>
  </si>
  <si>
    <t>O_B_51</t>
  </si>
  <si>
    <t>O_R_61</t>
  </si>
  <si>
    <t>O_R_14</t>
  </si>
  <si>
    <t>O_W_6</t>
  </si>
  <si>
    <t>M_B_15</t>
  </si>
  <si>
    <t>M_R_15</t>
  </si>
  <si>
    <t>M_B_2</t>
  </si>
  <si>
    <t>S_G_50</t>
  </si>
  <si>
    <t>S_G_49</t>
  </si>
  <si>
    <t>S_W_86</t>
  </si>
  <si>
    <t>M_B_62</t>
  </si>
  <si>
    <t>M_G_33</t>
  </si>
  <si>
    <t>M_R_91</t>
  </si>
  <si>
    <t>S_Y_83</t>
  </si>
  <si>
    <t>S_Y_19</t>
  </si>
  <si>
    <t>S_G_24</t>
  </si>
  <si>
    <t>O_B_71</t>
  </si>
  <si>
    <t>O_W_18</t>
  </si>
  <si>
    <t>O_W_21</t>
  </si>
  <si>
    <t>S_W_82</t>
  </si>
  <si>
    <t>S_Y_24</t>
  </si>
  <si>
    <t>S_Y_2</t>
  </si>
  <si>
    <t>O_R_47</t>
  </si>
  <si>
    <t>O_B_26</t>
  </si>
  <si>
    <t>O_B_66</t>
  </si>
  <si>
    <t>M_B_5</t>
  </si>
  <si>
    <t>M_R_16</t>
  </si>
  <si>
    <t>M_R_64</t>
  </si>
  <si>
    <t>O_W_45</t>
  </si>
  <si>
    <t>O_R_17</t>
  </si>
  <si>
    <t>O_R_74</t>
  </si>
  <si>
    <t>S_G_32</t>
  </si>
  <si>
    <t>S_Y_56</t>
  </si>
  <si>
    <t>S_G_64</t>
  </si>
  <si>
    <t>M_R_43</t>
  </si>
  <si>
    <t>M_B_74</t>
  </si>
  <si>
    <t>M_R_71</t>
  </si>
  <si>
    <t>S_W_50</t>
  </si>
  <si>
    <t>S_W_70</t>
  </si>
  <si>
    <t>S_Y_36</t>
  </si>
  <si>
    <t>M_B_13</t>
  </si>
  <si>
    <t>M_G_39</t>
  </si>
  <si>
    <t>M_G_34</t>
  </si>
  <si>
    <t>O_W_32</t>
  </si>
  <si>
    <t>O_W_30</t>
  </si>
  <si>
    <t>O_B_87</t>
  </si>
  <si>
    <t>S_W_69</t>
  </si>
  <si>
    <t>S_G_54</t>
  </si>
  <si>
    <t>M_B_56</t>
  </si>
  <si>
    <t>M_R_90</t>
  </si>
  <si>
    <t>M_B_10</t>
  </si>
  <si>
    <t>O_R_20</t>
  </si>
  <si>
    <t>O_R_33</t>
  </si>
  <si>
    <t>O_R_81</t>
  </si>
  <si>
    <t>M_R_87</t>
  </si>
  <si>
    <t>M_B_73</t>
  </si>
  <si>
    <t>M_R_22</t>
  </si>
  <si>
    <t>O_R_23</t>
  </si>
  <si>
    <t>O_R_12</t>
  </si>
  <si>
    <t>O_R_92</t>
  </si>
  <si>
    <t>S_G_14</t>
  </si>
  <si>
    <t>S_Y_25</t>
  </si>
  <si>
    <t>M_R_59</t>
  </si>
  <si>
    <t>M_R_72</t>
  </si>
  <si>
    <t>M_R_34</t>
  </si>
  <si>
    <t>S_G_22</t>
  </si>
  <si>
    <t>S_Y_79</t>
  </si>
  <si>
    <t>S_G_3</t>
  </si>
  <si>
    <t>O_R_95</t>
  </si>
  <si>
    <t>O_B_48</t>
  </si>
  <si>
    <t>O_R_10</t>
  </si>
  <si>
    <t>S_W_74</t>
  </si>
  <si>
    <t>S_Y_50</t>
  </si>
  <si>
    <t>S_G_92</t>
  </si>
  <si>
    <t>O_R_88</t>
  </si>
  <si>
    <t>O_B_19</t>
  </si>
  <si>
    <t>O_B_11</t>
  </si>
  <si>
    <t>M_R_1</t>
  </si>
  <si>
    <t>M_B_80</t>
  </si>
  <si>
    <t>M_B_27</t>
  </si>
  <si>
    <t>Before_Weight_(g)</t>
  </si>
  <si>
    <t>BeeTag_ID</t>
  </si>
  <si>
    <t>Before_Length_(mm)</t>
  </si>
  <si>
    <t>Before_Width_(mm)</t>
  </si>
  <si>
    <t>Before_Depth_(mm)</t>
  </si>
  <si>
    <t>After_Weight_(g)</t>
  </si>
  <si>
    <t>After_Length_(mm)</t>
  </si>
  <si>
    <t>After_Width_(mm)</t>
  </si>
  <si>
    <t>After_Depth_(mm)</t>
  </si>
  <si>
    <t>Dry_Shell_(g)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</si>
</sst>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7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sz val="8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2FB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2" fillId="0" borderId="0" xfId="0" applyFont="1"/>
    <xf numFmtId="0" fontId="1" fillId="4" borderId="0" xfId="0" applyFont="1" applyFill="1" applyAlignment="1">
      <alignment vertical="center"/>
    </xf>
    <xf numFmtId="0" fontId="3" fillId="0" borderId="0" xfId="0" applyFont="1"/>
    <xf numFmtId="0" fontId="4" fillId="0" borderId="0" xfId="0" applyFont="1"/>
    <xf numFmtId="0" fontId="1" fillId="2" borderId="3" xfId="0" applyFont="1" applyFill="1" applyBorder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0" borderId="5" xfId="0" applyFont="1" applyBorder="1"/>
    <xf numFmtId="0" fontId="2" fillId="7" borderId="0" xfId="0" applyFont="1" applyFill="1"/>
    <xf numFmtId="0" fontId="2" fillId="8" borderId="0" xfId="0" applyFont="1" applyFill="1"/>
    <xf numFmtId="0" fontId="2" fillId="4" borderId="0" xfId="0" applyFont="1" applyFill="1"/>
    <xf numFmtId="0" fontId="2" fillId="9" borderId="0" xfId="0" applyFont="1" applyFill="1"/>
    <xf numFmtId="0" fontId="0" fillId="4" borderId="0" xfId="0" applyFill="1"/>
    <xf numFmtId="0" fontId="6" fillId="0" borderId="0" xfId="0" applyFont="1"/>
    <xf numFmtId="0" fontId="2" fillId="10" borderId="0" xfId="0" applyFont="1" applyFill="1"/>
    <xf numFmtId="0" fontId="0" fillId="10" borderId="0" xfId="0" applyFill="1"/>
    <xf numFmtId="0" fontId="2" fillId="11" borderId="0" xfId="0" applyFont="1" applyFill="1"/>
    <xf numFmtId="0" fontId="0" fillId="11" borderId="0" xfId="0" applyFill="1"/>
    <xf numFmtId="0" fontId="2" fillId="3" borderId="2" xfId="0" applyFont="1" applyFill="1" applyBorder="1"/>
    <xf numFmtId="15" fontId="2" fillId="0" borderId="0" xfId="0" applyNumberFormat="1" applyFont="1"/>
    <xf numFmtId="15" fontId="6" fillId="0" borderId="0" xfId="0" applyNumberFormat="1" applyFont="1"/>
    <xf numFmtId="164" fontId="2" fillId="0" borderId="0" xfId="0" applyNumberFormat="1" applyFont="1"/>
    <xf numFmtId="0" fontId="2" fillId="5" borderId="1" xfId="0" applyFont="1" applyFill="1" applyBorder="1"/>
    <xf numFmtId="15" fontId="0" fillId="0" borderId="0" xfId="0" applyNumberFormat="1"/>
    <xf numFmtId="15" fontId="2" fillId="11" borderId="0" xfId="0" applyNumberFormat="1" applyFont="1" applyFill="1"/>
    <xf numFmtId="0" fontId="1" fillId="3" borderId="8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2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E4ED-403A-8A47-8056-25A6932550C9}">
  <sheetPr filterMode="1"/>
  <dimension ref="A1:U722"/>
  <sheetViews>
    <sheetView topLeftCell="A673" workbookViewId="0">
      <selection activeCell="P73" sqref="P73"/>
    </sheetView>
  </sheetViews>
  <sheetFormatPr defaultColWidth="11" defaultRowHeight="15.75" x14ac:dyDescent="0.25"/>
  <cols>
    <col min="12" max="12" width="12" customWidth="1"/>
    <col min="13" max="13" width="11.125" customWidth="1"/>
    <col min="19" max="19" width="29.5" customWidth="1"/>
    <col min="21" max="21" width="39.875" customWidth="1"/>
  </cols>
  <sheetData>
    <row r="1" spans="1:21" x14ac:dyDescent="0.25">
      <c r="A1" s="31"/>
      <c r="B1" s="32"/>
      <c r="C1" s="32"/>
      <c r="D1" s="32"/>
      <c r="E1" s="33"/>
      <c r="F1" s="7"/>
      <c r="G1" s="34"/>
      <c r="H1" s="35"/>
      <c r="I1" s="35"/>
      <c r="J1" s="36"/>
      <c r="K1" s="34"/>
      <c r="L1" s="35"/>
      <c r="M1" s="35"/>
      <c r="N1" s="35"/>
      <c r="O1" s="35"/>
      <c r="P1" s="36"/>
      <c r="Q1" s="28" t="s">
        <v>0</v>
      </c>
      <c r="R1" s="28"/>
      <c r="S1" s="37" t="s">
        <v>1</v>
      </c>
    </row>
    <row r="2" spans="1:2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25" t="s">
        <v>8</v>
      </c>
      <c r="H2" s="2" t="s">
        <v>9</v>
      </c>
      <c r="I2" s="2" t="s">
        <v>10</v>
      </c>
      <c r="J2" s="2" t="s">
        <v>11</v>
      </c>
      <c r="K2" s="2" t="s">
        <v>8</v>
      </c>
      <c r="L2" s="2" t="s">
        <v>9</v>
      </c>
      <c r="M2" s="2" t="s">
        <v>10</v>
      </c>
      <c r="N2" s="21" t="s">
        <v>11</v>
      </c>
      <c r="O2" s="2" t="s">
        <v>12</v>
      </c>
      <c r="P2" s="2"/>
      <c r="Q2" s="29"/>
      <c r="R2" s="29" t="s">
        <v>13</v>
      </c>
      <c r="S2" s="38"/>
      <c r="U2" s="10" t="s">
        <v>14</v>
      </c>
    </row>
    <row r="3" spans="1:21" hidden="1" x14ac:dyDescent="0.25">
      <c r="A3" s="8">
        <v>1</v>
      </c>
      <c r="B3" s="8">
        <v>1</v>
      </c>
      <c r="C3" s="8" t="s">
        <v>15</v>
      </c>
      <c r="D3" s="8" t="s">
        <v>16</v>
      </c>
      <c r="E3" s="8" t="s">
        <v>17</v>
      </c>
      <c r="F3" s="8" t="s">
        <v>18</v>
      </c>
      <c r="G3" s="3">
        <v>19.64</v>
      </c>
      <c r="H3">
        <v>73</v>
      </c>
      <c r="I3">
        <v>37.32</v>
      </c>
      <c r="J3">
        <v>12.43</v>
      </c>
      <c r="K3">
        <v>19.405999999999999</v>
      </c>
      <c r="L3">
        <v>72.88</v>
      </c>
      <c r="M3">
        <v>33.65</v>
      </c>
      <c r="N3">
        <v>16.190000000000001</v>
      </c>
      <c r="P3" s="26">
        <v>45886</v>
      </c>
      <c r="Q3" s="26">
        <v>45886</v>
      </c>
      <c r="U3" t="s">
        <v>19</v>
      </c>
    </row>
    <row r="4" spans="1:21" hidden="1" x14ac:dyDescent="0.25">
      <c r="A4" s="8">
        <v>1</v>
      </c>
      <c r="B4" s="8">
        <v>1</v>
      </c>
      <c r="C4" s="8" t="s">
        <v>15</v>
      </c>
      <c r="D4" s="8" t="s">
        <v>16</v>
      </c>
      <c r="E4" s="8" t="s">
        <v>20</v>
      </c>
      <c r="F4" s="8" t="s">
        <v>21</v>
      </c>
      <c r="G4" s="3">
        <v>35.546999999999997</v>
      </c>
      <c r="H4" s="3">
        <v>73.819999999999993</v>
      </c>
      <c r="I4" s="3">
        <v>54.05</v>
      </c>
      <c r="J4" s="3">
        <v>14.88</v>
      </c>
      <c r="K4" s="3">
        <v>35.465000000000003</v>
      </c>
      <c r="L4" s="3">
        <v>75.17</v>
      </c>
      <c r="M4" s="3">
        <v>50.24</v>
      </c>
      <c r="N4" s="3">
        <v>19.13</v>
      </c>
      <c r="O4" s="3"/>
      <c r="P4" s="22">
        <v>45879</v>
      </c>
      <c r="Q4" s="22">
        <v>45879</v>
      </c>
      <c r="R4" s="3"/>
      <c r="U4" t="s">
        <v>22</v>
      </c>
    </row>
    <row r="5" spans="1:21" hidden="1" x14ac:dyDescent="0.25">
      <c r="A5" s="8">
        <v>1</v>
      </c>
      <c r="B5" s="8">
        <v>1</v>
      </c>
      <c r="C5" s="8" t="s">
        <v>15</v>
      </c>
      <c r="D5" s="8" t="s">
        <v>16</v>
      </c>
      <c r="E5" s="8" t="s">
        <v>23</v>
      </c>
      <c r="F5" s="8" t="s">
        <v>24</v>
      </c>
      <c r="G5" s="3">
        <v>30.829000000000001</v>
      </c>
      <c r="H5" s="3">
        <f>IFERROR(INDEX('Tagging key'!D:D, MATCH(F5,'Tagging key'!C:C,0)),"")</f>
        <v>72.75</v>
      </c>
      <c r="I5" s="3">
        <f>IFERROR(INDEX('Tagging key'!E:E, MATCH(F5,'Tagging key'!C:C,0)),"")</f>
        <v>42.12</v>
      </c>
      <c r="J5" s="3">
        <f>IFERROR(INDEX('Tagging key'!F:F, MATCH(F5,'Tagging key'!C:C,0)),"")</f>
        <v>16.440000000000001</v>
      </c>
      <c r="K5" s="3">
        <v>30.754000000000001</v>
      </c>
      <c r="L5" s="3">
        <v>67.887</v>
      </c>
      <c r="M5" s="3">
        <v>36.020000000000003</v>
      </c>
      <c r="N5" s="3">
        <v>11.71</v>
      </c>
      <c r="O5" s="3"/>
      <c r="P5" s="22">
        <v>45877</v>
      </c>
      <c r="Q5" s="22">
        <v>45877</v>
      </c>
      <c r="R5" s="3"/>
    </row>
    <row r="6" spans="1:21" x14ac:dyDescent="0.25">
      <c r="A6" s="8">
        <v>1</v>
      </c>
      <c r="B6" s="8">
        <v>1</v>
      </c>
      <c r="C6" s="8" t="s">
        <v>15</v>
      </c>
      <c r="D6" s="8" t="s">
        <v>16</v>
      </c>
      <c r="E6" s="8" t="s">
        <v>25</v>
      </c>
      <c r="F6" s="8" t="s">
        <v>26</v>
      </c>
      <c r="G6" s="3">
        <v>32.082999999999998</v>
      </c>
      <c r="H6" s="3">
        <f>IFERROR(INDEX('Tagging key'!D:D, MATCH(F6,'Tagging key'!C:C,0)),"")</f>
        <v>63.69</v>
      </c>
      <c r="I6" s="3">
        <f>IFERROR(INDEX('Tagging key'!E:E, MATCH(F6,'Tagging key'!C:C,0)),"")</f>
        <v>53.55</v>
      </c>
      <c r="J6" s="3">
        <f>IFERROR(INDEX('Tagging key'!F:F, MATCH(F6,'Tagging key'!C:C,0)),"")</f>
        <v>18.02</v>
      </c>
      <c r="K6" s="3">
        <v>32.183</v>
      </c>
      <c r="L6" s="3">
        <v>63.77</v>
      </c>
      <c r="M6" s="3">
        <v>53.09</v>
      </c>
      <c r="N6" s="3">
        <v>19.13</v>
      </c>
      <c r="O6" s="3"/>
      <c r="P6" s="22">
        <v>45882</v>
      </c>
      <c r="Q6" s="22">
        <v>45882</v>
      </c>
      <c r="R6" s="3">
        <v>22.071000000000002</v>
      </c>
    </row>
    <row r="7" spans="1:21" x14ac:dyDescent="0.25">
      <c r="A7" s="9">
        <v>1</v>
      </c>
      <c r="B7" s="9">
        <v>2</v>
      </c>
      <c r="C7" s="9" t="s">
        <v>15</v>
      </c>
      <c r="D7" s="9" t="s">
        <v>16</v>
      </c>
      <c r="E7" s="9" t="s">
        <v>27</v>
      </c>
      <c r="F7" s="9" t="s">
        <v>28</v>
      </c>
      <c r="G7" s="3">
        <v>20.536999999999999</v>
      </c>
      <c r="H7" s="3">
        <f>IFERROR(INDEX('Tagging key'!D:D, MATCH(F7,'Tagging key'!C:C,0)),"")</f>
        <v>59.48</v>
      </c>
      <c r="I7" s="3">
        <f>IFERROR(INDEX('Tagging key'!E:E, MATCH(F7,'Tagging key'!C:C,0)),"")</f>
        <v>42.39</v>
      </c>
      <c r="J7" s="3">
        <f>IFERROR(INDEX('Tagging key'!F:F, MATCH(F7,'Tagging key'!C:C,0)),"")</f>
        <v>13.12</v>
      </c>
      <c r="K7" s="3">
        <v>20.257999999999999</v>
      </c>
      <c r="L7" s="3">
        <v>58.38</v>
      </c>
      <c r="M7" s="3">
        <v>39.17</v>
      </c>
      <c r="N7" s="3">
        <v>14.78</v>
      </c>
      <c r="O7" s="3"/>
      <c r="P7" s="22">
        <v>45882</v>
      </c>
      <c r="Q7" s="22">
        <v>45882</v>
      </c>
      <c r="R7" s="3">
        <v>11.349</v>
      </c>
    </row>
    <row r="8" spans="1:21" hidden="1" x14ac:dyDescent="0.25">
      <c r="A8" s="9">
        <v>1</v>
      </c>
      <c r="B8" s="9">
        <v>2</v>
      </c>
      <c r="C8" s="9" t="s">
        <v>15</v>
      </c>
      <c r="D8" s="9" t="s">
        <v>16</v>
      </c>
      <c r="E8" s="9" t="s">
        <v>29</v>
      </c>
      <c r="F8" s="9" t="s">
        <v>30</v>
      </c>
      <c r="G8" s="3">
        <v>87.494</v>
      </c>
      <c r="H8" s="3">
        <f>IFERROR(INDEX('Tagging key'!D:D, MATCH(F8,'Tagging key'!C:C,0)),"")</f>
        <v>69.63</v>
      </c>
      <c r="I8" s="3">
        <f>IFERROR(INDEX('Tagging key'!E:E, MATCH(F8,'Tagging key'!C:C,0)),"")</f>
        <v>70.349999999999994</v>
      </c>
      <c r="J8" s="3">
        <f>IFERROR(INDEX('Tagging key'!F:F, MATCH(F8,'Tagging key'!C:C,0)),"")</f>
        <v>23.62</v>
      </c>
      <c r="K8" s="3">
        <v>86.667000000000002</v>
      </c>
      <c r="L8" s="3">
        <v>73.010000000000005</v>
      </c>
      <c r="M8" s="3">
        <v>64.849999999999994</v>
      </c>
      <c r="N8" s="3">
        <v>21.42</v>
      </c>
      <c r="O8" s="3"/>
      <c r="P8" s="22">
        <v>45877</v>
      </c>
      <c r="Q8" s="22">
        <v>45877</v>
      </c>
      <c r="R8" s="3"/>
      <c r="S8" t="s">
        <v>31</v>
      </c>
    </row>
    <row r="9" spans="1:21" hidden="1" x14ac:dyDescent="0.25">
      <c r="A9" s="9">
        <v>1</v>
      </c>
      <c r="B9" s="9">
        <v>2</v>
      </c>
      <c r="C9" s="9" t="s">
        <v>15</v>
      </c>
      <c r="D9" s="9" t="s">
        <v>16</v>
      </c>
      <c r="E9" s="9" t="s">
        <v>32</v>
      </c>
      <c r="F9" s="9" t="s">
        <v>33</v>
      </c>
      <c r="G9" s="3">
        <v>29.658000000000001</v>
      </c>
      <c r="H9" s="3">
        <f>IFERROR(INDEX('Tagging key'!D:D, MATCH(F9,'Tagging key'!C:C,0)),"")</f>
        <v>72.69</v>
      </c>
      <c r="I9" s="3">
        <f>IFERROR(INDEX('Tagging key'!E:E, MATCH(F9,'Tagging key'!C:C,0)),"")</f>
        <v>44.55</v>
      </c>
      <c r="J9" s="3">
        <f>IFERROR(INDEX('Tagging key'!F:F, MATCH(F9,'Tagging key'!C:C,0)),"")</f>
        <v>14.49</v>
      </c>
      <c r="K9" s="3">
        <v>29.744</v>
      </c>
      <c r="L9" s="3">
        <v>71.61</v>
      </c>
      <c r="M9" s="3">
        <v>44.79</v>
      </c>
      <c r="N9" s="3">
        <v>16.88</v>
      </c>
      <c r="O9" s="3"/>
      <c r="P9" s="22">
        <v>45879</v>
      </c>
      <c r="Q9" s="22">
        <v>45879</v>
      </c>
      <c r="R9" s="3"/>
      <c r="S9" t="s">
        <v>34</v>
      </c>
    </row>
    <row r="10" spans="1:21" hidden="1" x14ac:dyDescent="0.25">
      <c r="A10" s="9">
        <v>1</v>
      </c>
      <c r="B10" s="9">
        <v>2</v>
      </c>
      <c r="C10" s="9" t="s">
        <v>15</v>
      </c>
      <c r="D10" s="9" t="s">
        <v>16</v>
      </c>
      <c r="E10" s="9" t="s">
        <v>35</v>
      </c>
      <c r="F10" s="9" t="s">
        <v>36</v>
      </c>
      <c r="G10" s="3">
        <v>28.24</v>
      </c>
      <c r="H10" s="3">
        <f>IFERROR(INDEX('Tagging key'!D:D, MATCH(F10,'Tagging key'!C:C,0)),"")</f>
        <v>66.349999999999994</v>
      </c>
      <c r="I10" s="3">
        <f>IFERROR(INDEX('Tagging key'!E:E, MATCH(F10,'Tagging key'!C:C,0)),"")</f>
        <v>50.23</v>
      </c>
      <c r="J10" s="3">
        <f>IFERROR(INDEX('Tagging key'!F:F, MATCH(F10,'Tagging key'!C:C,0)),"")</f>
        <v>14.63</v>
      </c>
      <c r="K10" s="3">
        <v>28.045999999999999</v>
      </c>
      <c r="L10" s="3">
        <v>65.13</v>
      </c>
      <c r="M10" s="3">
        <v>47.82</v>
      </c>
      <c r="N10" s="3">
        <v>17.97</v>
      </c>
      <c r="O10" s="3"/>
      <c r="P10" s="22">
        <v>45879</v>
      </c>
      <c r="Q10" s="22">
        <v>45879</v>
      </c>
      <c r="R10" s="3"/>
    </row>
    <row r="11" spans="1:21" hidden="1" x14ac:dyDescent="0.25">
      <c r="A11" s="8">
        <v>1</v>
      </c>
      <c r="B11" s="8">
        <v>3</v>
      </c>
      <c r="C11" s="8" t="s">
        <v>15</v>
      </c>
      <c r="D11" s="8" t="s">
        <v>16</v>
      </c>
      <c r="E11" s="8" t="s">
        <v>37</v>
      </c>
      <c r="F11" s="8" t="s">
        <v>38</v>
      </c>
      <c r="G11" s="3">
        <v>33.590000000000003</v>
      </c>
      <c r="H11" s="3">
        <f>IFERROR(INDEX('Tagging key'!D:D, MATCH(F11,'Tagging key'!C:C,0)),"")</f>
        <v>62.02</v>
      </c>
      <c r="I11" s="3">
        <f>IFERROR(INDEX('Tagging key'!E:E, MATCH(F11,'Tagging key'!C:C,0)),"")</f>
        <v>43.46</v>
      </c>
      <c r="J11" s="3">
        <f>IFERROR(INDEX('Tagging key'!F:F, MATCH(F11,'Tagging key'!C:C,0)),"")</f>
        <v>17.309999999999999</v>
      </c>
      <c r="K11" s="3">
        <v>33.459000000000003</v>
      </c>
      <c r="L11" s="3">
        <v>62.33</v>
      </c>
      <c r="M11" s="3">
        <v>44.03</v>
      </c>
      <c r="N11" s="3">
        <v>17.73</v>
      </c>
      <c r="O11" s="3"/>
      <c r="P11" s="26">
        <v>45886</v>
      </c>
      <c r="Q11" s="26">
        <v>45886</v>
      </c>
    </row>
    <row r="12" spans="1:21" hidden="1" x14ac:dyDescent="0.25">
      <c r="A12" s="8">
        <v>1</v>
      </c>
      <c r="B12" s="8">
        <v>3</v>
      </c>
      <c r="C12" s="8" t="s">
        <v>15</v>
      </c>
      <c r="D12" s="8" t="s">
        <v>16</v>
      </c>
      <c r="E12" s="8" t="s">
        <v>39</v>
      </c>
      <c r="F12" s="8" t="s">
        <v>40</v>
      </c>
      <c r="G12" s="3">
        <v>42.011000000000003</v>
      </c>
      <c r="H12" s="16">
        <f>IFERROR(INDEX('Tagging key'!D:D, MATCH(F12,'Tagging key'!C:C,0)),"")</f>
        <v>76.48</v>
      </c>
      <c r="I12" s="16">
        <f>IFERROR(INDEX('Tagging key'!E:E, MATCH(F12,'Tagging key'!C:C,0)),"")</f>
        <v>44.98</v>
      </c>
      <c r="J12" s="16">
        <f>IFERROR(INDEX('Tagging key'!F:F, MATCH(F12,'Tagging key'!C:C,0)),"")</f>
        <v>20.399999999999999</v>
      </c>
      <c r="K12" s="16">
        <v>41.79</v>
      </c>
      <c r="L12" s="16">
        <v>70.64</v>
      </c>
      <c r="M12" s="16">
        <v>39.33</v>
      </c>
      <c r="N12" s="16">
        <v>14.93</v>
      </c>
      <c r="O12" s="16"/>
      <c r="P12" s="23">
        <v>45877</v>
      </c>
      <c r="Q12" s="23">
        <v>45877</v>
      </c>
      <c r="R12" s="16"/>
    </row>
    <row r="13" spans="1:21" hidden="1" x14ac:dyDescent="0.25">
      <c r="A13" s="8">
        <v>1</v>
      </c>
      <c r="B13" s="8">
        <v>3</v>
      </c>
      <c r="C13" s="8" t="s">
        <v>15</v>
      </c>
      <c r="D13" s="8" t="s">
        <v>16</v>
      </c>
      <c r="E13" s="8" t="s">
        <v>41</v>
      </c>
      <c r="F13" s="8" t="s">
        <v>42</v>
      </c>
      <c r="G13" s="3">
        <v>29.664000000000001</v>
      </c>
      <c r="H13" s="3">
        <f>IFERROR(INDEX('Tagging key'!D:D, MATCH(F13,'Tagging key'!C:C,0)),"")</f>
        <v>67.87</v>
      </c>
      <c r="I13" s="3">
        <f>IFERROR(INDEX('Tagging key'!E:E, MATCH(F13,'Tagging key'!C:C,0)),"")</f>
        <v>51.68</v>
      </c>
      <c r="J13" s="3">
        <f>IFERROR(INDEX('Tagging key'!F:F, MATCH(F13,'Tagging key'!C:C,0)),"")</f>
        <v>14.59</v>
      </c>
      <c r="K13" s="3">
        <v>29.542000000000002</v>
      </c>
      <c r="L13" s="3">
        <v>66.760000000000005</v>
      </c>
      <c r="M13" s="3">
        <v>46.35</v>
      </c>
      <c r="N13" s="3">
        <v>17.399999999999999</v>
      </c>
      <c r="O13" s="3"/>
      <c r="P13" s="26">
        <v>45886</v>
      </c>
      <c r="Q13" s="26">
        <v>45886</v>
      </c>
      <c r="S13" t="s">
        <v>43</v>
      </c>
    </row>
    <row r="14" spans="1:21" x14ac:dyDescent="0.25">
      <c r="A14" s="8">
        <v>1</v>
      </c>
      <c r="B14" s="8">
        <v>3</v>
      </c>
      <c r="C14" s="8" t="s">
        <v>15</v>
      </c>
      <c r="D14" s="8" t="s">
        <v>16</v>
      </c>
      <c r="E14" s="8" t="s">
        <v>44</v>
      </c>
      <c r="F14" s="8" t="s">
        <v>45</v>
      </c>
      <c r="G14" s="3">
        <v>34.232999999999997</v>
      </c>
      <c r="H14" s="3">
        <f>IFERROR(INDEX('Tagging key'!D:D, MATCH(F14,'Tagging key'!C:C,0)),"")</f>
        <v>66.290000000000006</v>
      </c>
      <c r="I14" s="3">
        <f>IFERROR(INDEX('Tagging key'!E:E, MATCH(F14,'Tagging key'!C:C,0)),"")</f>
        <v>47.34</v>
      </c>
      <c r="J14" s="3">
        <f>IFERROR(INDEX('Tagging key'!F:F, MATCH(F14,'Tagging key'!C:C,0)),"")</f>
        <v>15.65</v>
      </c>
      <c r="K14" s="3">
        <v>34.228999999999999</v>
      </c>
      <c r="L14" s="3">
        <v>66.77</v>
      </c>
      <c r="M14" s="3">
        <v>48.18</v>
      </c>
      <c r="N14" s="3">
        <v>19.8</v>
      </c>
      <c r="O14" s="3"/>
      <c r="P14" s="22">
        <v>45882</v>
      </c>
      <c r="Q14" s="22">
        <v>45882</v>
      </c>
      <c r="R14" s="3">
        <v>21.574000000000002</v>
      </c>
    </row>
    <row r="15" spans="1:21" x14ac:dyDescent="0.25">
      <c r="A15" s="11">
        <v>1</v>
      </c>
      <c r="B15" s="11">
        <v>4</v>
      </c>
      <c r="C15" s="11" t="s">
        <v>15</v>
      </c>
      <c r="D15" s="11" t="s">
        <v>46</v>
      </c>
      <c r="E15" s="11" t="s">
        <v>47</v>
      </c>
      <c r="F15" s="11" t="s">
        <v>48</v>
      </c>
      <c r="G15" s="3">
        <v>82.3</v>
      </c>
      <c r="H15" s="3">
        <f>IFERROR(INDEX('Tagging key'!D:D, MATCH(F15,'Tagging key'!C:C,0)),"")</f>
        <v>96</v>
      </c>
      <c r="I15" s="3">
        <f>IFERROR(INDEX('Tagging key'!E:E, MATCH(F15,'Tagging key'!C:C,0)),"")</f>
        <v>46</v>
      </c>
      <c r="J15" s="3">
        <f>IFERROR(INDEX('Tagging key'!F:F, MATCH(F15,'Tagging key'!C:C,0)),"")</f>
        <v>37</v>
      </c>
      <c r="K15" s="3">
        <v>82.114999999999995</v>
      </c>
      <c r="L15" s="3">
        <v>98.74</v>
      </c>
      <c r="M15" s="3">
        <v>47.44</v>
      </c>
      <c r="N15" s="3">
        <v>36.25</v>
      </c>
      <c r="O15" s="3"/>
      <c r="P15" s="22">
        <v>45882</v>
      </c>
      <c r="Q15" s="22">
        <v>45882</v>
      </c>
      <c r="R15" s="3">
        <v>23.783000000000001</v>
      </c>
    </row>
    <row r="16" spans="1:21" hidden="1" x14ac:dyDescent="0.25">
      <c r="A16" s="11">
        <v>1</v>
      </c>
      <c r="B16" s="11">
        <v>4</v>
      </c>
      <c r="C16" s="11" t="s">
        <v>15</v>
      </c>
      <c r="D16" s="11" t="s">
        <v>46</v>
      </c>
      <c r="E16" s="11" t="s">
        <v>49</v>
      </c>
      <c r="F16" s="11" t="s">
        <v>50</v>
      </c>
      <c r="G16" s="3">
        <v>41.287999999999997</v>
      </c>
      <c r="H16" s="3">
        <f>IFERROR(INDEX('Tagging key'!D:D, MATCH(F16,'Tagging key'!C:C,0)),"")</f>
        <v>75.98</v>
      </c>
      <c r="I16" s="3">
        <f>IFERROR(INDEX('Tagging key'!E:E, MATCH(F16,'Tagging key'!C:C,0)),"")</f>
        <v>40.25</v>
      </c>
      <c r="J16" s="3">
        <f>IFERROR(INDEX('Tagging key'!F:F, MATCH(F16,'Tagging key'!C:C,0)),"")</f>
        <v>27.05</v>
      </c>
      <c r="K16" s="3">
        <v>41.253999999999998</v>
      </c>
      <c r="L16" s="3">
        <v>70.849999999999994</v>
      </c>
      <c r="M16" s="3">
        <v>33.99</v>
      </c>
      <c r="N16" s="3">
        <v>23.42</v>
      </c>
      <c r="O16" s="3"/>
      <c r="P16" s="22">
        <v>45877</v>
      </c>
      <c r="Q16" s="22">
        <v>45877</v>
      </c>
      <c r="R16" s="3"/>
    </row>
    <row r="17" spans="1:19" hidden="1" x14ac:dyDescent="0.25">
      <c r="A17" s="11">
        <v>1</v>
      </c>
      <c r="B17" s="11">
        <v>4</v>
      </c>
      <c r="C17" s="11" t="s">
        <v>15</v>
      </c>
      <c r="D17" s="11" t="s">
        <v>46</v>
      </c>
      <c r="E17" s="11" t="s">
        <v>51</v>
      </c>
      <c r="F17" s="11" t="s">
        <v>52</v>
      </c>
      <c r="G17" s="3">
        <v>79.137</v>
      </c>
      <c r="H17" s="3">
        <f>IFERROR(INDEX('Tagging key'!D:D, MATCH(F17,'Tagging key'!C:C,0)),"")</f>
        <v>92.37</v>
      </c>
      <c r="I17" s="3">
        <f>IFERROR(INDEX('Tagging key'!E:E, MATCH(F17,'Tagging key'!C:C,0)),"")</f>
        <v>47.28</v>
      </c>
      <c r="J17" s="3">
        <f>IFERROR(INDEX('Tagging key'!F:F, MATCH(F17,'Tagging key'!C:C,0)),"")</f>
        <v>34.01</v>
      </c>
      <c r="K17" s="3">
        <v>78.926000000000002</v>
      </c>
      <c r="L17" s="3">
        <v>94.2</v>
      </c>
      <c r="M17" s="3">
        <v>45.59</v>
      </c>
      <c r="N17" s="3">
        <v>37.21</v>
      </c>
      <c r="O17" s="3"/>
      <c r="P17" s="22">
        <v>45879</v>
      </c>
      <c r="Q17" s="22">
        <v>45879</v>
      </c>
      <c r="R17" s="3"/>
    </row>
    <row r="18" spans="1:19" hidden="1" x14ac:dyDescent="0.25">
      <c r="A18" s="11">
        <v>1</v>
      </c>
      <c r="B18" s="11">
        <v>4</v>
      </c>
      <c r="C18" s="11" t="s">
        <v>15</v>
      </c>
      <c r="D18" s="11" t="s">
        <v>46</v>
      </c>
      <c r="E18" s="11" t="s">
        <v>53</v>
      </c>
      <c r="F18" s="11" t="s">
        <v>54</v>
      </c>
      <c r="G18" s="3">
        <v>37.579000000000001</v>
      </c>
      <c r="H18" s="3">
        <f>IFERROR(INDEX('Tagging key'!D:D, MATCH(F18,'Tagging key'!C:C,0)),"")</f>
        <v>74.19</v>
      </c>
      <c r="I18" s="3">
        <f>IFERROR(INDEX('Tagging key'!E:E, MATCH(F18,'Tagging key'!C:C,0)),"")</f>
        <v>38.65</v>
      </c>
      <c r="J18" s="3">
        <f>IFERROR(INDEX('Tagging key'!F:F, MATCH(F18,'Tagging key'!C:C,0)),"")</f>
        <v>27.59</v>
      </c>
      <c r="K18" s="3">
        <v>38.648000000000003</v>
      </c>
      <c r="L18" s="3">
        <v>74.260000000000005</v>
      </c>
      <c r="M18" s="3">
        <v>34.49</v>
      </c>
      <c r="N18" s="3">
        <v>28.23</v>
      </c>
      <c r="O18" s="3"/>
      <c r="P18" s="26">
        <v>45886</v>
      </c>
      <c r="Q18" s="26">
        <v>45886</v>
      </c>
    </row>
    <row r="19" spans="1:19" hidden="1" x14ac:dyDescent="0.25">
      <c r="A19" s="12">
        <v>1</v>
      </c>
      <c r="B19" s="12">
        <v>5</v>
      </c>
      <c r="C19" s="12" t="s">
        <v>15</v>
      </c>
      <c r="D19" s="12" t="s">
        <v>46</v>
      </c>
      <c r="E19" s="12" t="s">
        <v>55</v>
      </c>
      <c r="F19" s="12" t="s">
        <v>56</v>
      </c>
      <c r="G19" s="3">
        <v>42.545000000000002</v>
      </c>
      <c r="H19" s="3">
        <f>IFERROR(INDEX('Tagging key'!D:D, MATCH(F19,'Tagging key'!C:C,0)),"")</f>
        <v>81</v>
      </c>
      <c r="I19" s="3">
        <f>IFERROR(INDEX('Tagging key'!E:E, MATCH(F19,'Tagging key'!C:C,0)),"")</f>
        <v>41</v>
      </c>
      <c r="J19" s="3">
        <f>IFERROR(INDEX('Tagging key'!F:F, MATCH(F19,'Tagging key'!C:C,0)),"")</f>
        <v>28</v>
      </c>
      <c r="K19" s="3">
        <v>48.896999999999998</v>
      </c>
      <c r="L19" s="3">
        <v>82.36</v>
      </c>
      <c r="M19" s="3">
        <v>40.42</v>
      </c>
      <c r="N19" s="3">
        <v>28.98</v>
      </c>
      <c r="O19" s="3"/>
      <c r="P19" s="22">
        <v>45879</v>
      </c>
      <c r="Q19" s="22">
        <v>45879</v>
      </c>
      <c r="R19" s="3"/>
    </row>
    <row r="20" spans="1:19" hidden="1" x14ac:dyDescent="0.25">
      <c r="A20" s="12">
        <v>1</v>
      </c>
      <c r="B20" s="12">
        <v>5</v>
      </c>
      <c r="C20" s="12" t="s">
        <v>15</v>
      </c>
      <c r="D20" s="12" t="s">
        <v>46</v>
      </c>
      <c r="E20" s="12" t="s">
        <v>57</v>
      </c>
      <c r="F20" s="12" t="s">
        <v>58</v>
      </c>
      <c r="G20" s="3">
        <v>41.808</v>
      </c>
      <c r="H20" s="3">
        <f>IFERROR(INDEX('Tagging key'!D:D, MATCH(F20,'Tagging key'!C:C,0)),"")</f>
        <v>77.14</v>
      </c>
      <c r="I20" s="3">
        <f>IFERROR(INDEX('Tagging key'!E:E, MATCH(F20,'Tagging key'!C:C,0)),"")</f>
        <v>41.67</v>
      </c>
      <c r="J20" s="3">
        <f>IFERROR(INDEX('Tagging key'!F:F, MATCH(F20,'Tagging key'!C:C,0)),"")</f>
        <v>27.56</v>
      </c>
      <c r="K20" s="3">
        <v>42.924999999999997</v>
      </c>
      <c r="L20" s="3">
        <v>73.25</v>
      </c>
      <c r="M20" s="3">
        <v>33.22</v>
      </c>
      <c r="N20" s="3">
        <v>22.36</v>
      </c>
      <c r="O20" s="3"/>
      <c r="P20" s="22">
        <v>45877</v>
      </c>
      <c r="Q20" s="22">
        <v>45877</v>
      </c>
      <c r="R20" s="3"/>
    </row>
    <row r="21" spans="1:19" x14ac:dyDescent="0.25">
      <c r="A21" s="12">
        <v>1</v>
      </c>
      <c r="B21" s="12">
        <v>5</v>
      </c>
      <c r="C21" s="12" t="s">
        <v>15</v>
      </c>
      <c r="D21" s="12" t="s">
        <v>46</v>
      </c>
      <c r="E21" s="12" t="s">
        <v>59</v>
      </c>
      <c r="F21" s="12" t="s">
        <v>60</v>
      </c>
      <c r="G21" s="3">
        <v>48.347999999999999</v>
      </c>
      <c r="H21" s="3">
        <f>IFERROR(INDEX('Tagging key'!D:D, MATCH(F21,'Tagging key'!C:C,0)),"")</f>
        <v>77</v>
      </c>
      <c r="I21" s="3">
        <f>IFERROR(INDEX('Tagging key'!E:E, MATCH(F21,'Tagging key'!C:C,0)),"")</f>
        <v>39</v>
      </c>
      <c r="J21" s="3">
        <f>IFERROR(INDEX('Tagging key'!F:F, MATCH(F21,'Tagging key'!C:C,0)),"")</f>
        <v>31</v>
      </c>
      <c r="K21" s="3">
        <v>59.116999999999997</v>
      </c>
      <c r="L21" s="3">
        <v>78.349999999999994</v>
      </c>
      <c r="M21" s="3">
        <v>39.340000000000003</v>
      </c>
      <c r="N21" s="3">
        <v>31.23</v>
      </c>
      <c r="O21" s="3"/>
      <c r="P21" s="22">
        <v>45882</v>
      </c>
      <c r="Q21" s="22">
        <v>45882</v>
      </c>
      <c r="R21" s="3">
        <v>26.2</v>
      </c>
    </row>
    <row r="22" spans="1:19" hidden="1" x14ac:dyDescent="0.25">
      <c r="A22" s="12">
        <v>1</v>
      </c>
      <c r="B22" s="12">
        <v>5</v>
      </c>
      <c r="C22" s="12" t="s">
        <v>15</v>
      </c>
      <c r="D22" s="12" t="s">
        <v>46</v>
      </c>
      <c r="E22" s="12" t="s">
        <v>61</v>
      </c>
      <c r="F22" s="12" t="s">
        <v>62</v>
      </c>
      <c r="G22" s="3">
        <v>46.31</v>
      </c>
      <c r="H22" s="3">
        <f>IFERROR(INDEX('Tagging key'!D:D, MATCH(F22,'Tagging key'!C:C,0)),"")</f>
        <v>78</v>
      </c>
      <c r="I22" s="3">
        <f>IFERROR(INDEX('Tagging key'!E:E, MATCH(F22,'Tagging key'!C:C,0)),"")</f>
        <v>40</v>
      </c>
      <c r="J22" s="3">
        <f>IFERROR(INDEX('Tagging key'!F:F, MATCH(F22,'Tagging key'!C:C,0)),"")</f>
        <v>26</v>
      </c>
      <c r="K22" s="3">
        <v>47.335000000000001</v>
      </c>
      <c r="L22" s="3">
        <v>81.040000000000006</v>
      </c>
      <c r="M22" s="3">
        <v>40.92</v>
      </c>
      <c r="N22" s="3">
        <v>26.14</v>
      </c>
      <c r="O22" s="3"/>
      <c r="P22" s="26">
        <v>45886</v>
      </c>
      <c r="Q22" s="26">
        <v>45886</v>
      </c>
    </row>
    <row r="23" spans="1:19" hidden="1" x14ac:dyDescent="0.25">
      <c r="A23" s="11">
        <v>1</v>
      </c>
      <c r="B23" s="11">
        <v>6</v>
      </c>
      <c r="C23" s="11" t="s">
        <v>15</v>
      </c>
      <c r="D23" s="11" t="s">
        <v>46</v>
      </c>
      <c r="E23" s="11" t="s">
        <v>63</v>
      </c>
      <c r="F23" s="11" t="s">
        <v>64</v>
      </c>
      <c r="G23" s="3">
        <v>23.08</v>
      </c>
      <c r="H23" s="3">
        <f>IFERROR(INDEX('Tagging key'!D:D, MATCH(F23,'Tagging key'!C:C,0)),"")</f>
        <v>62.3</v>
      </c>
      <c r="I23" s="3">
        <f>IFERROR(INDEX('Tagging key'!E:E, MATCH(F23,'Tagging key'!C:C,0)),"")</f>
        <v>34.5</v>
      </c>
      <c r="J23" s="3">
        <f>IFERROR(INDEX('Tagging key'!F:F, MATCH(F23,'Tagging key'!C:C,0)),"")</f>
        <v>21.4</v>
      </c>
      <c r="K23" s="3">
        <v>23.276</v>
      </c>
      <c r="L23" s="3">
        <v>63.05</v>
      </c>
      <c r="M23" s="3">
        <v>34.99</v>
      </c>
      <c r="N23" s="3">
        <v>22.39</v>
      </c>
      <c r="O23" s="3"/>
      <c r="P23" s="22">
        <v>45879</v>
      </c>
      <c r="Q23" s="22">
        <v>45879</v>
      </c>
      <c r="R23" s="3"/>
      <c r="S23" t="s">
        <v>65</v>
      </c>
    </row>
    <row r="24" spans="1:19" hidden="1" x14ac:dyDescent="0.25">
      <c r="A24" s="11">
        <v>1</v>
      </c>
      <c r="B24" s="11">
        <v>6</v>
      </c>
      <c r="C24" s="11" t="s">
        <v>15</v>
      </c>
      <c r="D24" s="11" t="s">
        <v>46</v>
      </c>
      <c r="E24" s="11" t="s">
        <v>66</v>
      </c>
      <c r="F24" s="11" t="s">
        <v>67</v>
      </c>
      <c r="G24" s="3">
        <v>45.984000000000002</v>
      </c>
      <c r="H24" s="3">
        <f>IFERROR(INDEX('Tagging key'!D:D, MATCH(F24,'Tagging key'!C:C,0)),"")</f>
        <v>76.72</v>
      </c>
      <c r="I24" s="3">
        <f>IFERROR(INDEX('Tagging key'!E:E, MATCH(F24,'Tagging key'!C:C,0)),"")</f>
        <v>42.05</v>
      </c>
      <c r="J24" s="3">
        <f>IFERROR(INDEX('Tagging key'!F:F, MATCH(F24,'Tagging key'!C:C,0)),"")</f>
        <v>26.28</v>
      </c>
      <c r="K24" s="3">
        <v>46.107999999999997</v>
      </c>
      <c r="L24" s="3">
        <v>71.5</v>
      </c>
      <c r="M24" s="3">
        <v>36.06</v>
      </c>
      <c r="N24" s="3">
        <v>21.64</v>
      </c>
      <c r="O24" s="3"/>
      <c r="P24" s="22">
        <v>45877</v>
      </c>
      <c r="Q24" s="22">
        <v>45877</v>
      </c>
      <c r="R24" s="3"/>
    </row>
    <row r="25" spans="1:19" x14ac:dyDescent="0.25">
      <c r="A25" s="11">
        <v>1</v>
      </c>
      <c r="B25" s="11">
        <v>6</v>
      </c>
      <c r="C25" s="11" t="s">
        <v>15</v>
      </c>
      <c r="D25" s="11" t="s">
        <v>46</v>
      </c>
      <c r="E25" s="11" t="s">
        <v>68</v>
      </c>
      <c r="F25" s="11" t="s">
        <v>69</v>
      </c>
      <c r="G25" s="3">
        <v>31.393000000000001</v>
      </c>
      <c r="H25" s="3">
        <f>IFERROR(INDEX('Tagging key'!D:D, MATCH(F25,'Tagging key'!C:C,0)),"")</f>
        <v>68</v>
      </c>
      <c r="I25" s="3">
        <f>IFERROR(INDEX('Tagging key'!E:E, MATCH(F25,'Tagging key'!C:C,0)),"")</f>
        <v>33</v>
      </c>
      <c r="J25" s="3">
        <f>IFERROR(INDEX('Tagging key'!F:F, MATCH(F25,'Tagging key'!C:C,0)),"")</f>
        <v>26</v>
      </c>
      <c r="K25" s="3">
        <v>31.966000000000001</v>
      </c>
      <c r="L25" s="3">
        <v>69.739999999999995</v>
      </c>
      <c r="M25" s="3">
        <v>34.26</v>
      </c>
      <c r="N25" s="3">
        <v>26.15</v>
      </c>
      <c r="O25" s="3"/>
      <c r="P25" s="22">
        <v>45882</v>
      </c>
      <c r="Q25" s="22">
        <v>45882</v>
      </c>
      <c r="R25" s="3">
        <v>11.113</v>
      </c>
    </row>
    <row r="26" spans="1:19" hidden="1" x14ac:dyDescent="0.25">
      <c r="A26" s="11">
        <v>1</v>
      </c>
      <c r="B26" s="11">
        <v>6</v>
      </c>
      <c r="C26" s="11" t="s">
        <v>15</v>
      </c>
      <c r="D26" s="11" t="s">
        <v>46</v>
      </c>
      <c r="E26" s="11" t="s">
        <v>70</v>
      </c>
      <c r="F26" s="11" t="s">
        <v>71</v>
      </c>
      <c r="G26" s="3">
        <v>51.927</v>
      </c>
      <c r="H26" s="3">
        <f>IFERROR(INDEX('Tagging key'!D:D, MATCH(F26,'Tagging key'!C:C,0)),"")</f>
        <v>79</v>
      </c>
      <c r="I26" s="3">
        <f>IFERROR(INDEX('Tagging key'!E:E, MATCH(F26,'Tagging key'!C:C,0)),"")</f>
        <v>37</v>
      </c>
      <c r="J26" s="3">
        <f>IFERROR(INDEX('Tagging key'!F:F, MATCH(F26,'Tagging key'!C:C,0)),"")</f>
        <v>32</v>
      </c>
      <c r="K26">
        <v>52.338999999999999</v>
      </c>
      <c r="L26" s="3">
        <v>79.34</v>
      </c>
      <c r="M26" s="3">
        <v>37.270000000000003</v>
      </c>
      <c r="N26" s="3">
        <v>32.94</v>
      </c>
      <c r="O26" s="3"/>
      <c r="P26" s="26">
        <v>45886</v>
      </c>
      <c r="Q26" s="26">
        <v>45886</v>
      </c>
    </row>
    <row r="27" spans="1:19" x14ac:dyDescent="0.25">
      <c r="A27" s="13">
        <v>1</v>
      </c>
      <c r="B27" s="13">
        <v>7</v>
      </c>
      <c r="C27" s="13" t="s">
        <v>15</v>
      </c>
      <c r="D27" s="13" t="s">
        <v>72</v>
      </c>
      <c r="E27" s="13" t="s">
        <v>73</v>
      </c>
      <c r="F27" s="13" t="s">
        <v>74</v>
      </c>
      <c r="G27" s="3">
        <v>50.988</v>
      </c>
      <c r="H27" s="3">
        <f>IFERROR(INDEX('Tagging key'!D:D, MATCH(F27,'Tagging key'!C:C,0)),"")</f>
        <v>69</v>
      </c>
      <c r="I27" s="3">
        <f>IFERROR(INDEX('Tagging key'!E:E, MATCH(F27,'Tagging key'!C:C,0)),"")</f>
        <v>71.5</v>
      </c>
      <c r="J27" s="3">
        <f>IFERROR(INDEX('Tagging key'!F:F, MATCH(F27,'Tagging key'!C:C,0)),"")</f>
        <v>18</v>
      </c>
      <c r="K27" s="3">
        <v>46.064</v>
      </c>
      <c r="L27" s="3">
        <v>69.92</v>
      </c>
      <c r="M27" s="3">
        <v>73.16</v>
      </c>
      <c r="N27" s="3">
        <v>21</v>
      </c>
      <c r="O27" s="3"/>
      <c r="P27" s="22">
        <v>45882</v>
      </c>
      <c r="Q27" s="22">
        <v>45882</v>
      </c>
      <c r="R27" s="3">
        <v>23.565000000000001</v>
      </c>
    </row>
    <row r="28" spans="1:19" hidden="1" x14ac:dyDescent="0.25">
      <c r="A28" s="13">
        <v>1</v>
      </c>
      <c r="B28" s="13">
        <v>7</v>
      </c>
      <c r="C28" s="13" t="s">
        <v>15</v>
      </c>
      <c r="D28" s="13" t="s">
        <v>72</v>
      </c>
      <c r="E28" s="13" t="s">
        <v>75</v>
      </c>
      <c r="F28" s="13" t="s">
        <v>76</v>
      </c>
      <c r="G28" s="3">
        <v>50.64</v>
      </c>
      <c r="H28" s="3">
        <f>IFERROR(INDEX('Tagging key'!D:D, MATCH(F28,'Tagging key'!C:C,0)),"")</f>
        <v>71</v>
      </c>
      <c r="I28" s="3">
        <f>IFERROR(INDEX('Tagging key'!E:E, MATCH(F28,'Tagging key'!C:C,0)),"")</f>
        <v>73</v>
      </c>
      <c r="J28" s="3">
        <f>IFERROR(INDEX('Tagging key'!F:F, MATCH(F28,'Tagging key'!C:C,0)),"")</f>
        <v>20</v>
      </c>
      <c r="K28" s="3">
        <v>40.579000000000001</v>
      </c>
      <c r="L28" s="3">
        <v>70.88</v>
      </c>
      <c r="M28" s="3">
        <v>74.319999999999993</v>
      </c>
      <c r="N28" s="3">
        <v>21.2</v>
      </c>
      <c r="O28" s="3"/>
      <c r="P28" s="26">
        <v>45886</v>
      </c>
      <c r="Q28" s="26">
        <v>45886</v>
      </c>
      <c r="S28" t="s">
        <v>77</v>
      </c>
    </row>
    <row r="29" spans="1:19" hidden="1" x14ac:dyDescent="0.25">
      <c r="A29" s="13">
        <v>1</v>
      </c>
      <c r="B29" s="13">
        <v>7</v>
      </c>
      <c r="C29" s="13" t="s">
        <v>15</v>
      </c>
      <c r="D29" s="13" t="s">
        <v>72</v>
      </c>
      <c r="E29" s="13" t="s">
        <v>78</v>
      </c>
      <c r="F29" s="13" t="s">
        <v>79</v>
      </c>
      <c r="G29" s="3">
        <v>57.49</v>
      </c>
      <c r="H29" s="3">
        <f>IFERROR(INDEX('Tagging key'!D:D, MATCH(F29,'Tagging key'!C:C,0)),"")</f>
        <v>71.5</v>
      </c>
      <c r="I29" s="3">
        <f>IFERROR(INDEX('Tagging key'!E:E, MATCH(F29,'Tagging key'!C:C,0)),"")</f>
        <v>75.5</v>
      </c>
      <c r="J29" s="3">
        <f>IFERROR(INDEX('Tagging key'!F:F, MATCH(F29,'Tagging key'!C:C,0)),"")</f>
        <v>20</v>
      </c>
      <c r="K29" s="3">
        <v>55.155000000000001</v>
      </c>
      <c r="L29" s="3">
        <v>73.62</v>
      </c>
      <c r="M29" s="3">
        <v>78.319999999999993</v>
      </c>
      <c r="N29" s="3">
        <v>23.12</v>
      </c>
      <c r="O29" s="3"/>
      <c r="P29" s="22">
        <v>45879</v>
      </c>
      <c r="Q29" s="22">
        <v>45879</v>
      </c>
      <c r="R29" s="3">
        <v>20.812999999999999</v>
      </c>
    </row>
    <row r="30" spans="1:19" hidden="1" x14ac:dyDescent="0.25">
      <c r="A30" s="13">
        <v>1</v>
      </c>
      <c r="B30" s="13">
        <v>7</v>
      </c>
      <c r="C30" s="13" t="s">
        <v>15</v>
      </c>
      <c r="D30" s="13" t="s">
        <v>72</v>
      </c>
      <c r="E30" s="13" t="s">
        <v>80</v>
      </c>
      <c r="F30" s="13" t="s">
        <v>81</v>
      </c>
      <c r="G30" s="3">
        <v>46.17</v>
      </c>
      <c r="H30" s="3">
        <f>IFERROR(INDEX('Tagging key'!D:D, MATCH(F30,'Tagging key'!C:C,0)),"")</f>
        <v>66</v>
      </c>
      <c r="I30" s="3">
        <f>IFERROR(INDEX('Tagging key'!E:E, MATCH(F30,'Tagging key'!C:C,0)),"")</f>
        <v>70</v>
      </c>
      <c r="J30" s="3">
        <f>IFERROR(INDEX('Tagging key'!F:F, MATCH(F30,'Tagging key'!C:C,0)),"")</f>
        <v>17</v>
      </c>
      <c r="K30" s="3">
        <v>43.563000000000002</v>
      </c>
      <c r="L30" s="3">
        <v>63.06</v>
      </c>
      <c r="M30" s="3">
        <v>65.510000000000005</v>
      </c>
      <c r="N30" s="3">
        <v>14.5</v>
      </c>
      <c r="O30" s="3"/>
      <c r="P30" s="22">
        <v>45877</v>
      </c>
      <c r="Q30" s="22">
        <v>45877</v>
      </c>
      <c r="R30" s="3"/>
    </row>
    <row r="31" spans="1:19" x14ac:dyDescent="0.25">
      <c r="A31" s="14">
        <v>1</v>
      </c>
      <c r="B31" s="14">
        <v>8</v>
      </c>
      <c r="C31" s="14" t="s">
        <v>15</v>
      </c>
      <c r="D31" s="14" t="s">
        <v>72</v>
      </c>
      <c r="E31" s="14" t="s">
        <v>82</v>
      </c>
      <c r="F31" s="14" t="s">
        <v>83</v>
      </c>
      <c r="G31" s="3">
        <v>70.19</v>
      </c>
      <c r="H31" s="3">
        <f>IFERROR(INDEX('Tagging key'!D:D, MATCH(F31,'Tagging key'!C:C,0)),"")</f>
        <v>77</v>
      </c>
      <c r="I31" s="3">
        <f>IFERROR(INDEX('Tagging key'!E:E, MATCH(F31,'Tagging key'!C:C,0)),"")</f>
        <v>80</v>
      </c>
      <c r="J31" s="3">
        <f>IFERROR(INDEX('Tagging key'!F:F, MATCH(F31,'Tagging key'!C:C,0)),"")</f>
        <v>20</v>
      </c>
      <c r="K31" s="3">
        <v>66.168000000000006</v>
      </c>
      <c r="L31" s="3">
        <v>78.34</v>
      </c>
      <c r="M31" s="3">
        <v>81.95</v>
      </c>
      <c r="N31" s="3">
        <v>22.6</v>
      </c>
      <c r="O31" s="3"/>
      <c r="P31" s="22">
        <v>45882</v>
      </c>
      <c r="Q31" s="22">
        <v>45882</v>
      </c>
      <c r="R31" s="3">
        <v>33.408999999999999</v>
      </c>
    </row>
    <row r="32" spans="1:19" hidden="1" x14ac:dyDescent="0.25">
      <c r="A32" s="14">
        <v>1</v>
      </c>
      <c r="B32" s="14">
        <v>8</v>
      </c>
      <c r="C32" s="14" t="s">
        <v>15</v>
      </c>
      <c r="D32" s="14" t="s">
        <v>72</v>
      </c>
      <c r="E32" s="14" t="s">
        <v>84</v>
      </c>
      <c r="F32" s="14" t="s">
        <v>85</v>
      </c>
      <c r="G32" s="3">
        <v>43.73</v>
      </c>
      <c r="H32" s="3">
        <f>IFERROR(INDEX('Tagging key'!D:D, MATCH(F32,'Tagging key'!C:C,0)),"")</f>
        <v>67</v>
      </c>
      <c r="I32" s="3">
        <f>IFERROR(INDEX('Tagging key'!E:E, MATCH(F32,'Tagging key'!C:C,0)),"")</f>
        <v>70</v>
      </c>
      <c r="J32" s="3">
        <f>IFERROR(INDEX('Tagging key'!F:F, MATCH(F32,'Tagging key'!C:C,0)),"")</f>
        <v>13</v>
      </c>
      <c r="K32" s="3">
        <v>40.048000000000002</v>
      </c>
      <c r="L32" s="3">
        <v>67.84</v>
      </c>
      <c r="M32" s="3">
        <v>71.900000000000006</v>
      </c>
      <c r="N32" s="3">
        <v>17.36</v>
      </c>
      <c r="O32" s="3"/>
      <c r="P32" s="26">
        <v>45886</v>
      </c>
      <c r="Q32" s="26">
        <v>45886</v>
      </c>
    </row>
    <row r="33" spans="1:20" hidden="1" x14ac:dyDescent="0.25">
      <c r="A33" s="14">
        <v>1</v>
      </c>
      <c r="B33" s="14">
        <v>8</v>
      </c>
      <c r="C33" s="14" t="s">
        <v>15</v>
      </c>
      <c r="D33" s="14" t="s">
        <v>72</v>
      </c>
      <c r="E33" s="14" t="s">
        <v>86</v>
      </c>
      <c r="F33" s="14" t="s">
        <v>87</v>
      </c>
      <c r="G33" s="3">
        <v>45.28</v>
      </c>
      <c r="H33" s="3">
        <f>IFERROR(INDEX('Tagging key'!D:D, MATCH(F33,'Tagging key'!C:C,0)),"")</f>
        <v>69.62</v>
      </c>
      <c r="I33" s="3">
        <f>IFERROR(INDEX('Tagging key'!E:E, MATCH(F33,'Tagging key'!C:C,0)),"")</f>
        <v>70.989999999999995</v>
      </c>
      <c r="J33" s="3">
        <f>IFERROR(INDEX('Tagging key'!F:F, MATCH(F33,'Tagging key'!C:C,0)),"")</f>
        <v>17.559999999999999</v>
      </c>
      <c r="K33" s="3">
        <v>43.895000000000003</v>
      </c>
      <c r="L33" s="3">
        <v>66.209999999999994</v>
      </c>
      <c r="M33" s="3">
        <v>69.48</v>
      </c>
      <c r="N33" s="3">
        <v>14.26</v>
      </c>
      <c r="O33" s="3"/>
      <c r="P33" s="22">
        <v>45877</v>
      </c>
      <c r="Q33" s="22">
        <v>45877</v>
      </c>
      <c r="R33" s="3"/>
    </row>
    <row r="34" spans="1:20" hidden="1" x14ac:dyDescent="0.25">
      <c r="A34" s="14">
        <v>1</v>
      </c>
      <c r="B34" s="14">
        <v>8</v>
      </c>
      <c r="C34" s="14" t="s">
        <v>15</v>
      </c>
      <c r="D34" s="14" t="s">
        <v>72</v>
      </c>
      <c r="E34" s="14" t="s">
        <v>88</v>
      </c>
      <c r="F34" s="14" t="s">
        <v>89</v>
      </c>
      <c r="G34" s="3">
        <v>46.96</v>
      </c>
      <c r="H34" s="3">
        <f>IFERROR(INDEX('Tagging key'!D:D, MATCH(F34,'Tagging key'!C:C,0)),"")</f>
        <v>76</v>
      </c>
      <c r="I34" s="3">
        <f>IFERROR(INDEX('Tagging key'!E:E, MATCH(F34,'Tagging key'!C:C,0)),"")</f>
        <v>74</v>
      </c>
      <c r="J34" s="3">
        <f>IFERROR(INDEX('Tagging key'!F:F, MATCH(F34,'Tagging key'!C:C,0)),"")</f>
        <v>16.54</v>
      </c>
      <c r="K34" s="3">
        <v>43.487000000000002</v>
      </c>
      <c r="L34" s="3">
        <v>72.25</v>
      </c>
      <c r="M34" s="3">
        <v>70.2</v>
      </c>
      <c r="N34" s="3">
        <v>19</v>
      </c>
      <c r="O34" s="3"/>
      <c r="P34" s="22">
        <v>45879</v>
      </c>
      <c r="Q34" s="22">
        <v>45879</v>
      </c>
      <c r="R34" s="3"/>
    </row>
    <row r="35" spans="1:20" hidden="1" x14ac:dyDescent="0.25">
      <c r="A35" s="13">
        <v>1</v>
      </c>
      <c r="B35" s="13">
        <v>9</v>
      </c>
      <c r="C35" s="13" t="s">
        <v>15</v>
      </c>
      <c r="D35" s="13" t="s">
        <v>72</v>
      </c>
      <c r="E35" s="13" t="s">
        <v>90</v>
      </c>
      <c r="F35" s="13" t="s">
        <v>91</v>
      </c>
      <c r="G35" s="3"/>
      <c r="H35" s="3" t="str">
        <f>IFERROR(INDEX('Tagging key'!D:D, MATCH(F35,'Tagging key'!C:C,0)),"")</f>
        <v/>
      </c>
      <c r="I35" s="3" t="str">
        <f>IFERROR(INDEX('Tagging key'!E:E, MATCH(F35,'Tagging key'!C:C,0)),"")</f>
        <v/>
      </c>
      <c r="J35" s="3" t="str">
        <f>IFERROR(INDEX('Tagging key'!F:F, MATCH(F35,'Tagging key'!C:C,0)),"")</f>
        <v/>
      </c>
      <c r="K35" s="3">
        <v>63.924999999999997</v>
      </c>
      <c r="L35" s="3">
        <v>74.739999999999995</v>
      </c>
      <c r="M35" s="3">
        <v>79.150000000000006</v>
      </c>
      <c r="N35" s="3">
        <v>15.8</v>
      </c>
      <c r="O35" s="3"/>
      <c r="P35" s="22">
        <v>45877</v>
      </c>
      <c r="Q35" s="22">
        <v>45877</v>
      </c>
      <c r="R35" s="3"/>
      <c r="S35" t="s">
        <v>92</v>
      </c>
      <c r="T35" t="s">
        <v>93</v>
      </c>
    </row>
    <row r="36" spans="1:20" hidden="1" x14ac:dyDescent="0.25">
      <c r="A36" s="13">
        <v>1</v>
      </c>
      <c r="B36" s="13">
        <v>9</v>
      </c>
      <c r="C36" s="13" t="s">
        <v>15</v>
      </c>
      <c r="D36" s="13" t="s">
        <v>72</v>
      </c>
      <c r="E36" s="13" t="s">
        <v>94</v>
      </c>
      <c r="F36" s="13" t="s">
        <v>95</v>
      </c>
      <c r="G36" s="3"/>
      <c r="H36" s="3" t="str">
        <f>IFERROR(INDEX('Tagging key'!D:D, MATCH(F36,'Tagging key'!C:C,0)),"")</f>
        <v/>
      </c>
      <c r="I36" s="3" t="str">
        <f>IFERROR(INDEX('Tagging key'!E:E, MATCH(F36,'Tagging key'!C:C,0)),"")</f>
        <v/>
      </c>
      <c r="J36" s="3" t="str">
        <f>IFERROR(INDEX('Tagging key'!F:F, MATCH(F36,'Tagging key'!C:C,0)),"")</f>
        <v/>
      </c>
      <c r="K36" s="3">
        <v>64.117999999999995</v>
      </c>
      <c r="L36" s="3">
        <v>79.66</v>
      </c>
      <c r="M36" s="3">
        <v>84.5</v>
      </c>
      <c r="N36" s="3">
        <v>21.52</v>
      </c>
      <c r="O36" s="3"/>
      <c r="P36" s="22">
        <v>45879</v>
      </c>
      <c r="Q36" s="22">
        <v>45879</v>
      </c>
      <c r="R36" s="3"/>
      <c r="S36" t="s">
        <v>96</v>
      </c>
      <c r="T36" t="s">
        <v>97</v>
      </c>
    </row>
    <row r="37" spans="1:20" x14ac:dyDescent="0.25">
      <c r="A37" s="13">
        <v>1</v>
      </c>
      <c r="B37" s="13">
        <v>9</v>
      </c>
      <c r="C37" s="13" t="s">
        <v>15</v>
      </c>
      <c r="D37" s="13" t="s">
        <v>72</v>
      </c>
      <c r="E37" s="13" t="s">
        <v>98</v>
      </c>
      <c r="F37" s="13" t="s">
        <v>99</v>
      </c>
      <c r="G37" s="3"/>
      <c r="H37" s="3" t="str">
        <f>IFERROR(INDEX('Tagging key'!D:D, MATCH(F37,'Tagging key'!C:C,0)),"")</f>
        <v/>
      </c>
      <c r="I37" s="3" t="str">
        <f>IFERROR(INDEX('Tagging key'!E:E, MATCH(F37,'Tagging key'!C:C,0)),"")</f>
        <v/>
      </c>
      <c r="J37" s="3" t="str">
        <f>IFERROR(INDEX('Tagging key'!F:F, MATCH(F37,'Tagging key'!C:C,0)),"")</f>
        <v/>
      </c>
      <c r="K37" s="3">
        <v>48.91</v>
      </c>
      <c r="L37" s="3">
        <v>71.349999999999994</v>
      </c>
      <c r="M37" s="3">
        <v>75.45</v>
      </c>
      <c r="N37" s="3">
        <v>19.71</v>
      </c>
      <c r="O37" s="3"/>
      <c r="P37" s="22">
        <v>45882</v>
      </c>
      <c r="Q37" s="22">
        <v>45882</v>
      </c>
      <c r="R37" s="3"/>
      <c r="T37" t="s">
        <v>100</v>
      </c>
    </row>
    <row r="38" spans="1:20" hidden="1" x14ac:dyDescent="0.25">
      <c r="A38" s="13">
        <v>1</v>
      </c>
      <c r="B38" s="13">
        <v>9</v>
      </c>
      <c r="C38" s="13" t="s">
        <v>15</v>
      </c>
      <c r="D38" s="13" t="s">
        <v>72</v>
      </c>
      <c r="E38" s="13" t="s">
        <v>101</v>
      </c>
      <c r="F38" s="13" t="s">
        <v>102</v>
      </c>
      <c r="G38" s="3"/>
      <c r="H38" s="3" t="str">
        <f>IFERROR(INDEX('Tagging key'!D:D, MATCH(F38,'Tagging key'!C:C,0)),"")</f>
        <v/>
      </c>
      <c r="I38" s="3" t="str">
        <f>IFERROR(INDEX('Tagging key'!E:E, MATCH(F38,'Tagging key'!C:C,0)),"")</f>
        <v/>
      </c>
      <c r="J38" s="3" t="str">
        <f>IFERROR(INDEX('Tagging key'!F:F, MATCH(F38,'Tagging key'!C:C,0)),"")</f>
        <v/>
      </c>
      <c r="K38" s="3">
        <v>57.301000000000002</v>
      </c>
      <c r="L38" s="3">
        <v>75.94</v>
      </c>
      <c r="M38" s="3">
        <v>81.98</v>
      </c>
      <c r="N38" s="3">
        <v>23</v>
      </c>
      <c r="O38" s="3"/>
      <c r="P38" s="26">
        <v>45886</v>
      </c>
      <c r="Q38" s="26">
        <v>45886</v>
      </c>
      <c r="S38" t="s">
        <v>103</v>
      </c>
      <c r="T38" t="s">
        <v>104</v>
      </c>
    </row>
    <row r="39" spans="1:20" hidden="1" x14ac:dyDescent="0.25">
      <c r="A39" s="8">
        <v>2</v>
      </c>
      <c r="B39" s="8">
        <v>1</v>
      </c>
      <c r="C39" s="8" t="s">
        <v>105</v>
      </c>
      <c r="D39" s="8" t="s">
        <v>16</v>
      </c>
      <c r="E39" s="8" t="s">
        <v>106</v>
      </c>
      <c r="F39" s="8" t="s">
        <v>107</v>
      </c>
      <c r="G39" s="3">
        <v>27.457000000000001</v>
      </c>
      <c r="H39" s="3">
        <v>66.92</v>
      </c>
      <c r="I39" s="3">
        <v>40.6</v>
      </c>
      <c r="J39" s="3">
        <v>14.18</v>
      </c>
      <c r="K39" s="3">
        <v>27.446999999999999</v>
      </c>
      <c r="L39" s="3">
        <v>66.41</v>
      </c>
      <c r="M39" s="3">
        <v>40.299999999999997</v>
      </c>
      <c r="N39" s="3">
        <v>15.3</v>
      </c>
      <c r="O39" s="3"/>
      <c r="P39" s="26">
        <v>45886</v>
      </c>
      <c r="Q39" s="26">
        <v>45886</v>
      </c>
    </row>
    <row r="40" spans="1:20" x14ac:dyDescent="0.25">
      <c r="A40" s="8">
        <v>2</v>
      </c>
      <c r="B40" s="8">
        <v>1</v>
      </c>
      <c r="C40" s="8" t="s">
        <v>105</v>
      </c>
      <c r="D40" s="8" t="s">
        <v>16</v>
      </c>
      <c r="E40" s="8" t="s">
        <v>108</v>
      </c>
      <c r="F40" s="8" t="s">
        <v>109</v>
      </c>
      <c r="G40" s="3">
        <v>28.460999999999999</v>
      </c>
      <c r="H40" s="3">
        <f>IFERROR(INDEX('Tagging key'!D:D, MATCH(F40,'Tagging key'!C:C,0)),"")</f>
        <v>60</v>
      </c>
      <c r="I40" s="3">
        <f>IFERROR(INDEX('Tagging key'!E:E, MATCH(F40,'Tagging key'!C:C,0)),"")</f>
        <v>48.92</v>
      </c>
      <c r="J40" s="3">
        <f>IFERROR(INDEX('Tagging key'!F:F, MATCH(F40,'Tagging key'!C:C,0)),"")</f>
        <v>17.079999999999998</v>
      </c>
      <c r="K40" s="3">
        <v>28.300999999999998</v>
      </c>
      <c r="L40" s="3">
        <v>61</v>
      </c>
      <c r="M40" s="3">
        <v>46.24</v>
      </c>
      <c r="N40" s="3">
        <v>18.86</v>
      </c>
      <c r="O40" s="3"/>
      <c r="P40" s="22">
        <v>45882</v>
      </c>
      <c r="Q40" s="22">
        <v>45882</v>
      </c>
      <c r="R40" s="3">
        <v>19.263999999999999</v>
      </c>
    </row>
    <row r="41" spans="1:20" hidden="1" x14ac:dyDescent="0.25">
      <c r="A41" s="8">
        <v>2</v>
      </c>
      <c r="B41" s="8">
        <v>1</v>
      </c>
      <c r="C41" s="8" t="s">
        <v>105</v>
      </c>
      <c r="D41" s="8" t="s">
        <v>16</v>
      </c>
      <c r="E41" s="8" t="s">
        <v>110</v>
      </c>
      <c r="F41" s="8" t="s">
        <v>111</v>
      </c>
      <c r="G41" s="3">
        <v>36.899000000000001</v>
      </c>
      <c r="H41" s="3">
        <f>IFERROR(INDEX('Tagging key'!D:D, MATCH(F41,'Tagging key'!C:C,0)),"")</f>
        <v>73.260000000000005</v>
      </c>
      <c r="I41" s="3">
        <f>IFERROR(INDEX('Tagging key'!E:E, MATCH(F41,'Tagging key'!C:C,0)),"")</f>
        <v>50.23</v>
      </c>
      <c r="J41" s="3">
        <f>IFERROR(INDEX('Tagging key'!F:F, MATCH(F41,'Tagging key'!C:C,0)),"")</f>
        <v>15.63</v>
      </c>
      <c r="K41" s="3">
        <v>36.508000000000003</v>
      </c>
      <c r="L41" s="3">
        <v>75.48</v>
      </c>
      <c r="M41" s="3">
        <v>49.99</v>
      </c>
      <c r="N41" s="3">
        <v>29.37</v>
      </c>
      <c r="O41" s="3"/>
      <c r="P41" s="22">
        <v>45879</v>
      </c>
      <c r="Q41" s="22">
        <v>45879</v>
      </c>
      <c r="R41" s="3"/>
    </row>
    <row r="42" spans="1:20" hidden="1" x14ac:dyDescent="0.25">
      <c r="A42" s="8">
        <v>2</v>
      </c>
      <c r="B42" s="8">
        <v>1</v>
      </c>
      <c r="C42" s="8" t="s">
        <v>105</v>
      </c>
      <c r="D42" s="8" t="s">
        <v>16</v>
      </c>
      <c r="E42" s="8" t="s">
        <v>112</v>
      </c>
      <c r="F42" s="8" t="s">
        <v>113</v>
      </c>
      <c r="G42" s="3">
        <v>32.44</v>
      </c>
      <c r="H42" s="3">
        <f>IFERROR(INDEX('Tagging key'!D:D, MATCH(F42,'Tagging key'!C:C,0)),"")</f>
        <v>62.42</v>
      </c>
      <c r="I42" s="3">
        <f>IFERROR(INDEX('Tagging key'!E:E, MATCH(F42,'Tagging key'!C:C,0)),"")</f>
        <v>46.78</v>
      </c>
      <c r="J42" s="3">
        <f>IFERROR(INDEX('Tagging key'!F:F, MATCH(F42,'Tagging key'!C:C,0)),"")</f>
        <v>17.420000000000002</v>
      </c>
      <c r="K42" s="3">
        <v>32.15</v>
      </c>
      <c r="L42" s="3">
        <v>64.069999999999993</v>
      </c>
      <c r="M42" s="3">
        <v>45.04</v>
      </c>
      <c r="N42" s="3">
        <v>17.899999999999999</v>
      </c>
      <c r="O42" s="3"/>
      <c r="P42" s="22">
        <v>45877</v>
      </c>
      <c r="Q42" s="22">
        <v>45877</v>
      </c>
      <c r="R42" s="3"/>
    </row>
    <row r="43" spans="1:20" hidden="1" x14ac:dyDescent="0.25">
      <c r="A43" s="9">
        <v>2</v>
      </c>
      <c r="B43" s="9">
        <v>2</v>
      </c>
      <c r="C43" s="9" t="s">
        <v>105</v>
      </c>
      <c r="D43" s="9" t="s">
        <v>16</v>
      </c>
      <c r="E43" s="9" t="s">
        <v>114</v>
      </c>
      <c r="F43" s="9" t="s">
        <v>115</v>
      </c>
      <c r="G43" s="3">
        <v>26.719000000000001</v>
      </c>
      <c r="H43" s="3">
        <f>IFERROR(INDEX('Tagging key'!D:D, MATCH(F43,'Tagging key'!C:C,0)),"")</f>
        <v>62.04</v>
      </c>
      <c r="I43" s="3">
        <f>IFERROR(INDEX('Tagging key'!E:E, MATCH(F43,'Tagging key'!C:C,0)),"")</f>
        <v>54.99</v>
      </c>
      <c r="J43" s="3">
        <f>IFERROR(INDEX('Tagging key'!F:F, MATCH(F43,'Tagging key'!C:C,0)),"")</f>
        <v>18.239999999999998</v>
      </c>
      <c r="K43" s="3">
        <v>26.423999999999999</v>
      </c>
      <c r="L43" s="3">
        <v>63.18</v>
      </c>
      <c r="M43" s="3">
        <v>43.61</v>
      </c>
      <c r="N43" s="3">
        <v>18.309999999999999</v>
      </c>
      <c r="O43" s="3"/>
      <c r="P43" s="22">
        <v>45877</v>
      </c>
      <c r="Q43" s="22">
        <v>45877</v>
      </c>
      <c r="R43" s="3"/>
    </row>
    <row r="44" spans="1:20" hidden="1" x14ac:dyDescent="0.25">
      <c r="A44" s="9">
        <v>2</v>
      </c>
      <c r="B44" s="9">
        <v>2</v>
      </c>
      <c r="C44" s="9" t="s">
        <v>105</v>
      </c>
      <c r="D44" s="9" t="s">
        <v>16</v>
      </c>
      <c r="E44" s="9" t="s">
        <v>116</v>
      </c>
      <c r="F44" s="9" t="s">
        <v>117</v>
      </c>
      <c r="G44" s="3">
        <v>38.066000000000003</v>
      </c>
      <c r="H44" s="3">
        <f>IFERROR(INDEX('Tagging key'!D:D, MATCH(F44,'Tagging key'!C:C,0)),"")</f>
        <v>68.489999999999995</v>
      </c>
      <c r="I44" s="3">
        <f>IFERROR(INDEX('Tagging key'!E:E, MATCH(F44,'Tagging key'!C:C,0)),"")</f>
        <v>49.5</v>
      </c>
      <c r="J44" s="3">
        <f>IFERROR(INDEX('Tagging key'!F:F, MATCH(F44,'Tagging key'!C:C,0)),"")</f>
        <v>17.690000000000001</v>
      </c>
      <c r="K44" s="3">
        <v>37.856999999999999</v>
      </c>
      <c r="L44" s="3">
        <v>69.12</v>
      </c>
      <c r="M44" s="3">
        <v>47.53</v>
      </c>
      <c r="N44" s="3">
        <v>18.98</v>
      </c>
      <c r="O44" s="3"/>
      <c r="P44" s="22">
        <v>45879</v>
      </c>
      <c r="Q44" s="22">
        <v>45879</v>
      </c>
      <c r="R44" s="3"/>
    </row>
    <row r="45" spans="1:20" x14ac:dyDescent="0.25">
      <c r="A45" s="9">
        <v>2</v>
      </c>
      <c r="B45" s="9">
        <v>2</v>
      </c>
      <c r="C45" s="9" t="s">
        <v>105</v>
      </c>
      <c r="D45" s="9" t="s">
        <v>16</v>
      </c>
      <c r="E45" s="9" t="s">
        <v>118</v>
      </c>
      <c r="F45" s="9" t="s">
        <v>119</v>
      </c>
      <c r="G45" s="3">
        <v>39.246000000000002</v>
      </c>
      <c r="H45" s="3">
        <f>IFERROR(INDEX('Tagging key'!D:D, MATCH(F45,'Tagging key'!C:C,0)),"")</f>
        <v>70.41</v>
      </c>
      <c r="I45" s="3">
        <f>IFERROR(INDEX('Tagging key'!E:E, MATCH(F45,'Tagging key'!C:C,0)),"")</f>
        <v>53.1</v>
      </c>
      <c r="J45" s="3">
        <f>IFERROR(INDEX('Tagging key'!F:F, MATCH(F45,'Tagging key'!C:C,0)),"")</f>
        <v>14.98</v>
      </c>
      <c r="K45" s="3">
        <v>38.58</v>
      </c>
      <c r="L45" s="3">
        <v>71.09</v>
      </c>
      <c r="M45" s="3">
        <v>54.49</v>
      </c>
      <c r="N45" s="3">
        <v>20.36</v>
      </c>
      <c r="O45" s="3"/>
      <c r="P45" s="22">
        <v>45882</v>
      </c>
      <c r="Q45" s="22">
        <v>45882</v>
      </c>
      <c r="R45" s="3">
        <v>25.088000000000001</v>
      </c>
    </row>
    <row r="46" spans="1:20" hidden="1" x14ac:dyDescent="0.25">
      <c r="A46" s="9">
        <v>2</v>
      </c>
      <c r="B46" s="9">
        <v>2</v>
      </c>
      <c r="C46" s="9" t="s">
        <v>105</v>
      </c>
      <c r="D46" s="9" t="s">
        <v>16</v>
      </c>
      <c r="E46" s="9" t="s">
        <v>120</v>
      </c>
      <c r="F46" s="9" t="s">
        <v>121</v>
      </c>
      <c r="G46" s="3">
        <v>31.29</v>
      </c>
      <c r="H46" s="3">
        <f>IFERROR(INDEX('Tagging key'!D:D, MATCH(F46,'Tagging key'!C:C,0)),"")</f>
        <v>65.94</v>
      </c>
      <c r="I46" s="3">
        <f>IFERROR(INDEX('Tagging key'!E:E, MATCH(F46,'Tagging key'!C:C,0)),"")</f>
        <v>54.06</v>
      </c>
      <c r="J46" s="3">
        <f>IFERROR(INDEX('Tagging key'!F:F, MATCH(F46,'Tagging key'!C:C,0)),"")</f>
        <v>21.23</v>
      </c>
      <c r="K46" s="3">
        <v>30.584</v>
      </c>
      <c r="L46" s="3">
        <v>67.8</v>
      </c>
      <c r="M46" s="3">
        <v>43.44</v>
      </c>
      <c r="N46" s="3">
        <v>18.89</v>
      </c>
      <c r="O46" s="3"/>
      <c r="P46" s="26">
        <v>45886</v>
      </c>
      <c r="Q46" s="26">
        <v>45886</v>
      </c>
    </row>
    <row r="47" spans="1:20" hidden="1" x14ac:dyDescent="0.25">
      <c r="A47" s="8">
        <v>2</v>
      </c>
      <c r="B47" s="8">
        <v>3</v>
      </c>
      <c r="C47" s="8" t="s">
        <v>105</v>
      </c>
      <c r="D47" s="8" t="s">
        <v>16</v>
      </c>
      <c r="E47" s="8" t="s">
        <v>122</v>
      </c>
      <c r="F47" s="8" t="s">
        <v>123</v>
      </c>
      <c r="G47" s="3">
        <v>40.51</v>
      </c>
      <c r="H47" s="3">
        <f>IFERROR(INDEX('Tagging key'!D:D, MATCH(F47,'Tagging key'!C:C,0)),"")</f>
        <v>74.52</v>
      </c>
      <c r="I47" s="3">
        <f>IFERROR(INDEX('Tagging key'!E:E, MATCH(F47,'Tagging key'!C:C,0)),"")</f>
        <v>46.59</v>
      </c>
      <c r="J47" s="3">
        <f>IFERROR(INDEX('Tagging key'!F:F, MATCH(F47,'Tagging key'!C:C,0)),"")</f>
        <v>17.47</v>
      </c>
      <c r="K47" s="3">
        <v>40.17</v>
      </c>
      <c r="L47" s="3">
        <v>74.8</v>
      </c>
      <c r="M47" s="3">
        <v>44.95</v>
      </c>
      <c r="N47" s="3">
        <v>17.98</v>
      </c>
      <c r="O47" s="3"/>
      <c r="P47" s="22">
        <v>45877</v>
      </c>
      <c r="Q47" s="22">
        <v>45877</v>
      </c>
      <c r="R47" s="3"/>
    </row>
    <row r="48" spans="1:20" hidden="1" x14ac:dyDescent="0.25">
      <c r="A48" s="8">
        <v>2</v>
      </c>
      <c r="B48" s="8">
        <v>3</v>
      </c>
      <c r="C48" s="8" t="s">
        <v>105</v>
      </c>
      <c r="D48" s="8" t="s">
        <v>16</v>
      </c>
      <c r="E48" s="8" t="s">
        <v>124</v>
      </c>
      <c r="F48" s="8" t="s">
        <v>125</v>
      </c>
      <c r="G48" s="3">
        <v>26.824999999999999</v>
      </c>
      <c r="H48" s="3">
        <f>IFERROR(INDEX('Tagging key'!D:D, MATCH(F48,'Tagging key'!C:C,0)),"")</f>
        <v>63.35</v>
      </c>
      <c r="I48" s="3">
        <f>IFERROR(INDEX('Tagging key'!E:E, MATCH(F48,'Tagging key'!C:C,0)),"")</f>
        <v>50.79</v>
      </c>
      <c r="J48" s="3">
        <f>IFERROR(INDEX('Tagging key'!F:F, MATCH(F48,'Tagging key'!C:C,0)),"")</f>
        <v>14.3</v>
      </c>
      <c r="K48" s="3">
        <v>26.687999999999999</v>
      </c>
      <c r="L48" s="3">
        <v>65.52</v>
      </c>
      <c r="M48" s="3">
        <v>41.91</v>
      </c>
      <c r="N48" s="3">
        <v>17.100000000000001</v>
      </c>
      <c r="O48" s="3"/>
      <c r="P48" s="22">
        <v>45879</v>
      </c>
      <c r="Q48" s="22">
        <v>45879</v>
      </c>
      <c r="R48" s="3"/>
    </row>
    <row r="49" spans="1:19" hidden="1" x14ac:dyDescent="0.25">
      <c r="A49" s="8">
        <v>2</v>
      </c>
      <c r="B49" s="8">
        <v>3</v>
      </c>
      <c r="C49" s="8" t="s">
        <v>105</v>
      </c>
      <c r="D49" s="8" t="s">
        <v>16</v>
      </c>
      <c r="E49" s="8" t="s">
        <v>57</v>
      </c>
      <c r="F49" s="8" t="s">
        <v>126</v>
      </c>
      <c r="G49" s="3">
        <v>31.635000000000002</v>
      </c>
      <c r="H49" s="3">
        <f>IFERROR(INDEX('Tagging key'!D:D, MATCH(F49,'Tagging key'!C:C,0)),"")</f>
        <v>67.83</v>
      </c>
      <c r="I49" s="3">
        <f>IFERROR(INDEX('Tagging key'!E:E, MATCH(F49,'Tagging key'!C:C,0)),"")</f>
        <v>52.61</v>
      </c>
      <c r="J49" s="3">
        <f>IFERROR(INDEX('Tagging key'!F:F, MATCH(F49,'Tagging key'!C:C,0)),"")</f>
        <v>16.87</v>
      </c>
      <c r="K49" s="3">
        <v>31.57</v>
      </c>
      <c r="L49" s="3">
        <v>68.53</v>
      </c>
      <c r="M49" s="3">
        <v>50.15</v>
      </c>
      <c r="N49" s="3">
        <v>18.72</v>
      </c>
      <c r="O49" s="3"/>
      <c r="P49" s="26">
        <v>45886</v>
      </c>
      <c r="Q49" s="26">
        <v>45886</v>
      </c>
    </row>
    <row r="50" spans="1:19" x14ac:dyDescent="0.25">
      <c r="A50" s="8">
        <v>2</v>
      </c>
      <c r="B50" s="8">
        <v>3</v>
      </c>
      <c r="C50" s="8" t="s">
        <v>105</v>
      </c>
      <c r="D50" s="8" t="s">
        <v>16</v>
      </c>
      <c r="E50" s="8" t="s">
        <v>127</v>
      </c>
      <c r="F50" s="8" t="s">
        <v>128</v>
      </c>
      <c r="G50" s="3">
        <v>16.792999999999999</v>
      </c>
      <c r="H50" s="3">
        <f>IFERROR(INDEX('Tagging key'!D:D, MATCH(F50,'Tagging key'!C:C,0)),"")</f>
        <v>56.39</v>
      </c>
      <c r="I50" s="3">
        <f>IFERROR(INDEX('Tagging key'!E:E, MATCH(F50,'Tagging key'!C:C,0)),"")</f>
        <v>35.68</v>
      </c>
      <c r="J50" s="3">
        <f>IFERROR(INDEX('Tagging key'!F:F, MATCH(F50,'Tagging key'!C:C,0)),"")</f>
        <v>13.34</v>
      </c>
      <c r="K50" s="3">
        <v>16.68</v>
      </c>
      <c r="L50" s="3">
        <v>56.34</v>
      </c>
      <c r="M50" s="3">
        <v>35.33</v>
      </c>
      <c r="N50" s="3">
        <v>13.2</v>
      </c>
      <c r="O50" s="3"/>
      <c r="P50" s="22">
        <v>45882</v>
      </c>
      <c r="Q50" s="22">
        <v>45882</v>
      </c>
      <c r="R50" s="3">
        <v>11.089</v>
      </c>
    </row>
    <row r="51" spans="1:19" hidden="1" x14ac:dyDescent="0.25">
      <c r="A51" s="13">
        <v>2</v>
      </c>
      <c r="B51" s="13">
        <v>4</v>
      </c>
      <c r="C51" s="13" t="s">
        <v>105</v>
      </c>
      <c r="D51" s="13" t="s">
        <v>72</v>
      </c>
      <c r="E51" s="13" t="s">
        <v>129</v>
      </c>
      <c r="F51" s="13" t="s">
        <v>130</v>
      </c>
      <c r="G51" s="3">
        <v>48.183</v>
      </c>
      <c r="H51" s="3">
        <f>IFERROR(INDEX('Tagging key'!D:D, MATCH(F51,'Tagging key'!C:C,0)),"")</f>
        <v>68</v>
      </c>
      <c r="I51" s="3">
        <f>IFERROR(INDEX('Tagging key'!E:E, MATCH(F51,'Tagging key'!C:C,0)),"")</f>
        <v>72</v>
      </c>
      <c r="J51" s="3">
        <f>IFERROR(INDEX('Tagging key'!F:F, MATCH(F51,'Tagging key'!C:C,0)),"")</f>
        <v>20</v>
      </c>
      <c r="K51" s="3">
        <v>44.485999999999997</v>
      </c>
      <c r="L51" s="3">
        <v>69.11</v>
      </c>
      <c r="M51" s="3">
        <v>73.06</v>
      </c>
      <c r="N51" s="3">
        <v>21.12</v>
      </c>
      <c r="O51" s="3"/>
      <c r="P51" s="26">
        <v>45886</v>
      </c>
      <c r="Q51" s="26">
        <v>45886</v>
      </c>
    </row>
    <row r="52" spans="1:19" hidden="1" x14ac:dyDescent="0.25">
      <c r="A52" s="13">
        <v>2</v>
      </c>
      <c r="B52" s="13">
        <v>4</v>
      </c>
      <c r="C52" s="13" t="s">
        <v>105</v>
      </c>
      <c r="D52" s="13" t="s">
        <v>72</v>
      </c>
      <c r="E52" s="13" t="s">
        <v>131</v>
      </c>
      <c r="F52" s="13" t="s">
        <v>132</v>
      </c>
      <c r="G52" s="3">
        <v>71.096999999999994</v>
      </c>
      <c r="H52" s="3">
        <f>IFERROR(INDEX('Tagging key'!D:D, MATCH(F52,'Tagging key'!C:C,0)),"")</f>
        <v>76.95</v>
      </c>
      <c r="I52" s="3">
        <f>IFERROR(INDEX('Tagging key'!E:E, MATCH(F52,'Tagging key'!C:C,0)),"")</f>
        <v>79.83</v>
      </c>
      <c r="J52" s="3">
        <f>IFERROR(INDEX('Tagging key'!F:F, MATCH(F52,'Tagging key'!C:C,0)),"")</f>
        <v>21.01</v>
      </c>
      <c r="K52" s="3">
        <v>67.549000000000007</v>
      </c>
      <c r="L52" s="3">
        <v>77.55</v>
      </c>
      <c r="M52" s="3">
        <v>80.64</v>
      </c>
      <c r="N52" s="3">
        <v>23.2</v>
      </c>
      <c r="O52" s="3"/>
      <c r="P52" s="22">
        <v>45877</v>
      </c>
      <c r="Q52" s="22">
        <v>45877</v>
      </c>
      <c r="R52" s="3"/>
    </row>
    <row r="53" spans="1:19" x14ac:dyDescent="0.25">
      <c r="A53" s="13">
        <v>2</v>
      </c>
      <c r="B53" s="13">
        <v>4</v>
      </c>
      <c r="C53" s="13" t="s">
        <v>105</v>
      </c>
      <c r="D53" s="13" t="s">
        <v>72</v>
      </c>
      <c r="E53" s="13" t="s">
        <v>133</v>
      </c>
      <c r="F53" s="13" t="s">
        <v>134</v>
      </c>
      <c r="G53" s="3">
        <v>48.204999999999998</v>
      </c>
      <c r="H53" s="3">
        <f>IFERROR(INDEX('Tagging key'!D:D, MATCH(F53,'Tagging key'!C:C,0)),"")</f>
        <v>70</v>
      </c>
      <c r="I53" s="3">
        <f>IFERROR(INDEX('Tagging key'!E:E, MATCH(F53,'Tagging key'!C:C,0)),"")</f>
        <v>70</v>
      </c>
      <c r="J53" s="3">
        <f>IFERROR(INDEX('Tagging key'!F:F, MATCH(F53,'Tagging key'!C:C,0)),"")</f>
        <v>20</v>
      </c>
      <c r="K53" s="3">
        <v>44.747</v>
      </c>
      <c r="L53" s="3">
        <v>68.95</v>
      </c>
      <c r="M53" s="3">
        <v>71.599999999999994</v>
      </c>
      <c r="N53" s="3">
        <v>20.99</v>
      </c>
      <c r="O53" s="3"/>
      <c r="P53" s="22">
        <v>45882</v>
      </c>
      <c r="Q53" s="22">
        <v>45882</v>
      </c>
      <c r="R53" s="3">
        <v>21.952999999999999</v>
      </c>
    </row>
    <row r="54" spans="1:19" hidden="1" x14ac:dyDescent="0.25">
      <c r="A54" s="13">
        <v>2</v>
      </c>
      <c r="B54" s="13">
        <v>4</v>
      </c>
      <c r="C54" s="13" t="s">
        <v>105</v>
      </c>
      <c r="D54" s="13" t="s">
        <v>72</v>
      </c>
      <c r="E54" s="13" t="s">
        <v>135</v>
      </c>
      <c r="F54" s="13" t="s">
        <v>136</v>
      </c>
      <c r="G54" s="3">
        <v>56.186</v>
      </c>
      <c r="H54" s="3">
        <f>IFERROR(INDEX('Tagging key'!D:D, MATCH(F54,'Tagging key'!C:C,0)),"")</f>
        <v>71</v>
      </c>
      <c r="I54" s="3">
        <f>IFERROR(INDEX('Tagging key'!E:E, MATCH(F54,'Tagging key'!C:C,0)),"")</f>
        <v>76</v>
      </c>
      <c r="J54" s="3">
        <f>IFERROR(INDEX('Tagging key'!F:F, MATCH(F54,'Tagging key'!C:C,0)),"")</f>
        <v>18</v>
      </c>
      <c r="K54" s="3">
        <v>51.918999999999997</v>
      </c>
      <c r="L54" s="3">
        <v>72.92</v>
      </c>
      <c r="M54" s="3">
        <v>77.75</v>
      </c>
      <c r="N54" s="3">
        <v>19.420000000000002</v>
      </c>
      <c r="O54" s="3"/>
      <c r="P54" s="22">
        <v>45879</v>
      </c>
      <c r="Q54" s="22">
        <v>45879</v>
      </c>
      <c r="R54" s="3"/>
    </row>
    <row r="55" spans="1:19" hidden="1" x14ac:dyDescent="0.25">
      <c r="A55" s="14">
        <v>2</v>
      </c>
      <c r="B55" s="14">
        <v>5</v>
      </c>
      <c r="C55" s="14" t="s">
        <v>105</v>
      </c>
      <c r="D55" s="14" t="s">
        <v>72</v>
      </c>
      <c r="E55" s="14" t="s">
        <v>137</v>
      </c>
      <c r="F55" s="14" t="s">
        <v>138</v>
      </c>
      <c r="G55" s="3">
        <v>62.296999999999997</v>
      </c>
      <c r="H55" s="3">
        <f>IFERROR(INDEX('Tagging key'!D:D, MATCH(F55,'Tagging key'!C:C,0)),"")</f>
        <v>70</v>
      </c>
      <c r="I55" s="3">
        <f>IFERROR(INDEX('Tagging key'!E:E, MATCH(F55,'Tagging key'!C:C,0)),"")</f>
        <v>73</v>
      </c>
      <c r="J55" s="3">
        <f>IFERROR(INDEX('Tagging key'!F:F, MATCH(F55,'Tagging key'!C:C,0)),"")</f>
        <v>22</v>
      </c>
      <c r="K55" s="3">
        <v>59.104999999999997</v>
      </c>
      <c r="L55" s="3">
        <v>70.37</v>
      </c>
      <c r="M55" s="3">
        <v>74.41</v>
      </c>
      <c r="N55" s="3">
        <v>21.84</v>
      </c>
      <c r="O55" s="3"/>
      <c r="P55" s="26">
        <v>45886</v>
      </c>
      <c r="Q55" s="26">
        <v>45886</v>
      </c>
    </row>
    <row r="56" spans="1:19" x14ac:dyDescent="0.25">
      <c r="A56" s="14">
        <v>2</v>
      </c>
      <c r="B56" s="14">
        <v>5</v>
      </c>
      <c r="C56" s="14" t="s">
        <v>105</v>
      </c>
      <c r="D56" s="14" t="s">
        <v>72</v>
      </c>
      <c r="E56" s="14" t="s">
        <v>47</v>
      </c>
      <c r="F56" s="14" t="s">
        <v>139</v>
      </c>
      <c r="G56" s="3">
        <v>76.858999999999995</v>
      </c>
      <c r="H56" s="3">
        <f>IFERROR(INDEX('Tagging key'!D:D, MATCH(F56,'Tagging key'!C:C,0)),"")</f>
        <v>79.58</v>
      </c>
      <c r="I56" s="3">
        <f>IFERROR(INDEX('Tagging key'!E:E, MATCH(F56,'Tagging key'!C:C,0)),"")</f>
        <v>83.78</v>
      </c>
      <c r="J56" s="3">
        <f>IFERROR(INDEX('Tagging key'!F:F, MATCH(F56,'Tagging key'!C:C,0)),"")</f>
        <v>21.54</v>
      </c>
      <c r="K56" s="3">
        <v>74.944000000000003</v>
      </c>
      <c r="L56" s="3">
        <v>79.510000000000005</v>
      </c>
      <c r="M56" s="3">
        <v>84.37</v>
      </c>
      <c r="N56" s="3">
        <v>23.34</v>
      </c>
      <c r="O56" s="3"/>
      <c r="P56" s="22">
        <v>45882</v>
      </c>
      <c r="Q56" s="22">
        <v>45882</v>
      </c>
      <c r="R56" s="3">
        <v>36.197000000000003</v>
      </c>
    </row>
    <row r="57" spans="1:19" hidden="1" x14ac:dyDescent="0.25">
      <c r="A57" s="14">
        <v>2</v>
      </c>
      <c r="B57" s="14">
        <v>5</v>
      </c>
      <c r="C57" s="14" t="s">
        <v>105</v>
      </c>
      <c r="D57" s="14" t="s">
        <v>72</v>
      </c>
      <c r="E57" s="14" t="s">
        <v>140</v>
      </c>
      <c r="F57" s="14" t="s">
        <v>141</v>
      </c>
      <c r="G57" s="3">
        <v>63.313000000000002</v>
      </c>
      <c r="H57" s="3">
        <f>IFERROR(INDEX('Tagging key'!D:D, MATCH(F57,'Tagging key'!C:C,0)),"")</f>
        <v>76</v>
      </c>
      <c r="I57" s="3">
        <f>IFERROR(INDEX('Tagging key'!E:E, MATCH(F57,'Tagging key'!C:C,0)),"")</f>
        <v>80</v>
      </c>
      <c r="J57" s="3">
        <f>IFERROR(INDEX('Tagging key'!F:F, MATCH(F57,'Tagging key'!C:C,0)),"")</f>
        <v>17</v>
      </c>
      <c r="K57" s="3">
        <v>56.642000000000003</v>
      </c>
      <c r="L57" s="3">
        <v>76.66</v>
      </c>
      <c r="M57" s="3">
        <v>80.180000000000007</v>
      </c>
      <c r="N57" s="3">
        <v>21.06</v>
      </c>
      <c r="O57" s="3"/>
      <c r="P57" s="22">
        <v>45877</v>
      </c>
      <c r="Q57" s="22">
        <v>45877</v>
      </c>
      <c r="R57" s="3"/>
    </row>
    <row r="58" spans="1:19" hidden="1" x14ac:dyDescent="0.25">
      <c r="A58" s="14">
        <v>2</v>
      </c>
      <c r="B58" s="14">
        <v>5</v>
      </c>
      <c r="C58" s="14" t="s">
        <v>105</v>
      </c>
      <c r="D58" s="14" t="s">
        <v>72</v>
      </c>
      <c r="E58" s="14" t="s">
        <v>142</v>
      </c>
      <c r="F58" s="14" t="s">
        <v>143</v>
      </c>
      <c r="G58" s="3">
        <v>47.87</v>
      </c>
      <c r="H58" s="3">
        <f>IFERROR(INDEX('Tagging key'!D:D, MATCH(F58,'Tagging key'!C:C,0)),"")</f>
        <v>71</v>
      </c>
      <c r="I58" s="3">
        <f>IFERROR(INDEX('Tagging key'!E:E, MATCH(F58,'Tagging key'!C:C,0)),"")</f>
        <v>74</v>
      </c>
      <c r="J58" s="3">
        <f>IFERROR(INDEX('Tagging key'!F:F, MATCH(F58,'Tagging key'!C:C,0)),"")</f>
        <v>16</v>
      </c>
      <c r="K58" s="3">
        <v>46.23</v>
      </c>
      <c r="L58" s="3">
        <v>72.23</v>
      </c>
      <c r="M58" s="3">
        <v>75.55</v>
      </c>
      <c r="N58" s="3">
        <v>19.75</v>
      </c>
      <c r="O58" s="3"/>
      <c r="P58" s="22">
        <v>45879</v>
      </c>
      <c r="Q58" s="22">
        <v>45879</v>
      </c>
      <c r="R58" s="3"/>
    </row>
    <row r="59" spans="1:19" hidden="1" x14ac:dyDescent="0.25">
      <c r="A59" s="13">
        <v>2</v>
      </c>
      <c r="B59" s="13">
        <v>6</v>
      </c>
      <c r="C59" s="13" t="s">
        <v>105</v>
      </c>
      <c r="D59" s="13" t="s">
        <v>72</v>
      </c>
      <c r="E59" s="13" t="s">
        <v>144</v>
      </c>
      <c r="F59" s="13" t="s">
        <v>145</v>
      </c>
      <c r="G59" s="3">
        <v>42.902999999999999</v>
      </c>
      <c r="H59" s="3">
        <f>IFERROR(INDEX('Tagging key'!D:D, MATCH(F59,'Tagging key'!C:C,0)),"")</f>
        <v>76.8</v>
      </c>
      <c r="I59" s="3">
        <f>IFERROR(INDEX('Tagging key'!E:E, MATCH(F59,'Tagging key'!C:C,0)),"")</f>
        <v>80.7</v>
      </c>
      <c r="J59" s="3">
        <f>IFERROR(INDEX('Tagging key'!F:F, MATCH(F59,'Tagging key'!C:C,0)),"")</f>
        <v>19.600000000000001</v>
      </c>
      <c r="K59" s="3">
        <v>56.774000000000001</v>
      </c>
      <c r="L59" s="3">
        <v>78.44</v>
      </c>
      <c r="M59" s="3">
        <v>80.349999999999994</v>
      </c>
      <c r="N59" s="3">
        <v>20.55</v>
      </c>
      <c r="O59" s="3"/>
      <c r="P59" s="22">
        <v>45877</v>
      </c>
      <c r="Q59" s="22">
        <v>45877</v>
      </c>
      <c r="R59" s="3">
        <v>26.716000000000001</v>
      </c>
      <c r="S59" t="s">
        <v>146</v>
      </c>
    </row>
    <row r="60" spans="1:19" x14ac:dyDescent="0.25">
      <c r="A60" s="13">
        <v>2</v>
      </c>
      <c r="B60" s="13">
        <v>6</v>
      </c>
      <c r="C60" s="13" t="s">
        <v>105</v>
      </c>
      <c r="D60" s="13" t="s">
        <v>72</v>
      </c>
      <c r="E60" s="13" t="s">
        <v>147</v>
      </c>
      <c r="F60" s="13" t="s">
        <v>148</v>
      </c>
      <c r="G60" s="3">
        <v>62.81</v>
      </c>
      <c r="H60" s="3">
        <f>IFERROR(INDEX('Tagging key'!D:D, MATCH(F60,'Tagging key'!C:C,0)),"")</f>
        <v>75.099999999999994</v>
      </c>
      <c r="I60" s="3">
        <f>IFERROR(INDEX('Tagging key'!E:E, MATCH(F60,'Tagging key'!C:C,0)),"")</f>
        <v>80.5</v>
      </c>
      <c r="J60" s="3">
        <f>IFERROR(INDEX('Tagging key'!F:F, MATCH(F60,'Tagging key'!C:C,0)),"")</f>
        <v>19</v>
      </c>
      <c r="K60" s="3">
        <v>58.648000000000003</v>
      </c>
      <c r="L60" s="3">
        <v>75.430000000000007</v>
      </c>
      <c r="M60" s="3">
        <v>80.959999999999994</v>
      </c>
      <c r="N60" s="3">
        <v>21.48</v>
      </c>
      <c r="O60" s="3"/>
      <c r="P60" s="22">
        <v>45882</v>
      </c>
      <c r="Q60" s="22">
        <v>45882</v>
      </c>
      <c r="R60">
        <v>25.274999999999999</v>
      </c>
      <c r="S60" t="s">
        <v>149</v>
      </c>
    </row>
    <row r="61" spans="1:19" hidden="1" x14ac:dyDescent="0.25">
      <c r="A61" s="13">
        <v>2</v>
      </c>
      <c r="B61" s="13">
        <v>6</v>
      </c>
      <c r="C61" s="13" t="s">
        <v>105</v>
      </c>
      <c r="D61" s="13" t="s">
        <v>72</v>
      </c>
      <c r="E61" s="13" t="s">
        <v>150</v>
      </c>
      <c r="F61" s="13" t="s">
        <v>151</v>
      </c>
      <c r="G61" s="3">
        <v>52.338999999999999</v>
      </c>
      <c r="H61" s="3">
        <f>IFERROR(INDEX('Tagging key'!D:D, MATCH(F61,'Tagging key'!C:C,0)),"")</f>
        <v>68.5</v>
      </c>
      <c r="I61" s="3">
        <f>IFERROR(INDEX('Tagging key'!E:E, MATCH(F61,'Tagging key'!C:C,0)),"")</f>
        <v>73.5</v>
      </c>
      <c r="J61" s="3">
        <f>IFERROR(INDEX('Tagging key'!F:F, MATCH(F61,'Tagging key'!C:C,0)),"")</f>
        <v>19</v>
      </c>
      <c r="K61" s="3">
        <v>49.302</v>
      </c>
      <c r="L61" s="3">
        <v>70.349999999999994</v>
      </c>
      <c r="M61" s="3">
        <v>75.180000000000007</v>
      </c>
      <c r="N61" s="3">
        <v>20.62</v>
      </c>
      <c r="O61" s="3"/>
      <c r="P61" s="22">
        <v>45879</v>
      </c>
      <c r="Q61" s="22">
        <v>45879</v>
      </c>
      <c r="R61" s="3"/>
    </row>
    <row r="62" spans="1:19" hidden="1" x14ac:dyDescent="0.25">
      <c r="A62" s="13">
        <v>2</v>
      </c>
      <c r="B62" s="13">
        <v>6</v>
      </c>
      <c r="C62" s="13" t="s">
        <v>105</v>
      </c>
      <c r="D62" s="13" t="s">
        <v>72</v>
      </c>
      <c r="E62" s="13" t="s">
        <v>152</v>
      </c>
      <c r="F62" s="13" t="s">
        <v>153</v>
      </c>
      <c r="G62" s="3">
        <v>43.999000000000002</v>
      </c>
      <c r="H62" s="3">
        <f>IFERROR(INDEX('Tagging key'!D:D, MATCH(F62,'Tagging key'!C:C,0)),"")</f>
        <v>70</v>
      </c>
      <c r="I62" s="3">
        <f>IFERROR(INDEX('Tagging key'!E:E, MATCH(F62,'Tagging key'!C:C,0)),"")</f>
        <v>70</v>
      </c>
      <c r="J62" s="3">
        <f>IFERROR(INDEX('Tagging key'!F:F, MATCH(F62,'Tagging key'!C:C,0)),"")</f>
        <v>17</v>
      </c>
      <c r="K62" s="3">
        <v>37.642000000000003</v>
      </c>
      <c r="L62" s="3">
        <v>70.39</v>
      </c>
      <c r="M62" s="3">
        <v>70.739999999999995</v>
      </c>
      <c r="N62" s="3">
        <v>18.77</v>
      </c>
      <c r="O62" s="3"/>
      <c r="P62" s="26">
        <v>45886</v>
      </c>
      <c r="Q62" s="26">
        <v>45886</v>
      </c>
    </row>
    <row r="63" spans="1:19" hidden="1" x14ac:dyDescent="0.25">
      <c r="A63" s="11">
        <v>2</v>
      </c>
      <c r="B63" s="11">
        <v>7</v>
      </c>
      <c r="C63" s="11" t="s">
        <v>105</v>
      </c>
      <c r="D63" s="11" t="s">
        <v>46</v>
      </c>
      <c r="E63" s="11" t="s">
        <v>154</v>
      </c>
      <c r="F63" s="11" t="s">
        <v>155</v>
      </c>
      <c r="G63" s="3">
        <v>61.018999999999998</v>
      </c>
      <c r="H63" s="3">
        <f>IFERROR(INDEX('Tagging key'!D:D, MATCH(F63,'Tagging key'!C:C,0)),"")</f>
        <v>87.35</v>
      </c>
      <c r="I63" s="3">
        <f>IFERROR(INDEX('Tagging key'!E:E, MATCH(F63,'Tagging key'!C:C,0)),"")</f>
        <v>43.95</v>
      </c>
      <c r="J63" s="3">
        <f>IFERROR(INDEX('Tagging key'!F:F, MATCH(F63,'Tagging key'!C:C,0)),"")</f>
        <v>31.82</v>
      </c>
      <c r="K63" s="3">
        <v>61.3</v>
      </c>
      <c r="L63" s="3">
        <v>86.99</v>
      </c>
      <c r="M63" s="3">
        <v>40.82</v>
      </c>
      <c r="N63" s="3">
        <v>33.44</v>
      </c>
      <c r="O63" s="3"/>
      <c r="P63" s="22">
        <v>45877</v>
      </c>
      <c r="Q63" s="22">
        <v>45877</v>
      </c>
      <c r="R63" s="3"/>
    </row>
    <row r="64" spans="1:19" hidden="1" x14ac:dyDescent="0.25">
      <c r="A64" s="11">
        <v>2</v>
      </c>
      <c r="B64" s="11">
        <v>7</v>
      </c>
      <c r="C64" s="11" t="s">
        <v>105</v>
      </c>
      <c r="D64" s="11" t="s">
        <v>46</v>
      </c>
      <c r="E64" s="11" t="s">
        <v>156</v>
      </c>
      <c r="F64" s="11" t="s">
        <v>157</v>
      </c>
      <c r="G64" s="3">
        <v>69.180000000000007</v>
      </c>
      <c r="H64" s="3">
        <f>IFERROR(INDEX('Tagging key'!D:D, MATCH(F64,'Tagging key'!C:C,0)),"")</f>
        <v>92.03</v>
      </c>
      <c r="I64" s="3">
        <f>IFERROR(INDEX('Tagging key'!E:E, MATCH(F64,'Tagging key'!C:C,0)),"")</f>
        <v>47.6</v>
      </c>
      <c r="J64" s="3">
        <f>IFERROR(INDEX('Tagging key'!F:F, MATCH(F64,'Tagging key'!C:C,0)),"")</f>
        <v>29.07</v>
      </c>
      <c r="K64" s="3">
        <v>67.334000000000003</v>
      </c>
      <c r="L64" s="3">
        <v>92.83</v>
      </c>
      <c r="M64" s="3">
        <v>43.97</v>
      </c>
      <c r="N64" s="3">
        <v>32.549999999999997</v>
      </c>
      <c r="O64" s="3"/>
      <c r="P64" s="22">
        <v>45879</v>
      </c>
      <c r="Q64" s="22">
        <v>45879</v>
      </c>
      <c r="R64" s="3"/>
    </row>
    <row r="65" spans="1:19" x14ac:dyDescent="0.25">
      <c r="A65" s="11">
        <v>2</v>
      </c>
      <c r="B65" s="11">
        <v>7</v>
      </c>
      <c r="C65" s="11" t="s">
        <v>105</v>
      </c>
      <c r="D65" s="11" t="s">
        <v>46</v>
      </c>
      <c r="E65" s="11" t="s">
        <v>35</v>
      </c>
      <c r="F65" s="11" t="s">
        <v>158</v>
      </c>
      <c r="G65" s="3">
        <v>30.934999999999999</v>
      </c>
      <c r="H65" s="3">
        <f>IFERROR(INDEX('Tagging key'!D:D, MATCH(F65,'Tagging key'!C:C,0)),"")</f>
        <v>68</v>
      </c>
      <c r="I65" s="3">
        <f>IFERROR(INDEX('Tagging key'!E:E, MATCH(F65,'Tagging key'!C:C,0)),"")</f>
        <v>35</v>
      </c>
      <c r="J65" s="3">
        <f>IFERROR(INDEX('Tagging key'!F:F, MATCH(F65,'Tagging key'!C:C,0)),"")</f>
        <v>30</v>
      </c>
      <c r="K65" s="3">
        <v>31.614000000000001</v>
      </c>
      <c r="L65" s="3">
        <v>69.12</v>
      </c>
      <c r="M65" s="3">
        <v>35.46</v>
      </c>
      <c r="N65" s="3">
        <v>25.07</v>
      </c>
      <c r="O65" s="3"/>
      <c r="P65" s="22">
        <v>45882</v>
      </c>
      <c r="Q65" s="22">
        <v>45882</v>
      </c>
      <c r="R65" s="3">
        <v>10.635</v>
      </c>
    </row>
    <row r="66" spans="1:19" hidden="1" x14ac:dyDescent="0.25">
      <c r="A66" s="11">
        <v>2</v>
      </c>
      <c r="B66" s="11">
        <v>7</v>
      </c>
      <c r="C66" s="11" t="s">
        <v>105</v>
      </c>
      <c r="D66" s="11" t="s">
        <v>46</v>
      </c>
      <c r="E66" s="11" t="s">
        <v>159</v>
      </c>
      <c r="F66" s="11" t="s">
        <v>160</v>
      </c>
      <c r="G66" s="3">
        <v>47.494999999999997</v>
      </c>
      <c r="H66" s="3">
        <f>IFERROR(INDEX('Tagging key'!D:D, MATCH(F66,'Tagging key'!C:C,0)),"")</f>
        <v>79.67</v>
      </c>
      <c r="I66" s="3">
        <f>IFERROR(INDEX('Tagging key'!E:E, MATCH(F66,'Tagging key'!C:C,0)),"")</f>
        <v>43.19</v>
      </c>
      <c r="J66" s="3">
        <f>IFERROR(INDEX('Tagging key'!F:F, MATCH(F66,'Tagging key'!C:C,0)),"")</f>
        <v>27.48</v>
      </c>
      <c r="K66" s="3">
        <v>47.252000000000002</v>
      </c>
      <c r="L66" s="3">
        <v>78.38</v>
      </c>
      <c r="M66" s="3">
        <v>40.67</v>
      </c>
      <c r="N66" s="3">
        <v>28.65</v>
      </c>
      <c r="O66" s="3"/>
      <c r="P66" s="26">
        <v>45886</v>
      </c>
      <c r="Q66" s="26">
        <v>45886</v>
      </c>
    </row>
    <row r="67" spans="1:19" x14ac:dyDescent="0.25">
      <c r="A67" s="19">
        <v>2</v>
      </c>
      <c r="B67" s="19">
        <v>8</v>
      </c>
      <c r="C67" s="19" t="s">
        <v>105</v>
      </c>
      <c r="D67" s="19" t="s">
        <v>46</v>
      </c>
      <c r="E67" s="19" t="s">
        <v>29</v>
      </c>
      <c r="F67" s="19" t="s">
        <v>161</v>
      </c>
      <c r="G67" s="19">
        <v>65.022999999999996</v>
      </c>
      <c r="H67" s="19">
        <f>IFERROR(INDEX('Tagging key'!D:D, MATCH(F67,'Tagging key'!C:C,0)),"")</f>
        <v>87.4</v>
      </c>
      <c r="I67" s="19">
        <f>IFERROR(INDEX('Tagging key'!E:E, MATCH(F67,'Tagging key'!C:C,0)),"")</f>
        <v>42.32</v>
      </c>
      <c r="J67" s="19">
        <f>IFERROR(INDEX('Tagging key'!F:F, MATCH(F67,'Tagging key'!C:C,0)),"")</f>
        <v>33.340000000000003</v>
      </c>
      <c r="K67" s="19"/>
      <c r="L67" s="19"/>
      <c r="M67" s="19"/>
      <c r="N67" s="19"/>
      <c r="O67" s="19"/>
      <c r="P67" s="19"/>
      <c r="Q67" s="19"/>
      <c r="R67" s="19"/>
      <c r="S67" t="s">
        <v>162</v>
      </c>
    </row>
    <row r="68" spans="1:19" hidden="1" x14ac:dyDescent="0.25">
      <c r="A68" s="12">
        <v>2</v>
      </c>
      <c r="B68" s="12">
        <v>8</v>
      </c>
      <c r="C68" s="12" t="s">
        <v>105</v>
      </c>
      <c r="D68" s="12" t="s">
        <v>46</v>
      </c>
      <c r="E68" s="12" t="s">
        <v>163</v>
      </c>
      <c r="F68" s="12" t="s">
        <v>164</v>
      </c>
      <c r="G68" s="3">
        <v>32.79</v>
      </c>
      <c r="H68" s="3">
        <f>IFERROR(INDEX('Tagging key'!D:D, MATCH(F68,'Tagging key'!C:C,0)),"")</f>
        <v>71</v>
      </c>
      <c r="I68" s="3">
        <f>IFERROR(INDEX('Tagging key'!E:E, MATCH(F68,'Tagging key'!C:C,0)),"")</f>
        <v>37</v>
      </c>
      <c r="J68" s="3">
        <f>IFERROR(INDEX('Tagging key'!F:F, MATCH(F68,'Tagging key'!C:C,0)),"")</f>
        <v>24</v>
      </c>
      <c r="K68" s="3">
        <v>33.481000000000002</v>
      </c>
      <c r="L68" s="3">
        <v>72.790000000000006</v>
      </c>
      <c r="M68" s="3">
        <v>38.22</v>
      </c>
      <c r="N68" s="3">
        <v>24.54</v>
      </c>
      <c r="O68" s="3"/>
      <c r="P68" s="22">
        <v>45877</v>
      </c>
      <c r="Q68" s="22">
        <v>45877</v>
      </c>
      <c r="R68" s="3"/>
    </row>
    <row r="69" spans="1:19" hidden="1" x14ac:dyDescent="0.25">
      <c r="A69" s="12">
        <v>2</v>
      </c>
      <c r="B69" s="12">
        <v>8</v>
      </c>
      <c r="C69" s="12" t="s">
        <v>105</v>
      </c>
      <c r="D69" s="12" t="s">
        <v>46</v>
      </c>
      <c r="E69" s="12" t="s">
        <v>165</v>
      </c>
      <c r="F69" s="12" t="s">
        <v>166</v>
      </c>
      <c r="G69" s="3">
        <v>32.395000000000003</v>
      </c>
      <c r="H69" s="3">
        <f>IFERROR(INDEX('Tagging key'!D:D, MATCH(F69,'Tagging key'!C:C,0)),"")</f>
        <v>68.95</v>
      </c>
      <c r="I69" s="3">
        <f>IFERROR(INDEX('Tagging key'!E:E, MATCH(F69,'Tagging key'!C:C,0)),"")</f>
        <v>40.11</v>
      </c>
      <c r="J69" s="3">
        <f>IFERROR(INDEX('Tagging key'!F:F, MATCH(F69,'Tagging key'!C:C,0)),"")</f>
        <v>23.49</v>
      </c>
      <c r="K69" s="3">
        <v>33.781999999999996</v>
      </c>
      <c r="L69" s="3">
        <v>69.180000000000007</v>
      </c>
      <c r="M69" s="3">
        <v>35.68</v>
      </c>
      <c r="N69" s="3">
        <v>26.31</v>
      </c>
      <c r="O69" s="3"/>
      <c r="P69" s="22">
        <v>45879</v>
      </c>
      <c r="Q69" s="22">
        <v>45879</v>
      </c>
      <c r="R69" s="3"/>
    </row>
    <row r="70" spans="1:19" x14ac:dyDescent="0.25">
      <c r="A70" s="12">
        <v>2</v>
      </c>
      <c r="B70" s="12">
        <v>8</v>
      </c>
      <c r="C70" s="12" t="s">
        <v>105</v>
      </c>
      <c r="D70" s="12" t="s">
        <v>46</v>
      </c>
      <c r="E70" s="12" t="s">
        <v>167</v>
      </c>
      <c r="F70" s="12" t="s">
        <v>168</v>
      </c>
      <c r="G70" s="3">
        <v>40.070999999999998</v>
      </c>
      <c r="H70" s="3">
        <f>IFERROR(INDEX('Tagging key'!D:D, MATCH(F70,'Tagging key'!C:C,0)),"")</f>
        <v>76</v>
      </c>
      <c r="I70" s="3">
        <f>IFERROR(INDEX('Tagging key'!E:E, MATCH(F70,'Tagging key'!C:C,0)),"")</f>
        <v>38</v>
      </c>
      <c r="J70" s="3">
        <f>IFERROR(INDEX('Tagging key'!F:F, MATCH(F70,'Tagging key'!C:C,0)),"")</f>
        <v>26</v>
      </c>
      <c r="K70" s="3">
        <v>40.613999999999997</v>
      </c>
      <c r="L70" s="3">
        <v>76.53</v>
      </c>
      <c r="M70" s="3">
        <v>39.47</v>
      </c>
      <c r="N70" s="3">
        <v>27.59</v>
      </c>
      <c r="O70" s="3"/>
      <c r="P70" s="22">
        <v>45882</v>
      </c>
      <c r="Q70" s="22">
        <v>45882</v>
      </c>
      <c r="R70" s="3">
        <v>14.01</v>
      </c>
    </row>
    <row r="71" spans="1:19" hidden="1" x14ac:dyDescent="0.25">
      <c r="A71" s="11">
        <v>2</v>
      </c>
      <c r="B71" s="11">
        <v>9</v>
      </c>
      <c r="C71" s="11" t="s">
        <v>105</v>
      </c>
      <c r="D71" s="11" t="s">
        <v>46</v>
      </c>
      <c r="E71" s="11" t="s">
        <v>23</v>
      </c>
      <c r="F71" s="11" t="s">
        <v>169</v>
      </c>
      <c r="G71" s="3">
        <v>46.372999999999998</v>
      </c>
      <c r="H71" s="3">
        <f>IFERROR(INDEX('Tagging key'!D:D, MATCH(F71,'Tagging key'!C:C,0)),"")</f>
        <v>80.180000000000007</v>
      </c>
      <c r="I71" s="3">
        <f>IFERROR(INDEX('Tagging key'!E:E, MATCH(F71,'Tagging key'!C:C,0)),"")</f>
        <v>40.82</v>
      </c>
      <c r="J71" s="3">
        <f>IFERROR(INDEX('Tagging key'!F:F, MATCH(F71,'Tagging key'!C:C,0)),"")</f>
        <v>27.55</v>
      </c>
      <c r="K71" s="3">
        <v>46.795999999999999</v>
      </c>
      <c r="L71" s="3">
        <v>79.3</v>
      </c>
      <c r="M71" s="3">
        <v>39.75</v>
      </c>
      <c r="N71" s="3">
        <v>29.1</v>
      </c>
      <c r="O71" s="3"/>
      <c r="P71" s="26">
        <v>45886</v>
      </c>
      <c r="Q71" s="26">
        <v>45886</v>
      </c>
    </row>
    <row r="72" spans="1:19" hidden="1" x14ac:dyDescent="0.25">
      <c r="A72" s="11">
        <v>2</v>
      </c>
      <c r="B72" s="11">
        <v>9</v>
      </c>
      <c r="C72" s="11" t="s">
        <v>105</v>
      </c>
      <c r="D72" s="11" t="s">
        <v>46</v>
      </c>
      <c r="E72" s="11" t="s">
        <v>170</v>
      </c>
      <c r="F72" s="11" t="s">
        <v>171</v>
      </c>
      <c r="G72" s="3">
        <v>34.953000000000003</v>
      </c>
      <c r="H72" s="3">
        <f>IFERROR(INDEX('Tagging key'!D:D, MATCH(F72,'Tagging key'!C:C,0)),"")</f>
        <v>68.77</v>
      </c>
      <c r="I72" s="3">
        <f>IFERROR(INDEX('Tagging key'!E:E, MATCH(F72,'Tagging key'!C:C,0)),"")</f>
        <v>36.799999999999997</v>
      </c>
      <c r="J72" s="3">
        <f>IFERROR(INDEX('Tagging key'!F:F, MATCH(F72,'Tagging key'!C:C,0)),"")</f>
        <v>28.44</v>
      </c>
      <c r="K72" s="3">
        <v>35.671999999999997</v>
      </c>
      <c r="L72" s="3">
        <v>68.69</v>
      </c>
      <c r="M72" s="3">
        <v>34.869999999999997</v>
      </c>
      <c r="N72" s="3">
        <v>28.28</v>
      </c>
      <c r="O72" s="3"/>
      <c r="P72" s="22">
        <v>45877</v>
      </c>
      <c r="Q72" s="22">
        <v>45877</v>
      </c>
      <c r="R72" s="3"/>
    </row>
    <row r="73" spans="1:19" x14ac:dyDescent="0.25">
      <c r="A73" s="11">
        <v>2</v>
      </c>
      <c r="B73" s="11">
        <v>9</v>
      </c>
      <c r="C73" s="11" t="s">
        <v>105</v>
      </c>
      <c r="D73" s="11" t="s">
        <v>46</v>
      </c>
      <c r="E73" s="11" t="s">
        <v>172</v>
      </c>
      <c r="F73" s="11" t="s">
        <v>173</v>
      </c>
      <c r="G73" s="3">
        <v>48.281999999999996</v>
      </c>
      <c r="H73" s="3">
        <f>IFERROR(INDEX('Tagging key'!D:D, MATCH(F73,'Tagging key'!C:C,0)),"")</f>
        <v>78.84</v>
      </c>
      <c r="I73" s="3">
        <f>IFERROR(INDEX('Tagging key'!E:E, MATCH(F73,'Tagging key'!C:C,0)),"")</f>
        <v>36.630000000000003</v>
      </c>
      <c r="J73" s="3">
        <f>IFERROR(INDEX('Tagging key'!F:F, MATCH(F73,'Tagging key'!C:C,0)),"")</f>
        <v>28.68</v>
      </c>
      <c r="K73" s="3">
        <v>48.61</v>
      </c>
      <c r="L73" s="3">
        <v>78.72</v>
      </c>
      <c r="M73" s="3">
        <v>36.94</v>
      </c>
      <c r="N73" s="3">
        <v>29.54</v>
      </c>
      <c r="O73" s="3"/>
      <c r="P73" s="22">
        <v>45882</v>
      </c>
      <c r="Q73" s="22">
        <v>45882</v>
      </c>
      <c r="R73" s="3"/>
    </row>
    <row r="74" spans="1:19" hidden="1" x14ac:dyDescent="0.25">
      <c r="A74" s="11">
        <v>2</v>
      </c>
      <c r="B74" s="11">
        <v>9</v>
      </c>
      <c r="C74" s="11" t="s">
        <v>105</v>
      </c>
      <c r="D74" s="11" t="s">
        <v>46</v>
      </c>
      <c r="E74" s="11" t="s">
        <v>174</v>
      </c>
      <c r="F74" s="11" t="s">
        <v>175</v>
      </c>
      <c r="G74" s="3">
        <v>23.081</v>
      </c>
      <c r="H74" s="3">
        <f>IFERROR(INDEX('Tagging key'!D:D, MATCH(F74,'Tagging key'!C:C,0)),"")</f>
        <v>63</v>
      </c>
      <c r="I74" s="3">
        <f>IFERROR(INDEX('Tagging key'!E:E, MATCH(F74,'Tagging key'!C:C,0)),"")</f>
        <v>32</v>
      </c>
      <c r="J74" s="3">
        <f>IFERROR(INDEX('Tagging key'!F:F, MATCH(F74,'Tagging key'!C:C,0)),"")</f>
        <v>22</v>
      </c>
      <c r="K74" s="3">
        <v>21.114999999999998</v>
      </c>
      <c r="L74" s="3">
        <v>63.37</v>
      </c>
      <c r="M74" s="3">
        <v>33.409999999999997</v>
      </c>
      <c r="N74" s="3">
        <v>23</v>
      </c>
      <c r="O74" s="3"/>
      <c r="P74" s="22">
        <v>45879</v>
      </c>
      <c r="Q74" s="22">
        <v>45879</v>
      </c>
      <c r="R74" s="3"/>
    </row>
    <row r="75" spans="1:19" x14ac:dyDescent="0.25">
      <c r="A75" s="12">
        <v>3</v>
      </c>
      <c r="B75" s="12">
        <v>1</v>
      </c>
      <c r="C75" s="12" t="s">
        <v>176</v>
      </c>
      <c r="D75" s="12" t="s">
        <v>46</v>
      </c>
      <c r="E75" s="12" t="s">
        <v>177</v>
      </c>
      <c r="F75" s="12" t="s">
        <v>178</v>
      </c>
      <c r="G75" s="3">
        <v>50.384</v>
      </c>
      <c r="H75" s="3">
        <f>IFERROR(INDEX('Tagging key'!D:D, MATCH(F75,'Tagging key'!C:C,0)),"")</f>
        <v>82.34</v>
      </c>
      <c r="I75" s="3">
        <f>IFERROR(INDEX('Tagging key'!E:E, MATCH(F75,'Tagging key'!C:C,0)),"")</f>
        <v>43.01</v>
      </c>
      <c r="J75" s="3">
        <f>IFERROR(INDEX('Tagging key'!F:F, MATCH(F75,'Tagging key'!C:C,0)),"")</f>
        <v>27.64</v>
      </c>
      <c r="K75" s="3">
        <v>50.704999999999998</v>
      </c>
      <c r="L75" s="3">
        <v>82.21</v>
      </c>
      <c r="M75" s="3">
        <v>42.34</v>
      </c>
      <c r="N75" s="3">
        <v>29.43</v>
      </c>
      <c r="O75" s="3"/>
      <c r="P75" s="22">
        <v>45882</v>
      </c>
      <c r="Q75" s="22">
        <v>45882</v>
      </c>
      <c r="R75" s="3">
        <v>17.100000000000001</v>
      </c>
    </row>
    <row r="76" spans="1:19" hidden="1" x14ac:dyDescent="0.25">
      <c r="A76" s="12">
        <v>3</v>
      </c>
      <c r="B76" s="12">
        <v>1</v>
      </c>
      <c r="C76" s="12" t="s">
        <v>176</v>
      </c>
      <c r="D76" s="12" t="s">
        <v>46</v>
      </c>
      <c r="E76" s="12" t="s">
        <v>179</v>
      </c>
      <c r="F76" s="12" t="s">
        <v>180</v>
      </c>
      <c r="G76" s="3">
        <v>57.548000000000002</v>
      </c>
      <c r="H76" s="3">
        <f>IFERROR(INDEX('Tagging key'!D:D, MATCH(F76,'Tagging key'!C:C,0)),"")</f>
        <v>83.57</v>
      </c>
      <c r="I76" s="3">
        <f>IFERROR(INDEX('Tagging key'!E:E, MATCH(F76,'Tagging key'!C:C,0)),"")</f>
        <v>41.01</v>
      </c>
      <c r="J76" s="3">
        <f>IFERROR(INDEX('Tagging key'!F:F, MATCH(F76,'Tagging key'!C:C,0)),"")</f>
        <v>30.63</v>
      </c>
      <c r="K76" s="3">
        <v>58.435000000000002</v>
      </c>
      <c r="L76" s="3">
        <v>84.3</v>
      </c>
      <c r="M76" s="3">
        <v>40.46</v>
      </c>
      <c r="N76" s="3">
        <v>33.229999999999997</v>
      </c>
      <c r="O76" s="3"/>
      <c r="P76" s="26">
        <v>45886</v>
      </c>
      <c r="Q76" s="26">
        <v>45886</v>
      </c>
    </row>
    <row r="77" spans="1:19" hidden="1" x14ac:dyDescent="0.25">
      <c r="A77" s="12">
        <v>3</v>
      </c>
      <c r="B77" s="12">
        <v>1</v>
      </c>
      <c r="C77" s="12" t="s">
        <v>176</v>
      </c>
      <c r="D77" s="12" t="s">
        <v>46</v>
      </c>
      <c r="E77" s="12" t="s">
        <v>181</v>
      </c>
      <c r="F77" s="12" t="s">
        <v>182</v>
      </c>
      <c r="G77" s="3">
        <v>34.802</v>
      </c>
      <c r="H77" s="3">
        <f>IFERROR(INDEX('Tagging key'!D:D, MATCH(F77,'Tagging key'!C:C,0)),"")</f>
        <v>74</v>
      </c>
      <c r="I77" s="3">
        <f>IFERROR(INDEX('Tagging key'!E:E, MATCH(F77,'Tagging key'!C:C,0)),"")</f>
        <v>34</v>
      </c>
      <c r="J77" s="3">
        <f>IFERROR(INDEX('Tagging key'!F:F, MATCH(F77,'Tagging key'!C:C,0)),"")</f>
        <v>27</v>
      </c>
      <c r="K77" s="3">
        <v>35.621000000000002</v>
      </c>
      <c r="L77" s="3">
        <v>74.59</v>
      </c>
      <c r="M77" s="3">
        <v>36.229999999999997</v>
      </c>
      <c r="N77" s="3">
        <v>27.66</v>
      </c>
      <c r="O77" s="3"/>
      <c r="P77" s="22">
        <v>45879</v>
      </c>
      <c r="Q77" s="22">
        <v>45879</v>
      </c>
      <c r="R77" s="3"/>
    </row>
    <row r="78" spans="1:19" hidden="1" x14ac:dyDescent="0.25">
      <c r="A78" s="12">
        <v>3</v>
      </c>
      <c r="B78" s="12">
        <v>1</v>
      </c>
      <c r="C78" s="12" t="s">
        <v>176</v>
      </c>
      <c r="D78" s="12" t="s">
        <v>46</v>
      </c>
      <c r="E78" s="12" t="s">
        <v>183</v>
      </c>
      <c r="F78" s="12" t="s">
        <v>184</v>
      </c>
      <c r="G78" s="3">
        <v>24.315999999999999</v>
      </c>
      <c r="H78" s="3">
        <f>IFERROR(INDEX('Tagging key'!D:D, MATCH(F78,'Tagging key'!C:C,0)),"")</f>
        <v>62.57</v>
      </c>
      <c r="I78" s="3">
        <f>IFERROR(INDEX('Tagging key'!E:E, MATCH(F78,'Tagging key'!C:C,0)),"")</f>
        <v>36.049999999999997</v>
      </c>
      <c r="J78" s="3">
        <f>IFERROR(INDEX('Tagging key'!F:F, MATCH(F78,'Tagging key'!C:C,0)),"")</f>
        <v>23.88</v>
      </c>
      <c r="K78" s="3">
        <v>24.919</v>
      </c>
      <c r="L78" s="3">
        <v>63.48</v>
      </c>
      <c r="M78" s="3">
        <v>33.43</v>
      </c>
      <c r="N78" s="3">
        <v>24.1</v>
      </c>
      <c r="O78" s="3"/>
      <c r="P78" s="22">
        <v>45877</v>
      </c>
      <c r="Q78" s="22">
        <v>45877</v>
      </c>
      <c r="R78" s="3"/>
    </row>
    <row r="79" spans="1:19" hidden="1" x14ac:dyDescent="0.25">
      <c r="A79" s="11">
        <v>3</v>
      </c>
      <c r="B79" s="11">
        <v>2</v>
      </c>
      <c r="C79" s="11" t="s">
        <v>176</v>
      </c>
      <c r="D79" s="11" t="s">
        <v>46</v>
      </c>
      <c r="E79" s="11" t="s">
        <v>185</v>
      </c>
      <c r="F79" s="11" t="s">
        <v>186</v>
      </c>
      <c r="G79" s="3">
        <v>33.820999999999998</v>
      </c>
      <c r="H79" s="3">
        <f>IFERROR(INDEX('Tagging key'!D:D, MATCH(F79,'Tagging key'!C:C,0)),"")</f>
        <v>67</v>
      </c>
      <c r="I79" s="3">
        <f>IFERROR(INDEX('Tagging key'!E:E, MATCH(F79,'Tagging key'!C:C,0)),"")</f>
        <v>37</v>
      </c>
      <c r="J79" s="3">
        <f>IFERROR(INDEX('Tagging key'!F:F, MATCH(F79,'Tagging key'!C:C,0)),"")</f>
        <v>25</v>
      </c>
      <c r="K79" s="3">
        <v>35.338000000000001</v>
      </c>
      <c r="L79" s="3">
        <v>69.760000000000005</v>
      </c>
      <c r="M79" s="3">
        <v>39.19</v>
      </c>
      <c r="N79" s="3">
        <v>27.54</v>
      </c>
      <c r="O79" s="3"/>
      <c r="P79" s="22">
        <v>45879</v>
      </c>
      <c r="Q79" s="22">
        <v>45879</v>
      </c>
      <c r="R79" s="3"/>
    </row>
    <row r="80" spans="1:19" hidden="1" x14ac:dyDescent="0.25">
      <c r="A80" s="11">
        <v>3</v>
      </c>
      <c r="B80" s="11">
        <v>2</v>
      </c>
      <c r="C80" s="11" t="s">
        <v>176</v>
      </c>
      <c r="D80" s="11" t="s">
        <v>46</v>
      </c>
      <c r="E80" s="11" t="s">
        <v>41</v>
      </c>
      <c r="F80" s="11" t="s">
        <v>187</v>
      </c>
      <c r="G80" s="3">
        <v>35.927</v>
      </c>
      <c r="H80" s="3">
        <f>IFERROR(INDEX('Tagging key'!D:D, MATCH(F80,'Tagging key'!C:C,0)),"")</f>
        <v>71</v>
      </c>
      <c r="I80" s="3">
        <f>IFERROR(INDEX('Tagging key'!E:E, MATCH(F80,'Tagging key'!C:C,0)),"")</f>
        <v>36</v>
      </c>
      <c r="J80" s="3">
        <f>IFERROR(INDEX('Tagging key'!F:F, MATCH(F80,'Tagging key'!C:C,0)),"")</f>
        <v>26</v>
      </c>
      <c r="K80" s="3">
        <v>36.683999999999997</v>
      </c>
      <c r="L80" s="3">
        <v>73.28</v>
      </c>
      <c r="M80" s="3">
        <v>36.57</v>
      </c>
      <c r="N80" s="3">
        <v>26.83</v>
      </c>
      <c r="O80" s="3"/>
      <c r="P80" s="22">
        <v>45877</v>
      </c>
      <c r="Q80" s="22">
        <v>45877</v>
      </c>
      <c r="R80" s="3"/>
    </row>
    <row r="81" spans="1:19" x14ac:dyDescent="0.25">
      <c r="A81" s="11">
        <v>3</v>
      </c>
      <c r="B81" s="11">
        <v>2</v>
      </c>
      <c r="C81" s="11" t="s">
        <v>176</v>
      </c>
      <c r="D81" s="11" t="s">
        <v>46</v>
      </c>
      <c r="E81" s="11" t="s">
        <v>188</v>
      </c>
      <c r="F81" s="11" t="s">
        <v>189</v>
      </c>
      <c r="G81" s="3">
        <v>72.828999999999994</v>
      </c>
      <c r="H81" s="3">
        <f>IFERROR(INDEX('Tagging key'!D:D, MATCH(F81,'Tagging key'!C:C,0)),"")</f>
        <v>86</v>
      </c>
      <c r="I81" s="3">
        <f>IFERROR(INDEX('Tagging key'!E:E, MATCH(F81,'Tagging key'!C:C,0)),"")</f>
        <v>42</v>
      </c>
      <c r="J81" s="3">
        <f>IFERROR(INDEX('Tagging key'!F:F, MATCH(F81,'Tagging key'!C:C,0)),"")</f>
        <v>36</v>
      </c>
      <c r="K81" s="3">
        <v>73.531000000000006</v>
      </c>
      <c r="L81" s="3">
        <v>87.58</v>
      </c>
      <c r="M81" s="3">
        <v>42.9</v>
      </c>
      <c r="N81" s="3">
        <v>35.119999999999997</v>
      </c>
      <c r="O81" s="3"/>
      <c r="P81" s="22">
        <v>45882</v>
      </c>
      <c r="Q81" s="22">
        <v>45882</v>
      </c>
      <c r="R81" s="3">
        <v>23.233000000000001</v>
      </c>
    </row>
    <row r="82" spans="1:19" hidden="1" x14ac:dyDescent="0.25">
      <c r="A82" s="11">
        <v>3</v>
      </c>
      <c r="B82" s="11">
        <v>2</v>
      </c>
      <c r="C82" s="11" t="s">
        <v>176</v>
      </c>
      <c r="D82" s="11" t="s">
        <v>46</v>
      </c>
      <c r="E82" s="11" t="s">
        <v>190</v>
      </c>
      <c r="F82" s="11" t="s">
        <v>191</v>
      </c>
      <c r="G82" s="3">
        <v>46.683999999999997</v>
      </c>
      <c r="H82" s="6">
        <v>80.849999999999994</v>
      </c>
      <c r="I82" s="6">
        <v>36.700000000000003</v>
      </c>
      <c r="J82" s="6">
        <v>28.72</v>
      </c>
      <c r="K82" s="6">
        <v>48.404000000000003</v>
      </c>
      <c r="L82" s="6">
        <v>79.67</v>
      </c>
      <c r="M82" s="6">
        <v>37.549999999999997</v>
      </c>
      <c r="N82" s="6">
        <v>28.65</v>
      </c>
      <c r="O82" s="6"/>
      <c r="P82" s="26">
        <v>45886</v>
      </c>
      <c r="Q82" s="26">
        <v>45886</v>
      </c>
      <c r="R82" s="6">
        <v>17.401</v>
      </c>
    </row>
    <row r="83" spans="1:19" x14ac:dyDescent="0.25">
      <c r="A83" s="12">
        <v>3</v>
      </c>
      <c r="B83" s="12">
        <v>3</v>
      </c>
      <c r="C83" s="12" t="s">
        <v>176</v>
      </c>
      <c r="D83" s="12" t="s">
        <v>46</v>
      </c>
      <c r="E83" s="12" t="s">
        <v>192</v>
      </c>
      <c r="F83" s="12" t="s">
        <v>193</v>
      </c>
      <c r="G83" s="3">
        <v>30.41</v>
      </c>
      <c r="H83" s="3">
        <f>IFERROR(INDEX('Tagging key'!D:D, MATCH(F83,'Tagging key'!C:C,0)),"")</f>
        <v>74.709999999999994</v>
      </c>
      <c r="I83" s="3">
        <f>IFERROR(INDEX('Tagging key'!E:E, MATCH(F83,'Tagging key'!C:C,0)),"")</f>
        <v>36.57</v>
      </c>
      <c r="J83" s="3">
        <f>IFERROR(INDEX('Tagging key'!F:F, MATCH(F83,'Tagging key'!C:C,0)),"")</f>
        <v>24.26</v>
      </c>
      <c r="K83" s="3">
        <v>31.027999999999999</v>
      </c>
      <c r="L83" s="3">
        <v>74.77</v>
      </c>
      <c r="M83" s="3">
        <v>35.47</v>
      </c>
      <c r="N83" s="3">
        <v>24.35</v>
      </c>
      <c r="O83" s="3"/>
      <c r="P83" s="22">
        <v>45882</v>
      </c>
      <c r="Q83" s="22">
        <v>45882</v>
      </c>
      <c r="R83" s="3">
        <v>9.5</v>
      </c>
    </row>
    <row r="84" spans="1:19" hidden="1" x14ac:dyDescent="0.25">
      <c r="A84" s="12">
        <v>3</v>
      </c>
      <c r="B84" s="12">
        <v>3</v>
      </c>
      <c r="C84" s="12" t="s">
        <v>176</v>
      </c>
      <c r="D84" s="12" t="s">
        <v>46</v>
      </c>
      <c r="E84" s="12" t="s">
        <v>194</v>
      </c>
      <c r="F84" s="12" t="s">
        <v>195</v>
      </c>
      <c r="G84" s="3">
        <v>28.675000000000001</v>
      </c>
      <c r="H84" s="3">
        <f>IFERROR(INDEX('Tagging key'!D:D, MATCH(F84,'Tagging key'!C:C,0)),"")</f>
        <v>66.650000000000006</v>
      </c>
      <c r="I84" s="3">
        <f>IFERROR(INDEX('Tagging key'!E:E, MATCH(F84,'Tagging key'!C:C,0)),"")</f>
        <v>36.11</v>
      </c>
      <c r="J84" s="3">
        <f>IFERROR(INDEX('Tagging key'!F:F, MATCH(F84,'Tagging key'!C:C,0)),"")</f>
        <v>23.97</v>
      </c>
      <c r="K84" s="3">
        <v>28.64</v>
      </c>
      <c r="L84" s="3">
        <v>66.25</v>
      </c>
      <c r="M84" s="3">
        <v>33.86</v>
      </c>
      <c r="N84" s="3">
        <v>24.15</v>
      </c>
      <c r="O84" s="3"/>
      <c r="P84" s="22">
        <v>45879</v>
      </c>
      <c r="Q84" s="22">
        <v>45879</v>
      </c>
      <c r="R84" s="3"/>
    </row>
    <row r="85" spans="1:19" hidden="1" x14ac:dyDescent="0.25">
      <c r="A85" s="12">
        <v>3</v>
      </c>
      <c r="B85" s="12">
        <v>3</v>
      </c>
      <c r="C85" s="12" t="s">
        <v>176</v>
      </c>
      <c r="D85" s="12" t="s">
        <v>46</v>
      </c>
      <c r="E85" s="12" t="s">
        <v>196</v>
      </c>
      <c r="F85" s="12" t="s">
        <v>197</v>
      </c>
      <c r="G85" s="3">
        <v>52.595999999999997</v>
      </c>
      <c r="H85" s="3">
        <f>IFERROR(INDEX('Tagging key'!D:D, MATCH(F85,'Tagging key'!C:C,0)),"")</f>
        <v>76</v>
      </c>
      <c r="I85" s="3">
        <f>IFERROR(INDEX('Tagging key'!E:E, MATCH(F85,'Tagging key'!C:C,0)),"")</f>
        <v>36</v>
      </c>
      <c r="J85" s="3">
        <f>IFERROR(INDEX('Tagging key'!F:F, MATCH(F85,'Tagging key'!C:C,0)),"")</f>
        <v>31</v>
      </c>
      <c r="K85" s="3">
        <v>53.079000000000001</v>
      </c>
      <c r="L85" s="3">
        <v>77.83</v>
      </c>
      <c r="M85" s="3">
        <v>36.15</v>
      </c>
      <c r="N85" s="3">
        <v>32.619999999999997</v>
      </c>
      <c r="O85" s="3"/>
      <c r="P85" s="22">
        <v>45877</v>
      </c>
      <c r="Q85" s="22">
        <v>45877</v>
      </c>
      <c r="R85" s="3"/>
    </row>
    <row r="86" spans="1:19" hidden="1" x14ac:dyDescent="0.25">
      <c r="A86" s="12">
        <v>3</v>
      </c>
      <c r="B86" s="12">
        <v>3</v>
      </c>
      <c r="C86" s="12" t="s">
        <v>176</v>
      </c>
      <c r="D86" s="12" t="s">
        <v>46</v>
      </c>
      <c r="E86" s="12" t="s">
        <v>198</v>
      </c>
      <c r="F86" s="12" t="s">
        <v>199</v>
      </c>
      <c r="G86" s="3">
        <v>36.914999999999999</v>
      </c>
      <c r="H86" s="3">
        <f>IFERROR(INDEX('Tagging key'!D:D, MATCH(F86,'Tagging key'!C:C,0)),"")</f>
        <v>72.56</v>
      </c>
      <c r="I86" s="3">
        <f>IFERROR(INDEX('Tagging key'!E:E, MATCH(F86,'Tagging key'!C:C,0)),"")</f>
        <v>33.85</v>
      </c>
      <c r="J86" s="3">
        <f>IFERROR(INDEX('Tagging key'!F:F, MATCH(F86,'Tagging key'!C:C,0)),"")</f>
        <v>28.26</v>
      </c>
      <c r="K86" s="3">
        <v>37.755000000000003</v>
      </c>
      <c r="L86" s="3">
        <v>72.06</v>
      </c>
      <c r="M86" s="3">
        <v>33.61</v>
      </c>
      <c r="N86" s="3">
        <v>27.46</v>
      </c>
      <c r="O86" s="3"/>
      <c r="P86" s="26">
        <v>45886</v>
      </c>
      <c r="Q86" s="26">
        <v>45886</v>
      </c>
    </row>
    <row r="87" spans="1:19" x14ac:dyDescent="0.25">
      <c r="A87" s="8">
        <v>3</v>
      </c>
      <c r="B87" s="8">
        <v>4</v>
      </c>
      <c r="C87" s="8" t="s">
        <v>176</v>
      </c>
      <c r="D87" s="8" t="s">
        <v>16</v>
      </c>
      <c r="E87" s="8" t="s">
        <v>200</v>
      </c>
      <c r="F87" s="8" t="s">
        <v>201</v>
      </c>
      <c r="G87" s="3">
        <v>25.6</v>
      </c>
      <c r="H87" s="3">
        <f>IFERROR(INDEX('Tagging key'!D:D, MATCH(F87,'Tagging key'!C:C,0)),"")</f>
        <v>67.739999999999995</v>
      </c>
      <c r="I87" s="3">
        <f>IFERROR(INDEX('Tagging key'!E:E, MATCH(F87,'Tagging key'!C:C,0)),"")</f>
        <v>52.86</v>
      </c>
      <c r="J87" s="3">
        <f>IFERROR(INDEX('Tagging key'!F:F, MATCH(F87,'Tagging key'!C:C,0)),"")</f>
        <v>13.98</v>
      </c>
      <c r="K87" s="3">
        <v>25.363</v>
      </c>
      <c r="L87" s="3">
        <v>69.959999999999994</v>
      </c>
      <c r="M87" s="3">
        <v>38.26</v>
      </c>
      <c r="N87" s="3">
        <v>16.010000000000002</v>
      </c>
      <c r="O87" s="3"/>
      <c r="P87" s="22">
        <v>45882</v>
      </c>
      <c r="Q87" s="22">
        <v>45882</v>
      </c>
      <c r="R87" s="3">
        <v>17.207000000000001</v>
      </c>
    </row>
    <row r="88" spans="1:19" hidden="1" x14ac:dyDescent="0.25">
      <c r="A88" s="8">
        <v>3</v>
      </c>
      <c r="B88" s="8">
        <v>4</v>
      </c>
      <c r="C88" s="8" t="s">
        <v>176</v>
      </c>
      <c r="D88" s="8" t="s">
        <v>16</v>
      </c>
      <c r="E88" s="8" t="s">
        <v>202</v>
      </c>
      <c r="F88" s="8" t="s">
        <v>203</v>
      </c>
      <c r="G88" s="3">
        <v>37.670999999999999</v>
      </c>
      <c r="H88" s="3">
        <f>IFERROR(INDEX('Tagging key'!D:D, MATCH(F88,'Tagging key'!C:C,0)),"")</f>
        <v>64.23</v>
      </c>
      <c r="I88" s="3">
        <f>IFERROR(INDEX('Tagging key'!E:E, MATCH(F88,'Tagging key'!C:C,0)),"")</f>
        <v>53.31</v>
      </c>
      <c r="J88" s="3">
        <f>IFERROR(INDEX('Tagging key'!F:F, MATCH(F88,'Tagging key'!C:C,0)),"")</f>
        <v>20.28</v>
      </c>
      <c r="K88" s="3">
        <v>37.478999999999999</v>
      </c>
      <c r="L88" s="3">
        <v>67.05</v>
      </c>
      <c r="M88" s="3">
        <v>58.15</v>
      </c>
      <c r="N88" s="3">
        <v>19.010000000000002</v>
      </c>
      <c r="O88" s="3"/>
      <c r="P88" s="22">
        <v>45879</v>
      </c>
      <c r="Q88" s="22">
        <v>45879</v>
      </c>
      <c r="R88" s="3"/>
    </row>
    <row r="89" spans="1:19" hidden="1" x14ac:dyDescent="0.25">
      <c r="A89" s="8">
        <v>3</v>
      </c>
      <c r="B89" s="8">
        <v>4</v>
      </c>
      <c r="C89" s="8" t="s">
        <v>176</v>
      </c>
      <c r="D89" s="8" t="s">
        <v>16</v>
      </c>
      <c r="E89" s="8" t="s">
        <v>204</v>
      </c>
      <c r="F89" s="8" t="s">
        <v>205</v>
      </c>
      <c r="G89" s="3">
        <v>33.343000000000004</v>
      </c>
      <c r="H89" s="3">
        <f>IFERROR(INDEX('Tagging key'!D:D, MATCH(F89,'Tagging key'!C:C,0)),"")</f>
        <v>63.71</v>
      </c>
      <c r="I89" s="3">
        <f>IFERROR(INDEX('Tagging key'!E:E, MATCH(F89,'Tagging key'!C:C,0)),"")</f>
        <v>50.88</v>
      </c>
      <c r="J89" s="3">
        <f>IFERROR(INDEX('Tagging key'!F:F, MATCH(F89,'Tagging key'!C:C,0)),"")</f>
        <v>20.29</v>
      </c>
      <c r="K89" s="3">
        <v>33.292000000000002</v>
      </c>
      <c r="L89" s="3">
        <v>67.459999999999994</v>
      </c>
      <c r="M89" s="3">
        <v>46.74</v>
      </c>
      <c r="N89" s="3">
        <v>21.11</v>
      </c>
      <c r="O89" s="3"/>
      <c r="P89" s="26">
        <v>45886</v>
      </c>
      <c r="Q89" s="26">
        <v>45886</v>
      </c>
    </row>
    <row r="90" spans="1:19" hidden="1" x14ac:dyDescent="0.25">
      <c r="A90" s="8">
        <v>3</v>
      </c>
      <c r="B90" s="8">
        <v>4</v>
      </c>
      <c r="C90" s="8" t="s">
        <v>176</v>
      </c>
      <c r="D90" s="8" t="s">
        <v>16</v>
      </c>
      <c r="E90" s="8" t="s">
        <v>49</v>
      </c>
      <c r="F90" s="8" t="s">
        <v>206</v>
      </c>
      <c r="G90" s="3">
        <v>33.914999999999999</v>
      </c>
      <c r="H90" s="3">
        <f>IFERROR(INDEX('Tagging key'!D:D, MATCH(F90,'Tagging key'!C:C,0)),"")</f>
        <v>70.849999999999994</v>
      </c>
      <c r="I90" s="3">
        <f>IFERROR(INDEX('Tagging key'!E:E, MATCH(F90,'Tagging key'!C:C,0)),"")</f>
        <v>52.01</v>
      </c>
      <c r="J90" s="3">
        <f>IFERROR(INDEX('Tagging key'!F:F, MATCH(F90,'Tagging key'!C:C,0)),"")</f>
        <v>15.07</v>
      </c>
      <c r="K90" s="3">
        <v>33.595999999999997</v>
      </c>
      <c r="L90" s="3">
        <v>72.12</v>
      </c>
      <c r="M90" s="3">
        <v>43.37</v>
      </c>
      <c r="N90" s="3">
        <v>17.62</v>
      </c>
      <c r="O90" s="3"/>
      <c r="P90" s="22">
        <v>45877</v>
      </c>
      <c r="Q90" s="22">
        <v>45877</v>
      </c>
      <c r="R90" s="3"/>
    </row>
    <row r="91" spans="1:19" hidden="1" x14ac:dyDescent="0.25">
      <c r="A91" s="9">
        <v>3</v>
      </c>
      <c r="B91" s="9">
        <v>5</v>
      </c>
      <c r="C91" s="9" t="s">
        <v>176</v>
      </c>
      <c r="D91" s="9" t="s">
        <v>16</v>
      </c>
      <c r="E91" s="9" t="s">
        <v>207</v>
      </c>
      <c r="F91" s="9" t="s">
        <v>208</v>
      </c>
      <c r="G91" s="3">
        <v>34.792999999999999</v>
      </c>
      <c r="H91" s="3">
        <f>IFERROR(INDEX('Tagging key'!D:D, MATCH(F91,'Tagging key'!C:C,0)),"")</f>
        <v>78.400000000000006</v>
      </c>
      <c r="I91" s="3">
        <f>IFERROR(INDEX('Tagging key'!E:E, MATCH(F91,'Tagging key'!C:C,0)),"")</f>
        <v>49.51</v>
      </c>
      <c r="J91" s="3">
        <f>IFERROR(INDEX('Tagging key'!F:F, MATCH(F91,'Tagging key'!C:C,0)),"")</f>
        <v>16.87</v>
      </c>
      <c r="K91" s="3">
        <v>34.371000000000002</v>
      </c>
      <c r="L91" s="3">
        <v>77.930000000000007</v>
      </c>
      <c r="M91" s="3">
        <v>47.37</v>
      </c>
      <c r="N91" s="3">
        <v>17.399999999999999</v>
      </c>
      <c r="O91" s="3"/>
      <c r="P91" s="22">
        <v>45879</v>
      </c>
      <c r="Q91" s="22">
        <v>45879</v>
      </c>
      <c r="R91" s="3"/>
    </row>
    <row r="92" spans="1:19" hidden="1" x14ac:dyDescent="0.25">
      <c r="A92" s="9">
        <v>3</v>
      </c>
      <c r="B92" s="9">
        <v>5</v>
      </c>
      <c r="C92" s="9" t="s">
        <v>176</v>
      </c>
      <c r="D92" s="9" t="s">
        <v>16</v>
      </c>
      <c r="E92" s="9" t="s">
        <v>209</v>
      </c>
      <c r="F92" s="9" t="s">
        <v>210</v>
      </c>
      <c r="G92" s="3">
        <v>22.106000000000002</v>
      </c>
      <c r="H92" s="3">
        <f>IFERROR(INDEX('Tagging key'!D:D, MATCH(F92,'Tagging key'!C:C,0)),"")</f>
        <v>73.05</v>
      </c>
      <c r="I92" s="3">
        <f>IFERROR(INDEX('Tagging key'!E:E, MATCH(F92,'Tagging key'!C:C,0)),"")</f>
        <v>38.82</v>
      </c>
      <c r="J92" s="3">
        <f>IFERROR(INDEX('Tagging key'!F:F, MATCH(F92,'Tagging key'!C:C,0)),"")</f>
        <v>12.29</v>
      </c>
      <c r="K92" s="3">
        <v>22.126000000000001</v>
      </c>
      <c r="L92" s="3">
        <v>73.94</v>
      </c>
      <c r="M92" s="3">
        <v>39.85</v>
      </c>
      <c r="N92" s="3">
        <v>12.81</v>
      </c>
      <c r="O92" s="3"/>
      <c r="P92" s="22">
        <v>45877</v>
      </c>
      <c r="Q92" s="22">
        <v>45877</v>
      </c>
      <c r="R92" s="3"/>
    </row>
    <row r="93" spans="1:19" x14ac:dyDescent="0.25">
      <c r="A93" s="19">
        <v>3</v>
      </c>
      <c r="B93" s="19">
        <v>5</v>
      </c>
      <c r="C93" s="19" t="s">
        <v>176</v>
      </c>
      <c r="D93" s="19" t="s">
        <v>16</v>
      </c>
      <c r="E93" s="19" t="s">
        <v>211</v>
      </c>
      <c r="F93" s="19" t="s">
        <v>212</v>
      </c>
      <c r="G93" s="19">
        <v>40.512</v>
      </c>
      <c r="H93" s="19">
        <f>IFERROR(INDEX('Tagging key'!D:D, MATCH(F93,'Tagging key'!C:C,0)),"")</f>
        <v>74.31</v>
      </c>
      <c r="I93" s="19">
        <f>IFERROR(INDEX('Tagging key'!E:E, MATCH(F93,'Tagging key'!C:C,0)),"")</f>
        <v>51.95</v>
      </c>
      <c r="J93" s="19">
        <f>IFERROR(INDEX('Tagging key'!F:F, MATCH(F93,'Tagging key'!C:C,0)),"")</f>
        <v>17.239999999999998</v>
      </c>
      <c r="K93" s="19"/>
      <c r="L93" s="19"/>
      <c r="M93" s="19"/>
      <c r="N93" s="19"/>
      <c r="O93" s="19"/>
      <c r="P93" s="19"/>
      <c r="Q93" s="19"/>
      <c r="R93" s="19"/>
      <c r="S93" t="s">
        <v>213</v>
      </c>
    </row>
    <row r="94" spans="1:19" x14ac:dyDescent="0.25">
      <c r="A94" s="9">
        <v>3</v>
      </c>
      <c r="B94" s="9">
        <v>5</v>
      </c>
      <c r="C94" s="9" t="s">
        <v>176</v>
      </c>
      <c r="D94" s="9" t="s">
        <v>16</v>
      </c>
      <c r="E94" s="9" t="s">
        <v>214</v>
      </c>
      <c r="F94" s="9" t="s">
        <v>215</v>
      </c>
      <c r="G94" s="3">
        <v>32.151000000000003</v>
      </c>
      <c r="H94" s="3">
        <f>IFERROR(INDEX('Tagging key'!D:D, MATCH(F94,'Tagging key'!C:C,0)),"")</f>
        <v>91.83</v>
      </c>
      <c r="I94" s="3">
        <f>IFERROR(INDEX('Tagging key'!E:E, MATCH(F94,'Tagging key'!C:C,0)),"")</f>
        <v>39.65</v>
      </c>
      <c r="J94" s="3">
        <f>IFERROR(INDEX('Tagging key'!F:F, MATCH(F94,'Tagging key'!C:C,0)),"")</f>
        <v>10.62</v>
      </c>
      <c r="K94" s="3">
        <v>32.197000000000003</v>
      </c>
      <c r="L94" s="3">
        <v>91.8</v>
      </c>
      <c r="M94" s="3">
        <v>40.06</v>
      </c>
      <c r="N94" s="3">
        <v>18.88</v>
      </c>
      <c r="O94" s="3"/>
      <c r="P94" s="22">
        <v>45882</v>
      </c>
      <c r="Q94" s="22">
        <v>45882</v>
      </c>
      <c r="R94" s="3">
        <v>18.434000000000001</v>
      </c>
    </row>
    <row r="95" spans="1:19" hidden="1" x14ac:dyDescent="0.25">
      <c r="A95" s="8">
        <v>3</v>
      </c>
      <c r="B95" s="8">
        <v>6</v>
      </c>
      <c r="C95" s="8" t="s">
        <v>176</v>
      </c>
      <c r="D95" s="8" t="s">
        <v>16</v>
      </c>
      <c r="E95" s="8" t="s">
        <v>216</v>
      </c>
      <c r="F95" s="8" t="s">
        <v>217</v>
      </c>
      <c r="G95" s="3">
        <v>32.707999999999998</v>
      </c>
      <c r="H95" s="3">
        <f>IFERROR(INDEX('Tagging key'!D:D, MATCH(F95,'Tagging key'!C:C,0)),"")</f>
        <v>73.47</v>
      </c>
      <c r="I95" s="3">
        <f>IFERROR(INDEX('Tagging key'!E:E, MATCH(F95,'Tagging key'!C:C,0)),"")</f>
        <v>45.62</v>
      </c>
      <c r="J95" s="3">
        <f>IFERROR(INDEX('Tagging key'!F:F, MATCH(F95,'Tagging key'!C:C,0)),"")</f>
        <v>15.71</v>
      </c>
      <c r="K95" s="3">
        <v>32.676000000000002</v>
      </c>
      <c r="L95" s="3">
        <v>73.23</v>
      </c>
      <c r="M95" s="3">
        <v>38.770000000000003</v>
      </c>
      <c r="N95" s="3">
        <v>23.82</v>
      </c>
      <c r="O95" s="3"/>
      <c r="P95" s="22">
        <v>45877</v>
      </c>
      <c r="Q95" s="22">
        <v>45877</v>
      </c>
      <c r="R95" s="3"/>
    </row>
    <row r="96" spans="1:19" hidden="1" x14ac:dyDescent="0.25">
      <c r="A96" s="8">
        <v>3</v>
      </c>
      <c r="B96" s="8">
        <v>6</v>
      </c>
      <c r="C96" s="8" t="s">
        <v>176</v>
      </c>
      <c r="D96" s="8" t="s">
        <v>16</v>
      </c>
      <c r="E96" s="8" t="s">
        <v>218</v>
      </c>
      <c r="F96" s="8" t="s">
        <v>219</v>
      </c>
      <c r="G96" s="3">
        <v>31.716999999999999</v>
      </c>
      <c r="H96" s="3">
        <f>IFERROR(INDEX('Tagging key'!D:D, MATCH(F96,'Tagging key'!C:C,0)),"")</f>
        <v>66.89</v>
      </c>
      <c r="I96" s="3">
        <f>IFERROR(INDEX('Tagging key'!E:E, MATCH(F96,'Tagging key'!C:C,0)),"")</f>
        <v>47.26</v>
      </c>
      <c r="J96" s="3">
        <f>IFERROR(INDEX('Tagging key'!F:F, MATCH(F96,'Tagging key'!C:C,0)),"")</f>
        <v>16.43</v>
      </c>
      <c r="K96" s="3">
        <v>31.454999999999998</v>
      </c>
      <c r="L96" s="3">
        <v>67.34</v>
      </c>
      <c r="M96" s="3">
        <v>45.98</v>
      </c>
      <c r="N96" s="3">
        <v>17.059999999999999</v>
      </c>
      <c r="O96" s="3"/>
      <c r="P96" s="26">
        <v>45886</v>
      </c>
      <c r="Q96" s="26">
        <v>45886</v>
      </c>
      <c r="R96" s="3">
        <v>22.062000000000001</v>
      </c>
    </row>
    <row r="97" spans="1:19" x14ac:dyDescent="0.25">
      <c r="A97" s="8">
        <v>3</v>
      </c>
      <c r="B97" s="8">
        <v>6</v>
      </c>
      <c r="C97" s="8" t="s">
        <v>176</v>
      </c>
      <c r="D97" s="8" t="s">
        <v>16</v>
      </c>
      <c r="E97" s="8" t="s">
        <v>220</v>
      </c>
      <c r="F97" s="8" t="s">
        <v>221</v>
      </c>
      <c r="G97" s="3">
        <v>49.804000000000002</v>
      </c>
      <c r="H97" s="3">
        <f>IFERROR(INDEX('Tagging key'!D:D, MATCH(F97,'Tagging key'!C:C,0)),"")</f>
        <v>67.489999999999995</v>
      </c>
      <c r="I97" s="3">
        <f>IFERROR(INDEX('Tagging key'!E:E, MATCH(F97,'Tagging key'!C:C,0)),"")</f>
        <v>65.41</v>
      </c>
      <c r="J97" s="3">
        <f>IFERROR(INDEX('Tagging key'!F:F, MATCH(F97,'Tagging key'!C:C,0)),"")</f>
        <v>19.25</v>
      </c>
      <c r="K97" s="3">
        <v>49.9</v>
      </c>
      <c r="L97" s="3">
        <v>71.41</v>
      </c>
      <c r="M97" s="3">
        <v>48.95</v>
      </c>
      <c r="N97" s="3">
        <v>29.11</v>
      </c>
      <c r="O97" s="3"/>
      <c r="P97" s="22">
        <v>45882</v>
      </c>
      <c r="Q97" s="22">
        <v>45882</v>
      </c>
      <c r="R97" s="3">
        <v>33.805</v>
      </c>
    </row>
    <row r="98" spans="1:19" hidden="1" x14ac:dyDescent="0.25">
      <c r="A98" s="8">
        <v>3</v>
      </c>
      <c r="B98" s="8">
        <v>6</v>
      </c>
      <c r="C98" s="8" t="s">
        <v>176</v>
      </c>
      <c r="D98" s="8" t="s">
        <v>16</v>
      </c>
      <c r="E98" s="8" t="s">
        <v>222</v>
      </c>
      <c r="F98" s="8" t="s">
        <v>223</v>
      </c>
      <c r="G98" s="3">
        <v>35.481000000000002</v>
      </c>
      <c r="H98" s="3">
        <f>IFERROR(INDEX('Tagging key'!D:D, MATCH(F98,'Tagging key'!C:C,0)),"")</f>
        <v>68.349999999999994</v>
      </c>
      <c r="I98" s="3">
        <f>IFERROR(INDEX('Tagging key'!E:E, MATCH(F98,'Tagging key'!C:C,0)),"")</f>
        <v>40.799999999999997</v>
      </c>
      <c r="J98" s="3">
        <f>IFERROR(INDEX('Tagging key'!F:F, MATCH(F98,'Tagging key'!C:C,0)),"")</f>
        <v>19.13</v>
      </c>
      <c r="K98" s="3">
        <v>34.917000000000002</v>
      </c>
      <c r="L98" s="3">
        <v>74.400000000000006</v>
      </c>
      <c r="M98" s="3">
        <v>39.79</v>
      </c>
      <c r="N98" s="3">
        <v>19.04</v>
      </c>
      <c r="O98" s="3"/>
      <c r="P98" s="22">
        <v>45879</v>
      </c>
      <c r="Q98" s="22">
        <v>45879</v>
      </c>
      <c r="R98" s="3"/>
    </row>
    <row r="99" spans="1:19" hidden="1" x14ac:dyDescent="0.25">
      <c r="A99" s="13">
        <v>3</v>
      </c>
      <c r="B99" s="13">
        <v>7</v>
      </c>
      <c r="C99" s="13" t="s">
        <v>176</v>
      </c>
      <c r="D99" s="13" t="s">
        <v>72</v>
      </c>
      <c r="E99" s="13" t="s">
        <v>224</v>
      </c>
      <c r="F99" s="13" t="s">
        <v>225</v>
      </c>
      <c r="G99" s="3">
        <v>67.039000000000001</v>
      </c>
      <c r="H99" s="3">
        <f>IFERROR(INDEX('Tagging key'!D:D, MATCH(F99,'Tagging key'!C:C,0)),"")</f>
        <v>76.5</v>
      </c>
      <c r="I99" s="3">
        <f>IFERROR(INDEX('Tagging key'!E:E, MATCH(F99,'Tagging key'!C:C,0)),"")</f>
        <v>74</v>
      </c>
      <c r="J99" s="3">
        <f>IFERROR(INDEX('Tagging key'!F:F, MATCH(F99,'Tagging key'!C:C,0)),"")</f>
        <v>20.5</v>
      </c>
      <c r="K99" s="3">
        <v>62.131999999999998</v>
      </c>
      <c r="L99" s="3">
        <v>78.56</v>
      </c>
      <c r="M99" s="3">
        <v>78.400000000000006</v>
      </c>
      <c r="N99" s="3">
        <v>23.23</v>
      </c>
      <c r="O99" s="3"/>
      <c r="P99" s="22">
        <v>45877</v>
      </c>
      <c r="Q99" s="22">
        <v>45877</v>
      </c>
      <c r="R99" s="3"/>
    </row>
    <row r="100" spans="1:19" hidden="1" x14ac:dyDescent="0.25">
      <c r="A100" s="13">
        <v>3</v>
      </c>
      <c r="B100" s="13">
        <v>7</v>
      </c>
      <c r="C100" s="13" t="s">
        <v>176</v>
      </c>
      <c r="D100" s="13" t="s">
        <v>72</v>
      </c>
      <c r="E100" s="13" t="s">
        <v>226</v>
      </c>
      <c r="F100" s="13" t="s">
        <v>227</v>
      </c>
      <c r="G100" s="3">
        <v>53.104999999999997</v>
      </c>
      <c r="H100" s="3">
        <f>IFERROR(INDEX('Tagging key'!D:D, MATCH(F100,'Tagging key'!C:C,0)),"")</f>
        <v>76</v>
      </c>
      <c r="I100" s="3">
        <f>IFERROR(INDEX('Tagging key'!E:E, MATCH(F100,'Tagging key'!C:C,0)),"")</f>
        <v>76</v>
      </c>
      <c r="J100" s="3">
        <f>IFERROR(INDEX('Tagging key'!F:F, MATCH(F100,'Tagging key'!C:C,0)),"")</f>
        <v>18</v>
      </c>
      <c r="K100" s="3">
        <v>52.1</v>
      </c>
      <c r="L100" s="3">
        <v>75.77</v>
      </c>
      <c r="M100" s="3">
        <v>78.290000000000006</v>
      </c>
      <c r="N100" s="3">
        <v>19.73</v>
      </c>
      <c r="O100" s="3"/>
      <c r="P100" s="22">
        <v>45879</v>
      </c>
      <c r="Q100" s="22">
        <v>45879</v>
      </c>
      <c r="R100" s="3"/>
    </row>
    <row r="101" spans="1:19" x14ac:dyDescent="0.25">
      <c r="A101" s="13">
        <v>3</v>
      </c>
      <c r="B101" s="13">
        <v>7</v>
      </c>
      <c r="C101" s="13" t="s">
        <v>176</v>
      </c>
      <c r="D101" s="13" t="s">
        <v>72</v>
      </c>
      <c r="E101" s="13" t="s">
        <v>61</v>
      </c>
      <c r="F101" s="13" t="s">
        <v>228</v>
      </c>
      <c r="G101" s="3">
        <v>57.137999999999998</v>
      </c>
      <c r="H101" s="3">
        <f>IFERROR(INDEX('Tagging key'!D:D, MATCH(F101,'Tagging key'!C:C,0)),"")</f>
        <v>71.02</v>
      </c>
      <c r="I101" s="3">
        <f>IFERROR(INDEX('Tagging key'!E:E, MATCH(F101,'Tagging key'!C:C,0)),"")</f>
        <v>75.8</v>
      </c>
      <c r="J101" s="3">
        <f>IFERROR(INDEX('Tagging key'!F:F, MATCH(F101,'Tagging key'!C:C,0)),"")</f>
        <v>19.43</v>
      </c>
      <c r="K101" s="3">
        <v>52.908000000000001</v>
      </c>
      <c r="L101" s="3">
        <v>73.08</v>
      </c>
      <c r="M101" s="3">
        <v>76.459999999999994</v>
      </c>
      <c r="N101" s="3">
        <v>20.71</v>
      </c>
      <c r="O101" s="3"/>
      <c r="P101" s="22">
        <v>45882</v>
      </c>
      <c r="Q101" s="22">
        <v>45882</v>
      </c>
      <c r="R101" s="3">
        <v>25.236000000000001</v>
      </c>
    </row>
    <row r="102" spans="1:19" hidden="1" x14ac:dyDescent="0.25">
      <c r="A102" s="13">
        <v>3</v>
      </c>
      <c r="B102" s="13">
        <v>7</v>
      </c>
      <c r="C102" s="13" t="s">
        <v>176</v>
      </c>
      <c r="D102" s="13" t="s">
        <v>72</v>
      </c>
      <c r="E102" s="13" t="s">
        <v>229</v>
      </c>
      <c r="F102" s="13" t="s">
        <v>230</v>
      </c>
      <c r="G102" s="3">
        <v>49.686999999999998</v>
      </c>
      <c r="H102" s="3">
        <f>IFERROR(INDEX('Tagging key'!D:D, MATCH(F102,'Tagging key'!C:C,0)),"")</f>
        <v>67</v>
      </c>
      <c r="I102" s="3">
        <f>IFERROR(INDEX('Tagging key'!E:E, MATCH(F102,'Tagging key'!C:C,0)),"")</f>
        <v>74</v>
      </c>
      <c r="J102" s="3">
        <f>IFERROR(INDEX('Tagging key'!F:F, MATCH(F102,'Tagging key'!C:C,0)),"")</f>
        <v>19</v>
      </c>
      <c r="K102" s="3">
        <v>46.000999999999998</v>
      </c>
      <c r="L102" s="3">
        <v>68.2</v>
      </c>
      <c r="M102" s="3">
        <v>75.02</v>
      </c>
      <c r="N102" s="3">
        <v>20.18</v>
      </c>
      <c r="O102" s="3"/>
      <c r="P102" s="26">
        <v>45886</v>
      </c>
      <c r="Q102" s="26">
        <v>45886</v>
      </c>
    </row>
    <row r="103" spans="1:19" hidden="1" x14ac:dyDescent="0.25">
      <c r="A103" s="14">
        <v>3</v>
      </c>
      <c r="B103" s="14">
        <v>8</v>
      </c>
      <c r="C103" s="14" t="s">
        <v>176</v>
      </c>
      <c r="D103" s="14" t="s">
        <v>72</v>
      </c>
      <c r="E103" s="14" t="s">
        <v>231</v>
      </c>
      <c r="F103" s="14" t="s">
        <v>232</v>
      </c>
      <c r="G103" s="3">
        <v>65.52</v>
      </c>
      <c r="H103" s="3">
        <f>IFERROR(INDEX('Tagging key'!D:D, MATCH(F103,'Tagging key'!C:C,0)),"")</f>
        <v>76.5</v>
      </c>
      <c r="I103" s="3">
        <f>IFERROR(INDEX('Tagging key'!E:E, MATCH(F103,'Tagging key'!C:C,0)),"")</f>
        <v>80</v>
      </c>
      <c r="J103" s="3">
        <f>IFERROR(INDEX('Tagging key'!F:F, MATCH(F103,'Tagging key'!C:C,0)),"")</f>
        <v>22</v>
      </c>
      <c r="K103" s="3">
        <v>64.451999999999998</v>
      </c>
      <c r="L103" s="3">
        <v>79.19</v>
      </c>
      <c r="M103" s="3">
        <v>83.07</v>
      </c>
      <c r="N103" s="3">
        <v>23.8</v>
      </c>
      <c r="O103" s="3"/>
      <c r="P103" s="22">
        <v>45879</v>
      </c>
      <c r="Q103" s="22">
        <v>45879</v>
      </c>
      <c r="R103" s="3"/>
    </row>
    <row r="104" spans="1:19" hidden="1" x14ac:dyDescent="0.25">
      <c r="A104" s="14">
        <v>3</v>
      </c>
      <c r="B104" s="14">
        <v>8</v>
      </c>
      <c r="C104" s="14" t="s">
        <v>176</v>
      </c>
      <c r="D104" s="14" t="s">
        <v>72</v>
      </c>
      <c r="E104" s="14" t="s">
        <v>233</v>
      </c>
      <c r="F104" s="14" t="s">
        <v>234</v>
      </c>
      <c r="G104" s="3">
        <v>51.722999999999999</v>
      </c>
      <c r="H104" s="3">
        <f>IFERROR(INDEX('Tagging key'!D:D, MATCH(F104,'Tagging key'!C:C,0)),"")</f>
        <v>72</v>
      </c>
      <c r="I104" s="3">
        <f>IFERROR(INDEX('Tagging key'!E:E, MATCH(F104,'Tagging key'!C:C,0)),"")</f>
        <v>71</v>
      </c>
      <c r="J104" s="3">
        <f>IFERROR(INDEX('Tagging key'!F:F, MATCH(F104,'Tagging key'!C:C,0)),"")</f>
        <v>18</v>
      </c>
      <c r="K104" s="3">
        <v>47.389000000000003</v>
      </c>
      <c r="L104" s="3">
        <v>73.61</v>
      </c>
      <c r="M104" s="3">
        <v>72.59</v>
      </c>
      <c r="N104" s="3">
        <v>20.66</v>
      </c>
      <c r="O104" s="3"/>
      <c r="P104" s="22">
        <v>45877</v>
      </c>
      <c r="Q104" s="22">
        <v>45877</v>
      </c>
      <c r="R104" s="3"/>
    </row>
    <row r="105" spans="1:19" hidden="1" x14ac:dyDescent="0.25">
      <c r="A105" s="14">
        <v>3</v>
      </c>
      <c r="B105" s="14">
        <v>8</v>
      </c>
      <c r="C105" s="14" t="s">
        <v>176</v>
      </c>
      <c r="D105" s="14" t="s">
        <v>72</v>
      </c>
      <c r="E105" s="14" t="s">
        <v>235</v>
      </c>
      <c r="F105" s="14" t="s">
        <v>236</v>
      </c>
      <c r="G105" s="3">
        <v>50.021000000000001</v>
      </c>
      <c r="H105" s="3">
        <f>IFERROR(INDEX('Tagging key'!D:D, MATCH(F105,'Tagging key'!C:C,0)),"")</f>
        <v>70</v>
      </c>
      <c r="I105" s="3">
        <f>IFERROR(INDEX('Tagging key'!E:E, MATCH(F105,'Tagging key'!C:C,0)),"")</f>
        <v>72</v>
      </c>
      <c r="J105" s="3">
        <f>IFERROR(INDEX('Tagging key'!F:F, MATCH(F105,'Tagging key'!C:C,0)),"")</f>
        <v>16</v>
      </c>
      <c r="K105" s="3">
        <v>46.628</v>
      </c>
      <c r="L105" s="3">
        <v>70.739999999999995</v>
      </c>
      <c r="M105" s="3">
        <v>72.8</v>
      </c>
      <c r="N105" s="3">
        <v>20.39</v>
      </c>
      <c r="O105" s="3"/>
      <c r="P105" s="26">
        <v>45886</v>
      </c>
      <c r="Q105" s="26">
        <v>45886</v>
      </c>
    </row>
    <row r="106" spans="1:19" x14ac:dyDescent="0.25">
      <c r="A106" s="14">
        <v>3</v>
      </c>
      <c r="B106" s="14">
        <v>8</v>
      </c>
      <c r="C106" s="14" t="s">
        <v>176</v>
      </c>
      <c r="D106" s="14" t="s">
        <v>72</v>
      </c>
      <c r="E106" s="14" t="s">
        <v>237</v>
      </c>
      <c r="F106" s="14" t="s">
        <v>238</v>
      </c>
      <c r="G106" s="3">
        <v>51.862000000000002</v>
      </c>
      <c r="H106" s="3">
        <f>IFERROR(INDEX('Tagging key'!D:D, MATCH(F106,'Tagging key'!C:C,0)),"")</f>
        <v>70</v>
      </c>
      <c r="I106" s="3">
        <f>IFERROR(INDEX('Tagging key'!E:E, MATCH(F106,'Tagging key'!C:C,0)),"")</f>
        <v>71</v>
      </c>
      <c r="J106" s="3">
        <f>IFERROR(INDEX('Tagging key'!F:F, MATCH(F106,'Tagging key'!C:C,0)),"")</f>
        <v>22</v>
      </c>
      <c r="K106" s="3">
        <v>50.253999999999998</v>
      </c>
      <c r="L106" s="3">
        <v>71.150000000000006</v>
      </c>
      <c r="M106" s="3">
        <v>74.14</v>
      </c>
      <c r="N106" s="3">
        <v>20.39</v>
      </c>
      <c r="O106" s="3"/>
      <c r="P106" s="22">
        <v>45882</v>
      </c>
      <c r="Q106" s="22">
        <v>45882</v>
      </c>
      <c r="R106" s="3">
        <v>25.045999999999999</v>
      </c>
    </row>
    <row r="107" spans="1:19" hidden="1" x14ac:dyDescent="0.25">
      <c r="A107" s="13">
        <v>3</v>
      </c>
      <c r="B107" s="13">
        <v>9</v>
      </c>
      <c r="C107" s="13" t="s">
        <v>176</v>
      </c>
      <c r="D107" s="13" t="s">
        <v>72</v>
      </c>
      <c r="E107" s="13" t="s">
        <v>239</v>
      </c>
      <c r="F107" s="13" t="s">
        <v>240</v>
      </c>
      <c r="G107" s="3">
        <v>68.305000000000007</v>
      </c>
      <c r="H107" s="3">
        <f>IFERROR(INDEX('Tagging key'!D:D, MATCH(F107,'Tagging key'!C:C,0)),"")</f>
        <v>77</v>
      </c>
      <c r="I107" s="3">
        <f>IFERROR(INDEX('Tagging key'!E:E, MATCH(F107,'Tagging key'!C:C,0)),"")</f>
        <v>82</v>
      </c>
      <c r="J107" s="3">
        <f>IFERROR(INDEX('Tagging key'!F:F, MATCH(F107,'Tagging key'!C:C,0)),"")</f>
        <v>20</v>
      </c>
      <c r="K107" s="3">
        <v>62.493000000000002</v>
      </c>
      <c r="L107" s="3">
        <v>81.12</v>
      </c>
      <c r="M107" s="3">
        <v>85.29</v>
      </c>
      <c r="N107" s="3">
        <v>22.12</v>
      </c>
      <c r="O107" s="3"/>
      <c r="P107" s="22">
        <v>45877</v>
      </c>
      <c r="Q107" s="22">
        <v>45877</v>
      </c>
      <c r="R107" s="3"/>
    </row>
    <row r="108" spans="1:19" hidden="1" x14ac:dyDescent="0.25">
      <c r="A108" s="13">
        <v>3</v>
      </c>
      <c r="B108" s="13">
        <v>9</v>
      </c>
      <c r="C108" s="13" t="s">
        <v>176</v>
      </c>
      <c r="D108" s="13" t="s">
        <v>72</v>
      </c>
      <c r="E108" s="13" t="s">
        <v>241</v>
      </c>
      <c r="F108" s="13" t="s">
        <v>242</v>
      </c>
      <c r="G108" s="3">
        <v>72.852999999999994</v>
      </c>
      <c r="H108" s="3">
        <f>IFERROR(INDEX('Tagging key'!D:D, MATCH(F108,'Tagging key'!C:C,0)),"")</f>
        <v>80.75</v>
      </c>
      <c r="I108" s="3">
        <f>IFERROR(INDEX('Tagging key'!E:E, MATCH(F108,'Tagging key'!C:C,0)),"")</f>
        <v>81.260000000000005</v>
      </c>
      <c r="J108" s="3">
        <f>IFERROR(INDEX('Tagging key'!F:F, MATCH(F108,'Tagging key'!C:C,0)),"")</f>
        <v>20.59</v>
      </c>
      <c r="K108" s="3">
        <v>70.561000000000007</v>
      </c>
      <c r="L108" s="3">
        <v>82.388999999999996</v>
      </c>
      <c r="M108" s="3">
        <v>84.54</v>
      </c>
      <c r="N108" s="3">
        <v>22.1</v>
      </c>
      <c r="O108" s="3"/>
      <c r="P108" s="22">
        <v>45879</v>
      </c>
      <c r="Q108" s="22">
        <v>45879</v>
      </c>
      <c r="R108" s="3"/>
    </row>
    <row r="109" spans="1:19" hidden="1" x14ac:dyDescent="0.25">
      <c r="A109" s="13">
        <v>3</v>
      </c>
      <c r="B109" s="13">
        <v>9</v>
      </c>
      <c r="C109" s="13" t="s">
        <v>176</v>
      </c>
      <c r="D109" s="13" t="s">
        <v>72</v>
      </c>
      <c r="E109" s="13" t="s">
        <v>243</v>
      </c>
      <c r="F109" s="13" t="s">
        <v>244</v>
      </c>
      <c r="G109" s="3">
        <v>49.168999999999997</v>
      </c>
      <c r="H109" s="3">
        <f>IFERROR(INDEX('Tagging key'!D:D, MATCH(F109,'Tagging key'!C:C,0)),"")</f>
        <v>71.959999999999994</v>
      </c>
      <c r="I109" s="3">
        <f>IFERROR(INDEX('Tagging key'!E:E, MATCH(F109,'Tagging key'!C:C,0)),"")</f>
        <v>75.64</v>
      </c>
      <c r="J109" s="3">
        <f>IFERROR(INDEX('Tagging key'!F:F, MATCH(F109,'Tagging key'!C:C,0)),"")</f>
        <v>19.489999999999998</v>
      </c>
      <c r="K109" s="3">
        <v>47.938000000000002</v>
      </c>
      <c r="L109" s="3">
        <v>72.569999999999993</v>
      </c>
      <c r="M109" s="3">
        <v>77.5</v>
      </c>
      <c r="N109" s="3">
        <v>21.02</v>
      </c>
      <c r="O109" s="3"/>
      <c r="P109" s="26">
        <v>45886</v>
      </c>
      <c r="Q109" s="26">
        <v>45886</v>
      </c>
    </row>
    <row r="110" spans="1:19" x14ac:dyDescent="0.25">
      <c r="A110" s="13">
        <v>3</v>
      </c>
      <c r="B110" s="13">
        <v>9</v>
      </c>
      <c r="C110" s="13" t="s">
        <v>176</v>
      </c>
      <c r="D110" s="13" t="s">
        <v>72</v>
      </c>
      <c r="E110" s="13" t="s">
        <v>245</v>
      </c>
      <c r="F110" s="13" t="s">
        <v>246</v>
      </c>
      <c r="G110" s="3">
        <v>55.048000000000002</v>
      </c>
      <c r="H110" s="3">
        <f>IFERROR(INDEX('Tagging key'!D:D, MATCH(F110,'Tagging key'!C:C,0)),"")</f>
        <v>73</v>
      </c>
      <c r="I110" s="3">
        <f>IFERROR(INDEX('Tagging key'!E:E, MATCH(F110,'Tagging key'!C:C,0)),"")</f>
        <v>75</v>
      </c>
      <c r="J110" s="3">
        <f>IFERROR(INDEX('Tagging key'!F:F, MATCH(F110,'Tagging key'!C:C,0)),"")</f>
        <v>20</v>
      </c>
      <c r="K110" s="3">
        <v>55.786999999999999</v>
      </c>
      <c r="L110" s="3">
        <v>74.510000000000005</v>
      </c>
      <c r="M110" s="3">
        <v>75.709999999999994</v>
      </c>
      <c r="N110" s="3">
        <v>20.079999999999998</v>
      </c>
      <c r="O110" s="3"/>
      <c r="P110" s="22">
        <v>45882</v>
      </c>
      <c r="Q110" s="22">
        <v>45882</v>
      </c>
      <c r="R110" s="3">
        <v>28.16</v>
      </c>
      <c r="S110" t="s">
        <v>247</v>
      </c>
    </row>
    <row r="111" spans="1:19" hidden="1" x14ac:dyDescent="0.25">
      <c r="A111" s="11">
        <v>4</v>
      </c>
      <c r="B111" s="11">
        <v>1</v>
      </c>
      <c r="C111" s="11" t="s">
        <v>248</v>
      </c>
      <c r="D111" s="11" t="s">
        <v>46</v>
      </c>
      <c r="E111" s="11" t="s">
        <v>249</v>
      </c>
      <c r="F111" s="11" t="s">
        <v>250</v>
      </c>
      <c r="G111" s="3">
        <v>40.518000000000001</v>
      </c>
      <c r="H111" s="3">
        <f>IFERROR(INDEX('Tagging key'!D:D, MATCH(F111,'Tagging key'!C:C,0)),"")</f>
        <v>77.739999999999995</v>
      </c>
      <c r="I111" s="3">
        <f>IFERROR(INDEX('Tagging key'!E:E, MATCH(F111,'Tagging key'!C:C,0)),"")</f>
        <v>39.630000000000003</v>
      </c>
      <c r="J111" s="3">
        <f>IFERROR(INDEX('Tagging key'!F:F, MATCH(F111,'Tagging key'!C:C,0)),"")</f>
        <v>25</v>
      </c>
      <c r="K111" s="3">
        <v>41.472999999999999</v>
      </c>
      <c r="L111" s="3">
        <v>78.400000000000006</v>
      </c>
      <c r="M111" s="3">
        <v>37.49</v>
      </c>
      <c r="N111" s="3">
        <v>26.95</v>
      </c>
      <c r="O111" s="3"/>
      <c r="P111" s="22">
        <v>45877</v>
      </c>
      <c r="Q111" s="22">
        <v>45877</v>
      </c>
      <c r="R111" s="3"/>
    </row>
    <row r="112" spans="1:19" x14ac:dyDescent="0.25">
      <c r="A112" s="11">
        <v>4</v>
      </c>
      <c r="B112" s="11">
        <v>1</v>
      </c>
      <c r="C112" s="11" t="s">
        <v>248</v>
      </c>
      <c r="D112" s="11" t="s">
        <v>46</v>
      </c>
      <c r="E112" s="11" t="s">
        <v>251</v>
      </c>
      <c r="F112" s="11" t="s">
        <v>252</v>
      </c>
      <c r="G112" s="3">
        <v>41.732999999999997</v>
      </c>
      <c r="H112" s="3">
        <f>IFERROR(INDEX('Tagging key'!D:D, MATCH(F112,'Tagging key'!C:C,0)),"")</f>
        <v>76</v>
      </c>
      <c r="I112" s="3">
        <f>IFERROR(INDEX('Tagging key'!E:E, MATCH(F112,'Tagging key'!C:C,0)),"")</f>
        <v>37</v>
      </c>
      <c r="J112" s="3">
        <f>IFERROR(INDEX('Tagging key'!F:F, MATCH(F112,'Tagging key'!C:C,0)),"")</f>
        <v>26</v>
      </c>
      <c r="K112" s="3">
        <v>42.048000000000002</v>
      </c>
      <c r="L112" s="3">
        <v>76.680000000000007</v>
      </c>
      <c r="M112" s="3">
        <v>38.909999999999997</v>
      </c>
      <c r="N112" s="3">
        <v>26.11</v>
      </c>
      <c r="O112" s="3"/>
      <c r="P112" s="22">
        <v>45882</v>
      </c>
      <c r="Q112" s="22">
        <v>45882</v>
      </c>
      <c r="R112" s="3">
        <v>15.084</v>
      </c>
    </row>
    <row r="113" spans="1:19" hidden="1" x14ac:dyDescent="0.25">
      <c r="A113" s="11">
        <v>4</v>
      </c>
      <c r="B113" s="11">
        <v>1</v>
      </c>
      <c r="C113" s="11" t="s">
        <v>248</v>
      </c>
      <c r="D113" s="11" t="s">
        <v>46</v>
      </c>
      <c r="E113" s="11" t="s">
        <v>220</v>
      </c>
      <c r="F113" s="11" t="s">
        <v>253</v>
      </c>
      <c r="G113" s="3">
        <v>30.132999999999999</v>
      </c>
      <c r="H113" s="3">
        <f>IFERROR(INDEX('Tagging key'!D:D, MATCH(F113,'Tagging key'!C:C,0)),"")</f>
        <v>67</v>
      </c>
      <c r="I113" s="3">
        <f>IFERROR(INDEX('Tagging key'!E:E, MATCH(F113,'Tagging key'!C:C,0)),"")</f>
        <v>34</v>
      </c>
      <c r="J113" s="3">
        <f>IFERROR(INDEX('Tagging key'!F:F, MATCH(F113,'Tagging key'!C:C,0)),"")</f>
        <v>25</v>
      </c>
      <c r="K113" s="3">
        <v>30.866</v>
      </c>
      <c r="L113" s="3">
        <v>67.489999999999995</v>
      </c>
      <c r="M113" s="3">
        <v>35.46</v>
      </c>
      <c r="N113" s="3">
        <v>26.16</v>
      </c>
      <c r="O113" s="3"/>
      <c r="P113" s="26">
        <v>45886</v>
      </c>
      <c r="Q113" s="26">
        <v>45886</v>
      </c>
      <c r="R113" s="3">
        <v>10.551</v>
      </c>
    </row>
    <row r="114" spans="1:19" hidden="1" x14ac:dyDescent="0.25">
      <c r="A114" s="11">
        <v>4</v>
      </c>
      <c r="B114" s="11">
        <v>1</v>
      </c>
      <c r="C114" s="11" t="s">
        <v>248</v>
      </c>
      <c r="D114" s="11" t="s">
        <v>46</v>
      </c>
      <c r="E114" s="11" t="s">
        <v>254</v>
      </c>
      <c r="F114" s="11" t="s">
        <v>255</v>
      </c>
      <c r="G114" s="3">
        <v>27.974</v>
      </c>
      <c r="H114" s="3">
        <f>IFERROR(INDEX('Tagging key'!D:D, MATCH(F114,'Tagging key'!C:C,0)),"")</f>
        <v>67</v>
      </c>
      <c r="I114" s="3">
        <f>IFERROR(INDEX('Tagging key'!E:E, MATCH(F114,'Tagging key'!C:C,0)),"")</f>
        <v>35</v>
      </c>
      <c r="J114" s="3">
        <f>IFERROR(INDEX('Tagging key'!F:F, MATCH(F114,'Tagging key'!C:C,0)),"")</f>
        <v>23</v>
      </c>
      <c r="K114" s="3">
        <v>28.47</v>
      </c>
      <c r="L114" s="3">
        <v>68.599999999999994</v>
      </c>
      <c r="M114" s="3">
        <v>34.729999999999997</v>
      </c>
      <c r="N114" s="3">
        <v>23.89</v>
      </c>
      <c r="O114" s="3"/>
      <c r="P114" s="22">
        <v>45879</v>
      </c>
      <c r="Q114" s="22">
        <v>45879</v>
      </c>
      <c r="R114" s="3"/>
    </row>
    <row r="115" spans="1:19" x14ac:dyDescent="0.25">
      <c r="A115" s="12">
        <v>4</v>
      </c>
      <c r="B115" s="12">
        <v>2</v>
      </c>
      <c r="C115" s="12" t="s">
        <v>248</v>
      </c>
      <c r="D115" s="12" t="s">
        <v>46</v>
      </c>
      <c r="E115" s="12" t="s">
        <v>256</v>
      </c>
      <c r="F115" s="12" t="s">
        <v>257</v>
      </c>
      <c r="G115" s="3">
        <v>38.439</v>
      </c>
      <c r="H115" s="3">
        <f>IFERROR(INDEX('Tagging key'!D:D, MATCH(F115,'Tagging key'!C:C,0)),"")</f>
        <v>70</v>
      </c>
      <c r="I115" s="3">
        <f>IFERROR(INDEX('Tagging key'!E:E, MATCH(F115,'Tagging key'!C:C,0)),"")</f>
        <v>35</v>
      </c>
      <c r="J115" s="3">
        <f>IFERROR(INDEX('Tagging key'!F:F, MATCH(F115,'Tagging key'!C:C,0)),"")</f>
        <v>29</v>
      </c>
      <c r="K115" s="3">
        <v>38.616</v>
      </c>
      <c r="L115" s="3">
        <v>70.650000000000006</v>
      </c>
      <c r="M115" s="3">
        <v>35.68</v>
      </c>
      <c r="N115" s="3">
        <v>28.94</v>
      </c>
      <c r="O115" s="3"/>
      <c r="P115" s="22">
        <v>45882</v>
      </c>
      <c r="Q115" s="22">
        <v>45882</v>
      </c>
      <c r="R115" s="3">
        <v>13.742000000000001</v>
      </c>
    </row>
    <row r="116" spans="1:19" hidden="1" x14ac:dyDescent="0.25">
      <c r="A116" s="12">
        <v>4</v>
      </c>
      <c r="B116" s="12">
        <v>2</v>
      </c>
      <c r="C116" s="12" t="s">
        <v>248</v>
      </c>
      <c r="D116" s="12" t="s">
        <v>46</v>
      </c>
      <c r="E116" s="12" t="s">
        <v>258</v>
      </c>
      <c r="F116" s="12" t="s">
        <v>259</v>
      </c>
      <c r="G116" s="3">
        <v>70.959999999999994</v>
      </c>
      <c r="H116" s="3">
        <f>IFERROR(INDEX('Tagging key'!D:D, MATCH(F116,'Tagging key'!C:C,0)),"")</f>
        <v>83</v>
      </c>
      <c r="I116" s="3">
        <f>IFERROR(INDEX('Tagging key'!E:E, MATCH(F116,'Tagging key'!C:C,0)),"")</f>
        <v>40</v>
      </c>
      <c r="J116" s="3">
        <f>IFERROR(INDEX('Tagging key'!F:F, MATCH(F116,'Tagging key'!C:C,0)),"")</f>
        <v>33</v>
      </c>
      <c r="K116" s="3">
        <v>70.388000000000005</v>
      </c>
      <c r="L116" s="3">
        <v>86.37</v>
      </c>
      <c r="M116" s="3">
        <v>39.700000000000003</v>
      </c>
      <c r="N116" s="3">
        <v>34.770000000000003</v>
      </c>
      <c r="O116" s="3"/>
      <c r="P116" s="22">
        <v>45877</v>
      </c>
      <c r="Q116" s="22">
        <v>45877</v>
      </c>
      <c r="R116" s="3"/>
    </row>
    <row r="117" spans="1:19" hidden="1" x14ac:dyDescent="0.25">
      <c r="A117" s="12">
        <v>4</v>
      </c>
      <c r="B117" s="12">
        <v>2</v>
      </c>
      <c r="C117" s="12" t="s">
        <v>248</v>
      </c>
      <c r="D117" s="12" t="s">
        <v>46</v>
      </c>
      <c r="E117" s="12" t="s">
        <v>260</v>
      </c>
      <c r="F117" s="12" t="s">
        <v>261</v>
      </c>
      <c r="G117" s="3">
        <v>28.048999999999999</v>
      </c>
      <c r="H117" s="3">
        <f>IFERROR(INDEX('Tagging key'!D:D, MATCH(F117,'Tagging key'!C:C,0)),"")</f>
        <v>69</v>
      </c>
      <c r="I117" s="3">
        <f>IFERROR(INDEX('Tagging key'!E:E, MATCH(F117,'Tagging key'!C:C,0)),"")</f>
        <v>37.880000000000003</v>
      </c>
      <c r="J117" s="3">
        <f>IFERROR(INDEX('Tagging key'!F:F, MATCH(F117,'Tagging key'!C:C,0)),"")</f>
        <v>24.18</v>
      </c>
      <c r="K117" s="3">
        <v>28.576000000000001</v>
      </c>
      <c r="L117" s="3">
        <v>69.56</v>
      </c>
      <c r="M117" s="3">
        <v>33.56</v>
      </c>
      <c r="N117" s="3">
        <v>24.32</v>
      </c>
      <c r="O117" s="3"/>
      <c r="P117" s="22">
        <v>45879</v>
      </c>
      <c r="Q117" s="22">
        <v>45879</v>
      </c>
      <c r="R117" s="3"/>
    </row>
    <row r="118" spans="1:19" hidden="1" x14ac:dyDescent="0.25">
      <c r="A118" s="12">
        <v>4</v>
      </c>
      <c r="B118" s="12">
        <v>2</v>
      </c>
      <c r="C118" s="12" t="s">
        <v>248</v>
      </c>
      <c r="D118" s="12" t="s">
        <v>46</v>
      </c>
      <c r="E118" s="12" t="s">
        <v>262</v>
      </c>
      <c r="F118" s="12" t="s">
        <v>263</v>
      </c>
      <c r="G118" s="3">
        <v>35.765000000000001</v>
      </c>
      <c r="H118" s="3">
        <f>IFERROR(INDEX('Tagging key'!D:D, MATCH(F118,'Tagging key'!C:C,0)),"")</f>
        <v>70.739999999999995</v>
      </c>
      <c r="I118" s="3">
        <f>IFERROR(INDEX('Tagging key'!E:E, MATCH(F118,'Tagging key'!C:C,0)),"")</f>
        <v>37.94</v>
      </c>
      <c r="J118" s="3">
        <f>IFERROR(INDEX('Tagging key'!F:F, MATCH(F118,'Tagging key'!C:C,0)),"")</f>
        <v>26.72</v>
      </c>
      <c r="K118" s="3">
        <v>36.590000000000003</v>
      </c>
      <c r="L118" s="3">
        <v>70.33</v>
      </c>
      <c r="M118" s="3">
        <v>35.39</v>
      </c>
      <c r="N118" s="3">
        <v>27.04</v>
      </c>
      <c r="O118" s="3"/>
      <c r="P118" s="26">
        <v>45886</v>
      </c>
      <c r="Q118" s="26">
        <v>45886</v>
      </c>
    </row>
    <row r="119" spans="1:19" hidden="1" x14ac:dyDescent="0.25">
      <c r="A119" s="11">
        <v>4</v>
      </c>
      <c r="B119" s="11">
        <v>3</v>
      </c>
      <c r="C119" s="11" t="s">
        <v>248</v>
      </c>
      <c r="D119" s="11" t="s">
        <v>46</v>
      </c>
      <c r="E119" s="11" t="s">
        <v>264</v>
      </c>
      <c r="F119" s="11" t="s">
        <v>265</v>
      </c>
      <c r="G119" s="3">
        <v>47.109000000000002</v>
      </c>
      <c r="H119" s="3">
        <f>IFERROR(INDEX('Tagging key'!D:D, MATCH(F119,'Tagging key'!C:C,0)),"")</f>
        <v>76.34</v>
      </c>
      <c r="I119" s="3">
        <f>IFERROR(INDEX('Tagging key'!E:E, MATCH(F119,'Tagging key'!C:C,0)),"")</f>
        <v>43.02</v>
      </c>
      <c r="J119" s="3">
        <f>IFERROR(INDEX('Tagging key'!F:F, MATCH(F119,'Tagging key'!C:C,0)),"")</f>
        <v>29.46</v>
      </c>
      <c r="K119" s="3">
        <v>47.469000000000001</v>
      </c>
      <c r="L119" s="3">
        <v>76.099999999999994</v>
      </c>
      <c r="M119" s="3">
        <v>39.090000000000003</v>
      </c>
      <c r="N119" s="3">
        <v>30.35</v>
      </c>
      <c r="O119" s="3"/>
      <c r="P119" s="26">
        <v>45886</v>
      </c>
      <c r="Q119" s="26">
        <v>45886</v>
      </c>
    </row>
    <row r="120" spans="1:19" hidden="1" x14ac:dyDescent="0.25">
      <c r="A120" s="11">
        <v>4</v>
      </c>
      <c r="B120" s="11">
        <v>3</v>
      </c>
      <c r="C120" s="11" t="s">
        <v>248</v>
      </c>
      <c r="D120" s="11" t="s">
        <v>46</v>
      </c>
      <c r="E120" s="11" t="s">
        <v>266</v>
      </c>
      <c r="F120" s="11" t="s">
        <v>267</v>
      </c>
      <c r="G120" s="3">
        <v>29.998000000000001</v>
      </c>
      <c r="H120" s="3">
        <f>IFERROR(INDEX('Tagging key'!D:D, MATCH(F120,'Tagging key'!C:C,0)),"")</f>
        <v>67</v>
      </c>
      <c r="I120" s="3">
        <f>IFERROR(INDEX('Tagging key'!E:E, MATCH(F120,'Tagging key'!C:C,0)),"")</f>
        <v>36</v>
      </c>
      <c r="J120" s="3">
        <f>IFERROR(INDEX('Tagging key'!F:F, MATCH(F120,'Tagging key'!C:C,0)),"")</f>
        <v>24</v>
      </c>
      <c r="K120" s="3">
        <v>30.483000000000001</v>
      </c>
      <c r="L120" s="3">
        <v>68.37</v>
      </c>
      <c r="M120" s="3">
        <v>36.64</v>
      </c>
      <c r="N120" s="3">
        <v>24.09</v>
      </c>
      <c r="O120" s="3"/>
      <c r="P120" s="22">
        <v>45877</v>
      </c>
      <c r="Q120" s="22">
        <v>45877</v>
      </c>
      <c r="R120" s="3"/>
    </row>
    <row r="121" spans="1:19" hidden="1" x14ac:dyDescent="0.25">
      <c r="A121" s="11">
        <v>4</v>
      </c>
      <c r="B121" s="11">
        <v>3</v>
      </c>
      <c r="C121" s="11" t="s">
        <v>248</v>
      </c>
      <c r="D121" s="11" t="s">
        <v>46</v>
      </c>
      <c r="E121" s="11" t="s">
        <v>268</v>
      </c>
      <c r="F121" s="11" t="s">
        <v>269</v>
      </c>
      <c r="G121" s="3">
        <v>59.091000000000001</v>
      </c>
      <c r="H121" s="3">
        <f>IFERROR(INDEX('Tagging key'!D:D, MATCH(F121,'Tagging key'!C:C,0)),"")</f>
        <v>84</v>
      </c>
      <c r="I121" s="3">
        <f>IFERROR(INDEX('Tagging key'!E:E, MATCH(F121,'Tagging key'!C:C,0)),"")</f>
        <v>41.32</v>
      </c>
      <c r="J121" s="3">
        <f>IFERROR(INDEX('Tagging key'!F:F, MATCH(F121,'Tagging key'!C:C,0)),"")</f>
        <v>32.770000000000003</v>
      </c>
      <c r="K121" s="3">
        <v>59.075000000000003</v>
      </c>
      <c r="L121" s="3">
        <v>83.58</v>
      </c>
      <c r="M121" s="3">
        <v>39.33</v>
      </c>
      <c r="N121" s="3">
        <v>33.049999999999997</v>
      </c>
      <c r="O121" s="3"/>
      <c r="P121" s="22">
        <v>45879</v>
      </c>
      <c r="Q121" s="22">
        <v>45879</v>
      </c>
      <c r="R121" s="3"/>
    </row>
    <row r="122" spans="1:19" x14ac:dyDescent="0.25">
      <c r="A122" s="11">
        <v>4</v>
      </c>
      <c r="B122" s="11">
        <v>3</v>
      </c>
      <c r="C122" s="11" t="s">
        <v>248</v>
      </c>
      <c r="D122" s="11" t="s">
        <v>46</v>
      </c>
      <c r="E122" s="11" t="s">
        <v>270</v>
      </c>
      <c r="F122" s="11" t="s">
        <v>271</v>
      </c>
      <c r="G122" s="3">
        <v>55.250999999999998</v>
      </c>
      <c r="H122" s="3">
        <f>IFERROR(INDEX('Tagging key'!D:D, MATCH(F122,'Tagging key'!C:C,0)),"")</f>
        <v>84.35</v>
      </c>
      <c r="I122" s="3">
        <f>IFERROR(INDEX('Tagging key'!E:E, MATCH(F122,'Tagging key'!C:C,0)),"")</f>
        <v>43.33</v>
      </c>
      <c r="J122" s="3">
        <f>IFERROR(INDEX('Tagging key'!F:F, MATCH(F122,'Tagging key'!C:C,0)),"")</f>
        <v>31.2</v>
      </c>
      <c r="K122" s="3">
        <v>55.47</v>
      </c>
      <c r="L122" s="3">
        <v>84.33</v>
      </c>
      <c r="M122" s="3">
        <v>40.74</v>
      </c>
      <c r="N122" s="3">
        <v>31.72</v>
      </c>
      <c r="O122" s="3"/>
      <c r="P122" s="22">
        <v>45882</v>
      </c>
      <c r="Q122" s="22">
        <v>45882</v>
      </c>
      <c r="R122" s="3">
        <v>17.638000000000002</v>
      </c>
    </row>
    <row r="123" spans="1:19" hidden="1" x14ac:dyDescent="0.25">
      <c r="A123" s="13">
        <v>4</v>
      </c>
      <c r="B123" s="13">
        <v>4</v>
      </c>
      <c r="C123" s="13" t="s">
        <v>248</v>
      </c>
      <c r="D123" s="13" t="s">
        <v>72</v>
      </c>
      <c r="E123" s="13" t="s">
        <v>272</v>
      </c>
      <c r="F123" s="13" t="s">
        <v>273</v>
      </c>
      <c r="G123" s="3">
        <v>62.963000000000001</v>
      </c>
      <c r="H123" s="3">
        <f>IFERROR(INDEX('Tagging key'!D:D, MATCH(F123,'Tagging key'!C:C,0)),"")</f>
        <v>76.17</v>
      </c>
      <c r="I123" s="3">
        <f>IFERROR(INDEX('Tagging key'!E:E, MATCH(F123,'Tagging key'!C:C,0)),"")</f>
        <v>78.81</v>
      </c>
      <c r="J123" s="3">
        <f>IFERROR(INDEX('Tagging key'!F:F, MATCH(F123,'Tagging key'!C:C,0)),"")</f>
        <v>18.239999999999998</v>
      </c>
      <c r="K123" s="3">
        <v>57.323</v>
      </c>
      <c r="L123" s="3">
        <v>77.739999999999995</v>
      </c>
      <c r="M123" s="3">
        <v>80.38</v>
      </c>
      <c r="N123" s="3">
        <v>19.170000000000002</v>
      </c>
      <c r="O123" s="3"/>
      <c r="P123" s="22">
        <v>45879</v>
      </c>
      <c r="Q123" s="22">
        <v>45879</v>
      </c>
      <c r="R123" s="3"/>
    </row>
    <row r="124" spans="1:19" x14ac:dyDescent="0.25">
      <c r="A124" s="19">
        <v>4</v>
      </c>
      <c r="B124" s="19">
        <v>4</v>
      </c>
      <c r="C124" s="19" t="s">
        <v>248</v>
      </c>
      <c r="D124" s="19" t="s">
        <v>72</v>
      </c>
      <c r="E124" s="19" t="s">
        <v>274</v>
      </c>
      <c r="F124" s="19" t="s">
        <v>275</v>
      </c>
      <c r="G124" s="19">
        <v>67.468999999999994</v>
      </c>
      <c r="H124" s="19">
        <f>IFERROR(INDEX('Tagging key'!D:D, MATCH(F124,'Tagging key'!C:C,0)),"")</f>
        <v>76</v>
      </c>
      <c r="I124" s="19">
        <f>IFERROR(INDEX('Tagging key'!E:E, MATCH(F124,'Tagging key'!C:C,0)),"")</f>
        <v>82.5</v>
      </c>
      <c r="J124" s="19">
        <f>IFERROR(INDEX('Tagging key'!F:F, MATCH(F124,'Tagging key'!C:C,0)),"")</f>
        <v>21</v>
      </c>
      <c r="K124" s="19"/>
      <c r="L124" s="19"/>
      <c r="M124" s="19"/>
      <c r="N124" s="19"/>
      <c r="O124" s="19"/>
      <c r="P124" s="19"/>
      <c r="Q124" s="19"/>
      <c r="R124" s="19"/>
      <c r="S124" t="s">
        <v>276</v>
      </c>
    </row>
    <row r="125" spans="1:19" x14ac:dyDescent="0.25">
      <c r="A125" s="19">
        <v>4</v>
      </c>
      <c r="B125" s="19">
        <v>4</v>
      </c>
      <c r="C125" s="19" t="s">
        <v>248</v>
      </c>
      <c r="D125" s="19" t="s">
        <v>72</v>
      </c>
      <c r="E125" s="19" t="s">
        <v>277</v>
      </c>
      <c r="F125" s="19" t="s">
        <v>278</v>
      </c>
      <c r="G125" s="19">
        <v>53.317999999999998</v>
      </c>
      <c r="H125" s="19">
        <f>IFERROR(INDEX('Tagging key'!D:D, MATCH(F125,'Tagging key'!C:C,0)),"")</f>
        <v>74.73</v>
      </c>
      <c r="I125" s="19">
        <f>IFERROR(INDEX('Tagging key'!E:E, MATCH(F125,'Tagging key'!C:C,0)),"")</f>
        <v>76.36</v>
      </c>
      <c r="J125" s="19">
        <f>IFERROR(INDEX('Tagging key'!F:F, MATCH(F125,'Tagging key'!C:C,0)),"")</f>
        <v>20.87</v>
      </c>
      <c r="K125" s="19"/>
      <c r="L125" s="19"/>
      <c r="M125" s="19"/>
      <c r="N125" s="19"/>
      <c r="O125" s="19"/>
      <c r="P125" s="19"/>
      <c r="Q125" s="19"/>
      <c r="R125" s="19"/>
      <c r="S125" t="s">
        <v>276</v>
      </c>
    </row>
    <row r="126" spans="1:19" hidden="1" x14ac:dyDescent="0.25">
      <c r="A126" s="13">
        <v>4</v>
      </c>
      <c r="B126" s="13">
        <v>4</v>
      </c>
      <c r="C126" s="13" t="s">
        <v>248</v>
      </c>
      <c r="D126" s="13" t="s">
        <v>72</v>
      </c>
      <c r="E126" s="13" t="s">
        <v>279</v>
      </c>
      <c r="F126" s="13" t="s">
        <v>280</v>
      </c>
      <c r="G126" s="3">
        <v>58.521999999999998</v>
      </c>
      <c r="H126" s="3">
        <f>IFERROR(INDEX('Tagging key'!D:D, MATCH(F126,'Tagging key'!C:C,0)),"")</f>
        <v>79</v>
      </c>
      <c r="I126" s="3">
        <f>IFERROR(INDEX('Tagging key'!E:E, MATCH(F126,'Tagging key'!C:C,0)),"")</f>
        <v>79</v>
      </c>
      <c r="J126" s="3">
        <f>IFERROR(INDEX('Tagging key'!F:F, MATCH(F126,'Tagging key'!C:C,0)),"")</f>
        <v>19</v>
      </c>
      <c r="K126" s="3">
        <v>48.131</v>
      </c>
      <c r="L126" s="3">
        <v>79.02</v>
      </c>
      <c r="M126" s="3">
        <v>80.040000000000006</v>
      </c>
      <c r="N126" s="3">
        <v>20.68</v>
      </c>
      <c r="O126" s="3"/>
      <c r="P126" s="22">
        <v>45877</v>
      </c>
      <c r="Q126" s="22">
        <v>45877</v>
      </c>
      <c r="R126" s="3"/>
    </row>
    <row r="127" spans="1:19" hidden="1" x14ac:dyDescent="0.25">
      <c r="A127" s="14">
        <v>4</v>
      </c>
      <c r="B127" s="14">
        <v>5</v>
      </c>
      <c r="C127" s="14" t="s">
        <v>248</v>
      </c>
      <c r="D127" s="14" t="s">
        <v>72</v>
      </c>
      <c r="E127" s="14" t="s">
        <v>281</v>
      </c>
      <c r="F127" s="14" t="s">
        <v>282</v>
      </c>
      <c r="G127" s="3">
        <v>45.917999999999999</v>
      </c>
      <c r="H127" s="3">
        <f>IFERROR(INDEX('Tagging key'!D:D, MATCH(F127,'Tagging key'!C:C,0)),"")</f>
        <v>69.680000000000007</v>
      </c>
      <c r="I127" s="3">
        <f>IFERROR(INDEX('Tagging key'!E:E, MATCH(F127,'Tagging key'!C:C,0)),"")</f>
        <v>72.510000000000005</v>
      </c>
      <c r="J127" s="3">
        <f>IFERROR(INDEX('Tagging key'!F:F, MATCH(F127,'Tagging key'!C:C,0)),"")</f>
        <v>18.8</v>
      </c>
      <c r="K127" s="3">
        <v>39.421999999999997</v>
      </c>
      <c r="L127" s="3">
        <v>70.41</v>
      </c>
      <c r="M127" s="3">
        <v>74.12</v>
      </c>
      <c r="N127" s="3">
        <v>20.14</v>
      </c>
      <c r="O127" s="3"/>
      <c r="P127" s="26">
        <v>45886</v>
      </c>
      <c r="Q127" s="26">
        <v>45886</v>
      </c>
    </row>
    <row r="128" spans="1:19" hidden="1" x14ac:dyDescent="0.25">
      <c r="A128" s="14">
        <v>4</v>
      </c>
      <c r="B128" s="14">
        <v>5</v>
      </c>
      <c r="C128" s="14" t="s">
        <v>248</v>
      </c>
      <c r="D128" s="14" t="s">
        <v>72</v>
      </c>
      <c r="E128" s="14" t="s">
        <v>283</v>
      </c>
      <c r="F128" s="14" t="s">
        <v>284</v>
      </c>
      <c r="G128" s="3">
        <v>57.689</v>
      </c>
      <c r="H128" s="3">
        <f>IFERROR(INDEX('Tagging key'!D:D, MATCH(F128,'Tagging key'!C:C,0)),"")</f>
        <v>75.5</v>
      </c>
      <c r="I128" s="3">
        <f>IFERROR(INDEX('Tagging key'!E:E, MATCH(F128,'Tagging key'!C:C,0)),"")</f>
        <v>76</v>
      </c>
      <c r="J128" s="3">
        <f>IFERROR(INDEX('Tagging key'!F:F, MATCH(F128,'Tagging key'!C:C,0)),"")</f>
        <v>17</v>
      </c>
      <c r="K128" s="3">
        <v>51.753999999999998</v>
      </c>
      <c r="L128" s="3">
        <v>70.36</v>
      </c>
      <c r="M128" s="3">
        <v>82.22</v>
      </c>
      <c r="N128" s="3">
        <v>23</v>
      </c>
      <c r="O128" s="3"/>
      <c r="P128" s="22">
        <v>45877</v>
      </c>
      <c r="Q128" s="22">
        <v>45877</v>
      </c>
      <c r="R128" s="3"/>
    </row>
    <row r="129" spans="1:19" x14ac:dyDescent="0.25">
      <c r="A129" s="14">
        <v>4</v>
      </c>
      <c r="B129" s="14">
        <v>5</v>
      </c>
      <c r="C129" s="14" t="s">
        <v>248</v>
      </c>
      <c r="D129" s="14" t="s">
        <v>72</v>
      </c>
      <c r="E129" s="14" t="s">
        <v>285</v>
      </c>
      <c r="F129" s="14" t="s">
        <v>286</v>
      </c>
      <c r="G129" s="3">
        <v>54.76</v>
      </c>
      <c r="H129" s="3">
        <f>IFERROR(INDEX('Tagging key'!D:D, MATCH(F129,'Tagging key'!C:C,0)),"")</f>
        <v>73.5</v>
      </c>
      <c r="I129" s="3">
        <f>IFERROR(INDEX('Tagging key'!E:E, MATCH(F129,'Tagging key'!C:C,0)),"")</f>
        <v>78</v>
      </c>
      <c r="J129" s="3">
        <f>IFERROR(INDEX('Tagging key'!F:F, MATCH(F129,'Tagging key'!C:C,0)),"")</f>
        <v>15</v>
      </c>
      <c r="K129" s="3">
        <v>49.643000000000001</v>
      </c>
      <c r="L129" s="3">
        <v>75.06</v>
      </c>
      <c r="M129" s="3">
        <v>79.63</v>
      </c>
      <c r="N129" s="3">
        <v>18.45</v>
      </c>
      <c r="O129" s="3"/>
      <c r="P129" s="22">
        <v>45882</v>
      </c>
      <c r="Q129" s="22">
        <v>45882</v>
      </c>
      <c r="R129" s="3">
        <v>21.355</v>
      </c>
      <c r="S129" t="s">
        <v>287</v>
      </c>
    </row>
    <row r="130" spans="1:19" hidden="1" x14ac:dyDescent="0.25">
      <c r="A130" s="14">
        <v>4</v>
      </c>
      <c r="B130" s="14">
        <v>5</v>
      </c>
      <c r="C130" s="14" t="s">
        <v>248</v>
      </c>
      <c r="D130" s="14" t="s">
        <v>72</v>
      </c>
      <c r="E130" s="14" t="s">
        <v>288</v>
      </c>
      <c r="F130" s="14" t="s">
        <v>289</v>
      </c>
      <c r="G130" s="3">
        <v>43.148000000000003</v>
      </c>
      <c r="H130" s="3">
        <f>IFERROR(INDEX('Tagging key'!D:D, MATCH(F130,'Tagging key'!C:C,0)),"")</f>
        <v>68.5</v>
      </c>
      <c r="I130" s="3">
        <f>IFERROR(INDEX('Tagging key'!E:E, MATCH(F130,'Tagging key'!C:C,0)),"")</f>
        <v>69.5</v>
      </c>
      <c r="J130" s="3">
        <f>IFERROR(INDEX('Tagging key'!F:F, MATCH(F130,'Tagging key'!C:C,0)),"")</f>
        <v>21.5</v>
      </c>
      <c r="K130" s="3">
        <v>40.671999999999997</v>
      </c>
      <c r="L130" s="3">
        <v>68.819999999999993</v>
      </c>
      <c r="M130" s="3">
        <v>69.56</v>
      </c>
      <c r="N130" s="3">
        <v>22.02</v>
      </c>
      <c r="O130" s="3"/>
      <c r="P130" s="22">
        <v>45879</v>
      </c>
      <c r="Q130" s="22">
        <v>45879</v>
      </c>
      <c r="R130" s="3"/>
    </row>
    <row r="131" spans="1:19" hidden="1" x14ac:dyDescent="0.25">
      <c r="A131" s="13">
        <v>4</v>
      </c>
      <c r="B131" s="13">
        <v>6</v>
      </c>
      <c r="C131" s="13" t="s">
        <v>248</v>
      </c>
      <c r="D131" s="13" t="s">
        <v>72</v>
      </c>
      <c r="E131" s="13" t="s">
        <v>290</v>
      </c>
      <c r="F131" s="13" t="s">
        <v>291</v>
      </c>
      <c r="G131" s="3">
        <v>55.735999999999997</v>
      </c>
      <c r="H131" s="3">
        <f>IFERROR(INDEX('Tagging key'!D:D, MATCH(F131,'Tagging key'!C:C,0)),"")</f>
        <v>75</v>
      </c>
      <c r="I131" s="3">
        <f>IFERROR(INDEX('Tagging key'!E:E, MATCH(F131,'Tagging key'!C:C,0)),"")</f>
        <v>76</v>
      </c>
      <c r="J131" s="3">
        <f>IFERROR(INDEX('Tagging key'!F:F, MATCH(F131,'Tagging key'!C:C,0)),"")</f>
        <v>20</v>
      </c>
      <c r="K131" s="3">
        <v>52.33</v>
      </c>
      <c r="L131" s="3">
        <v>67.69</v>
      </c>
      <c r="M131" s="3">
        <v>78.849999999999994</v>
      </c>
      <c r="N131" s="3">
        <v>20.16</v>
      </c>
      <c r="O131" s="3"/>
      <c r="P131" s="22">
        <v>45879</v>
      </c>
      <c r="Q131" s="22">
        <v>45879</v>
      </c>
      <c r="R131" s="3"/>
    </row>
    <row r="132" spans="1:19" x14ac:dyDescent="0.25">
      <c r="A132" s="19">
        <v>4</v>
      </c>
      <c r="B132" s="19">
        <v>6</v>
      </c>
      <c r="C132" s="19" t="s">
        <v>248</v>
      </c>
      <c r="D132" s="19" t="s">
        <v>72</v>
      </c>
      <c r="E132" s="19" t="s">
        <v>292</v>
      </c>
      <c r="F132" s="19" t="s">
        <v>293</v>
      </c>
      <c r="G132" s="19">
        <v>42.317999999999998</v>
      </c>
      <c r="H132" s="19">
        <f>IFERROR(INDEX('Tagging key'!D:D, MATCH(F132,'Tagging key'!C:C,0)),"")</f>
        <v>67</v>
      </c>
      <c r="I132" s="19">
        <f>IFERROR(INDEX('Tagging key'!E:E, MATCH(F132,'Tagging key'!C:C,0)),"")</f>
        <v>68</v>
      </c>
      <c r="J132" s="19">
        <f>IFERROR(INDEX('Tagging key'!F:F, MATCH(F132,'Tagging key'!C:C,0)),"")</f>
        <v>20</v>
      </c>
      <c r="K132" s="19"/>
      <c r="L132" s="19"/>
      <c r="M132" s="19"/>
      <c r="N132" s="19"/>
      <c r="O132" s="19"/>
      <c r="P132" s="19"/>
      <c r="Q132" s="19"/>
      <c r="R132" s="19"/>
      <c r="S132" t="s">
        <v>276</v>
      </c>
    </row>
    <row r="133" spans="1:19" x14ac:dyDescent="0.25">
      <c r="A133" s="13">
        <v>4</v>
      </c>
      <c r="B133" s="13">
        <v>6</v>
      </c>
      <c r="C133" s="13" t="s">
        <v>248</v>
      </c>
      <c r="D133" s="13" t="s">
        <v>72</v>
      </c>
      <c r="E133" s="13" t="s">
        <v>294</v>
      </c>
      <c r="F133" s="13" t="s">
        <v>295</v>
      </c>
      <c r="G133" s="3">
        <v>61.975000000000001</v>
      </c>
      <c r="H133" s="3">
        <f>IFERROR(INDEX('Tagging key'!D:D, MATCH(F133,'Tagging key'!C:C,0)),"")</f>
        <v>71.5</v>
      </c>
      <c r="I133" s="3">
        <f>IFERROR(INDEX('Tagging key'!E:E, MATCH(F133,'Tagging key'!C:C,0)),"")</f>
        <v>76</v>
      </c>
      <c r="J133" s="3">
        <f>IFERROR(INDEX('Tagging key'!F:F, MATCH(F133,'Tagging key'!C:C,0)),"")</f>
        <v>21</v>
      </c>
      <c r="K133" s="3">
        <v>54.518000000000001</v>
      </c>
      <c r="L133" s="3">
        <v>74.25</v>
      </c>
      <c r="M133" s="3">
        <v>78.569999999999993</v>
      </c>
      <c r="N133" s="3">
        <v>22.47</v>
      </c>
      <c r="O133" s="3"/>
      <c r="P133" s="22">
        <v>45882</v>
      </c>
      <c r="Q133" s="22">
        <v>45882</v>
      </c>
      <c r="R133" s="3"/>
      <c r="S133" t="s">
        <v>296</v>
      </c>
    </row>
    <row r="134" spans="1:19" hidden="1" x14ac:dyDescent="0.25">
      <c r="A134" s="13">
        <v>4</v>
      </c>
      <c r="B134" s="13">
        <v>6</v>
      </c>
      <c r="C134" s="13" t="s">
        <v>248</v>
      </c>
      <c r="D134" s="13" t="s">
        <v>72</v>
      </c>
      <c r="E134" s="13" t="s">
        <v>297</v>
      </c>
      <c r="F134" s="13" t="s">
        <v>298</v>
      </c>
      <c r="G134" s="3">
        <v>49.31</v>
      </c>
      <c r="H134" s="3">
        <f>IFERROR(INDEX('Tagging key'!D:D, MATCH(F134,'Tagging key'!C:C,0)),"")</f>
        <v>72</v>
      </c>
      <c r="I134" s="3">
        <f>IFERROR(INDEX('Tagging key'!E:E, MATCH(F134,'Tagging key'!C:C,0)),"")</f>
        <v>74</v>
      </c>
      <c r="J134" s="3">
        <f>IFERROR(INDEX('Tagging key'!F:F, MATCH(F134,'Tagging key'!C:C,0)),"")</f>
        <v>17</v>
      </c>
      <c r="K134" s="3">
        <v>39.972000000000001</v>
      </c>
      <c r="L134" s="3">
        <v>73.010000000000005</v>
      </c>
      <c r="M134" s="3">
        <v>74.989999999999995</v>
      </c>
      <c r="N134" s="3">
        <v>19.690000000000001</v>
      </c>
      <c r="O134" s="3"/>
      <c r="P134" s="22">
        <v>45877</v>
      </c>
      <c r="Q134" s="22">
        <v>45877</v>
      </c>
      <c r="R134" s="3"/>
    </row>
    <row r="135" spans="1:19" hidden="1" x14ac:dyDescent="0.25">
      <c r="A135" s="8">
        <v>4</v>
      </c>
      <c r="B135" s="8">
        <v>7</v>
      </c>
      <c r="C135" s="8" t="s">
        <v>248</v>
      </c>
      <c r="D135" s="8" t="s">
        <v>16</v>
      </c>
      <c r="E135" s="8" t="s">
        <v>156</v>
      </c>
      <c r="F135" s="8" t="s">
        <v>299</v>
      </c>
      <c r="G135" s="3">
        <v>37.820999999999998</v>
      </c>
      <c r="H135" s="3">
        <f>IFERROR(INDEX('Tagging key'!D:D, MATCH(F135,'Tagging key'!C:C,0)),"")</f>
        <v>68.42</v>
      </c>
      <c r="I135" s="3">
        <f>IFERROR(INDEX('Tagging key'!E:E, MATCH(F135,'Tagging key'!C:C,0)),"")</f>
        <v>48.96</v>
      </c>
      <c r="J135" s="3">
        <f>IFERROR(INDEX('Tagging key'!F:F, MATCH(F135,'Tagging key'!C:C,0)),"")</f>
        <v>15.76</v>
      </c>
      <c r="K135" s="3">
        <v>37.756999999999998</v>
      </c>
      <c r="L135" s="3">
        <v>70.16</v>
      </c>
      <c r="M135" s="3">
        <v>44.36</v>
      </c>
      <c r="N135" s="3">
        <v>23.43</v>
      </c>
      <c r="O135" s="3"/>
      <c r="P135" s="22">
        <v>45879</v>
      </c>
      <c r="Q135" s="22">
        <v>45879</v>
      </c>
      <c r="R135" s="3"/>
    </row>
    <row r="136" spans="1:19" x14ac:dyDescent="0.25">
      <c r="A136" s="19">
        <v>4</v>
      </c>
      <c r="B136" s="19">
        <v>7</v>
      </c>
      <c r="C136" s="19" t="s">
        <v>248</v>
      </c>
      <c r="D136" s="19" t="s">
        <v>16</v>
      </c>
      <c r="E136" s="19" t="s">
        <v>300</v>
      </c>
      <c r="F136" s="19" t="s">
        <v>301</v>
      </c>
      <c r="G136" s="19">
        <v>37.433999999999997</v>
      </c>
      <c r="H136" s="19">
        <f>IFERROR(INDEX('Tagging key'!D:D, MATCH(F136,'Tagging key'!C:C,0)),"")</f>
        <v>74.64</v>
      </c>
      <c r="I136" s="19">
        <f>IFERROR(INDEX('Tagging key'!E:E, MATCH(F136,'Tagging key'!C:C,0)),"")</f>
        <v>50.03</v>
      </c>
      <c r="J136" s="19">
        <f>IFERROR(INDEX('Tagging key'!F:F, MATCH(F136,'Tagging key'!C:C,0)),"")</f>
        <v>14.57</v>
      </c>
      <c r="K136" s="19">
        <v>36.78</v>
      </c>
      <c r="L136" s="19">
        <v>74.569999999999993</v>
      </c>
      <c r="M136" s="19">
        <v>44.27</v>
      </c>
      <c r="N136" s="19">
        <v>22.44</v>
      </c>
      <c r="O136" s="19"/>
      <c r="P136" s="19"/>
      <c r="Q136" s="19"/>
      <c r="R136" s="19"/>
      <c r="S136" t="s">
        <v>302</v>
      </c>
    </row>
    <row r="137" spans="1:19" hidden="1" x14ac:dyDescent="0.25">
      <c r="A137" s="8">
        <v>4</v>
      </c>
      <c r="B137" s="8">
        <v>7</v>
      </c>
      <c r="C137" s="8" t="s">
        <v>248</v>
      </c>
      <c r="D137" s="8" t="s">
        <v>16</v>
      </c>
      <c r="E137" s="8" t="s">
        <v>303</v>
      </c>
      <c r="F137" s="8" t="s">
        <v>304</v>
      </c>
      <c r="G137" s="3">
        <v>37.4</v>
      </c>
      <c r="H137" s="3">
        <f>IFERROR(INDEX('Tagging key'!D:D, MATCH(F137,'Tagging key'!C:C,0)),"")</f>
        <v>78.89</v>
      </c>
      <c r="I137" s="3">
        <f>IFERROR(INDEX('Tagging key'!E:E, MATCH(F137,'Tagging key'!C:C,0)),"")</f>
        <v>53.63</v>
      </c>
      <c r="J137" s="3">
        <f>IFERROR(INDEX('Tagging key'!F:F, MATCH(F137,'Tagging key'!C:C,0)),"")</f>
        <v>16.63</v>
      </c>
      <c r="K137" s="3">
        <v>37.476999999999997</v>
      </c>
      <c r="L137" s="3">
        <v>78.13</v>
      </c>
      <c r="M137" s="3">
        <v>49.85</v>
      </c>
      <c r="N137" s="3">
        <v>16.12</v>
      </c>
      <c r="O137" s="3"/>
      <c r="P137" s="22">
        <v>45877</v>
      </c>
      <c r="Q137" s="22">
        <v>45877</v>
      </c>
      <c r="R137" s="3"/>
    </row>
    <row r="138" spans="1:19" x14ac:dyDescent="0.25">
      <c r="A138" s="8">
        <v>4</v>
      </c>
      <c r="B138" s="8">
        <v>7</v>
      </c>
      <c r="C138" s="8" t="s">
        <v>248</v>
      </c>
      <c r="D138" s="8" t="s">
        <v>16</v>
      </c>
      <c r="E138" s="8" t="s">
        <v>305</v>
      </c>
      <c r="F138" s="8" t="s">
        <v>306</v>
      </c>
      <c r="G138" s="3">
        <v>30.882999999999999</v>
      </c>
      <c r="H138" s="3">
        <f>IFERROR(INDEX('Tagging key'!D:D, MATCH(F138,'Tagging key'!C:C,0)),"")</f>
        <v>67.86</v>
      </c>
      <c r="I138" s="3">
        <f>IFERROR(INDEX('Tagging key'!E:E, MATCH(F138,'Tagging key'!C:C,0)),"")</f>
        <v>44.72</v>
      </c>
      <c r="J138" s="3">
        <f>IFERROR(INDEX('Tagging key'!F:F, MATCH(F138,'Tagging key'!C:C,0)),"")</f>
        <v>18.190000000000001</v>
      </c>
      <c r="K138" s="3">
        <v>30.277000000000001</v>
      </c>
      <c r="L138" s="3">
        <v>69.010000000000005</v>
      </c>
      <c r="M138" s="3">
        <v>43.89</v>
      </c>
      <c r="N138" s="3">
        <v>15.66</v>
      </c>
      <c r="O138" s="3"/>
      <c r="P138" s="22">
        <v>45882</v>
      </c>
      <c r="Q138" s="22">
        <v>45882</v>
      </c>
      <c r="R138" s="3">
        <v>18.268999999999998</v>
      </c>
    </row>
    <row r="139" spans="1:19" x14ac:dyDescent="0.25">
      <c r="A139" s="9">
        <v>4</v>
      </c>
      <c r="B139" s="9">
        <v>8</v>
      </c>
      <c r="C139" s="9" t="s">
        <v>248</v>
      </c>
      <c r="D139" s="9" t="s">
        <v>16</v>
      </c>
      <c r="E139" s="9" t="s">
        <v>307</v>
      </c>
      <c r="F139" s="9" t="s">
        <v>308</v>
      </c>
      <c r="G139" s="3">
        <v>32.183</v>
      </c>
      <c r="H139" s="3">
        <f>IFERROR(INDEX('Tagging key'!D:D, MATCH(F139,'Tagging key'!C:C,0)),"")</f>
        <v>70.13</v>
      </c>
      <c r="I139" s="3">
        <f>IFERROR(INDEX('Tagging key'!E:E, MATCH(F139,'Tagging key'!C:C,0)),"")</f>
        <v>51.32</v>
      </c>
      <c r="J139" s="3">
        <f>IFERROR(INDEX('Tagging key'!F:F, MATCH(F139,'Tagging key'!C:C,0)),"")</f>
        <v>16.82</v>
      </c>
      <c r="K139" s="3">
        <v>31.948</v>
      </c>
      <c r="L139" s="3">
        <v>71.2</v>
      </c>
      <c r="M139" s="3">
        <v>49.25</v>
      </c>
      <c r="N139" s="3">
        <v>23.96</v>
      </c>
      <c r="O139" s="3"/>
      <c r="P139" s="22">
        <v>45882</v>
      </c>
      <c r="Q139" s="22">
        <v>45882</v>
      </c>
      <c r="R139" s="3">
        <v>18.79</v>
      </c>
    </row>
    <row r="140" spans="1:19" hidden="1" x14ac:dyDescent="0.25">
      <c r="A140" s="9">
        <v>4</v>
      </c>
      <c r="B140" s="9">
        <v>8</v>
      </c>
      <c r="C140" s="9" t="s">
        <v>248</v>
      </c>
      <c r="D140" s="9" t="s">
        <v>16</v>
      </c>
      <c r="E140" s="9" t="s">
        <v>309</v>
      </c>
      <c r="F140" s="9" t="s">
        <v>310</v>
      </c>
      <c r="G140" s="3">
        <v>30.065999999999999</v>
      </c>
      <c r="H140" s="3">
        <v>68.95</v>
      </c>
      <c r="I140" s="3">
        <v>48.08</v>
      </c>
      <c r="J140" s="3">
        <v>16.989999999999998</v>
      </c>
      <c r="K140" s="3">
        <v>23.975999999999999</v>
      </c>
      <c r="L140" s="3">
        <v>69.45</v>
      </c>
      <c r="M140" s="3">
        <v>42.33</v>
      </c>
      <c r="N140" s="3">
        <v>19.579999999999998</v>
      </c>
      <c r="O140" s="3"/>
      <c r="P140" s="22">
        <v>45877</v>
      </c>
      <c r="Q140" s="22">
        <v>45877</v>
      </c>
      <c r="R140" s="3"/>
      <c r="S140" t="s">
        <v>311</v>
      </c>
    </row>
    <row r="141" spans="1:19" hidden="1" x14ac:dyDescent="0.25">
      <c r="A141" s="9">
        <v>4</v>
      </c>
      <c r="B141" s="9">
        <v>8</v>
      </c>
      <c r="C141" s="9" t="s">
        <v>248</v>
      </c>
      <c r="D141" s="9" t="s">
        <v>16</v>
      </c>
      <c r="E141" s="9" t="s">
        <v>312</v>
      </c>
      <c r="F141" s="9" t="s">
        <v>313</v>
      </c>
      <c r="G141" s="3">
        <v>32.683</v>
      </c>
      <c r="H141" s="3">
        <f>IFERROR(INDEX('Tagging key'!D:D, MATCH(F141,'Tagging key'!C:C,0)),"")</f>
        <v>63.94</v>
      </c>
      <c r="I141" s="3">
        <f>IFERROR(INDEX('Tagging key'!E:E, MATCH(F141,'Tagging key'!C:C,0)),"")</f>
        <v>49.26</v>
      </c>
      <c r="J141" s="3">
        <f>IFERROR(INDEX('Tagging key'!F:F, MATCH(F141,'Tagging key'!C:C,0)),"")</f>
        <v>17.100000000000001</v>
      </c>
      <c r="K141" s="3">
        <v>32.335999999999999</v>
      </c>
      <c r="L141" s="3">
        <v>64.81</v>
      </c>
      <c r="M141" s="3">
        <v>49.15</v>
      </c>
      <c r="N141" s="3">
        <v>19.170000000000002</v>
      </c>
      <c r="O141" s="3"/>
      <c r="P141" s="22">
        <v>45879</v>
      </c>
      <c r="Q141" s="22">
        <v>45879</v>
      </c>
      <c r="R141" s="3"/>
    </row>
    <row r="142" spans="1:19" x14ac:dyDescent="0.25">
      <c r="A142" s="19">
        <v>4</v>
      </c>
      <c r="B142" s="19">
        <v>8</v>
      </c>
      <c r="C142" s="19" t="s">
        <v>248</v>
      </c>
      <c r="D142" s="19" t="s">
        <v>16</v>
      </c>
      <c r="E142" s="19" t="s">
        <v>314</v>
      </c>
      <c r="F142" s="19" t="s">
        <v>315</v>
      </c>
      <c r="G142" s="19">
        <v>29.574999999999999</v>
      </c>
      <c r="H142" s="19">
        <f>IFERROR(INDEX('Tagging key'!D:D, MATCH(F142,'Tagging key'!C:C,0)),"")</f>
        <v>68</v>
      </c>
      <c r="I142" s="19">
        <f>IFERROR(INDEX('Tagging key'!E:E, MATCH(F142,'Tagging key'!C:C,0)),"")</f>
        <v>49.71</v>
      </c>
      <c r="J142" s="19">
        <f>IFERROR(INDEX('Tagging key'!F:F, MATCH(F142,'Tagging key'!C:C,0)),"")</f>
        <v>17.420000000000002</v>
      </c>
      <c r="K142" s="19"/>
      <c r="L142" s="19"/>
      <c r="M142" s="19"/>
      <c r="N142" s="19"/>
      <c r="O142" s="19"/>
      <c r="P142" s="19"/>
      <c r="Q142" s="19"/>
      <c r="R142" s="19"/>
      <c r="S142" t="s">
        <v>316</v>
      </c>
    </row>
    <row r="143" spans="1:19" hidden="1" x14ac:dyDescent="0.25">
      <c r="A143" s="8">
        <v>4</v>
      </c>
      <c r="B143" s="8">
        <v>9</v>
      </c>
      <c r="C143" s="8" t="s">
        <v>248</v>
      </c>
      <c r="D143" s="8" t="s">
        <v>16</v>
      </c>
      <c r="E143" s="8" t="s">
        <v>268</v>
      </c>
      <c r="F143" s="8" t="s">
        <v>317</v>
      </c>
      <c r="G143" s="3">
        <v>32.613</v>
      </c>
      <c r="H143" s="3">
        <f>IFERROR(INDEX('Tagging key'!D:D, MATCH(F143,'Tagging key'!C:C,0)),"")</f>
        <v>73.680000000000007</v>
      </c>
      <c r="I143" s="3">
        <f>IFERROR(INDEX('Tagging key'!E:E, MATCH(F143,'Tagging key'!C:C,0)),"")</f>
        <v>52.58</v>
      </c>
      <c r="J143" s="3">
        <f>IFERROR(INDEX('Tagging key'!F:F, MATCH(F143,'Tagging key'!C:C,0)),"")</f>
        <v>15.91</v>
      </c>
      <c r="K143" s="3">
        <v>31.946000000000002</v>
      </c>
      <c r="L143" s="3">
        <v>73.62</v>
      </c>
      <c r="M143" s="3">
        <v>52.37</v>
      </c>
      <c r="N143" s="3">
        <v>15.52</v>
      </c>
      <c r="O143" s="3"/>
      <c r="P143" s="26">
        <v>45886</v>
      </c>
      <c r="Q143" s="26">
        <v>45886</v>
      </c>
      <c r="R143" s="3">
        <v>19.827999999999999</v>
      </c>
    </row>
    <row r="144" spans="1:19" x14ac:dyDescent="0.25">
      <c r="A144" s="8">
        <v>4</v>
      </c>
      <c r="B144" s="8">
        <v>9</v>
      </c>
      <c r="C144" s="8" t="s">
        <v>248</v>
      </c>
      <c r="D144" s="8" t="s">
        <v>16</v>
      </c>
      <c r="E144" s="8" t="s">
        <v>318</v>
      </c>
      <c r="F144" s="8" t="s">
        <v>319</v>
      </c>
      <c r="G144" s="3">
        <v>26.513000000000002</v>
      </c>
      <c r="H144" s="3">
        <f>IFERROR(INDEX('Tagging key'!D:D, MATCH(F144,'Tagging key'!C:C,0)),"")</f>
        <v>78.69</v>
      </c>
      <c r="I144" s="3">
        <f>IFERROR(INDEX('Tagging key'!E:E, MATCH(F144,'Tagging key'!C:C,0)),"")</f>
        <v>36.97</v>
      </c>
      <c r="J144" s="3">
        <f>IFERROR(INDEX('Tagging key'!F:F, MATCH(F144,'Tagging key'!C:C,0)),"")</f>
        <v>12.58</v>
      </c>
      <c r="K144" s="3">
        <v>26.242999999999999</v>
      </c>
      <c r="L144" s="3">
        <v>79.02</v>
      </c>
      <c r="M144" s="3">
        <v>36.67</v>
      </c>
      <c r="N144" s="3">
        <v>17.66</v>
      </c>
      <c r="O144" s="3"/>
      <c r="P144" s="22">
        <v>45882</v>
      </c>
      <c r="Q144" s="22">
        <v>45882</v>
      </c>
      <c r="R144" s="3">
        <v>17.052</v>
      </c>
    </row>
    <row r="145" spans="1:19" hidden="1" x14ac:dyDescent="0.25">
      <c r="A145" s="8">
        <v>4</v>
      </c>
      <c r="B145" s="8">
        <v>9</v>
      </c>
      <c r="C145" s="8" t="s">
        <v>248</v>
      </c>
      <c r="D145" s="8" t="s">
        <v>16</v>
      </c>
      <c r="E145" s="8" t="s">
        <v>320</v>
      </c>
      <c r="F145" s="8" t="s">
        <v>321</v>
      </c>
      <c r="G145" s="3">
        <v>39.499000000000002</v>
      </c>
      <c r="H145" s="3">
        <f>IFERROR(INDEX('Tagging key'!D:D, MATCH(F145,'Tagging key'!C:C,0)),"")</f>
        <v>71.150000000000006</v>
      </c>
      <c r="I145" s="3">
        <f>IFERROR(INDEX('Tagging key'!E:E, MATCH(F145,'Tagging key'!C:C,0)),"")</f>
        <v>51.32</v>
      </c>
      <c r="J145" s="3">
        <f>IFERROR(INDEX('Tagging key'!F:F, MATCH(F145,'Tagging key'!C:C,0)),"")</f>
        <v>16.98</v>
      </c>
      <c r="K145" s="3">
        <v>39.325000000000003</v>
      </c>
      <c r="L145" s="3">
        <v>70.03</v>
      </c>
      <c r="M145" s="3">
        <v>48.36</v>
      </c>
      <c r="N145" s="3">
        <v>17.170000000000002</v>
      </c>
      <c r="O145" s="3"/>
      <c r="P145" s="22">
        <v>45877</v>
      </c>
      <c r="Q145" s="22">
        <v>45877</v>
      </c>
      <c r="R145" s="3"/>
    </row>
    <row r="146" spans="1:19" hidden="1" x14ac:dyDescent="0.25">
      <c r="A146" s="8">
        <v>4</v>
      </c>
      <c r="B146" s="8">
        <v>9</v>
      </c>
      <c r="C146" s="8" t="s">
        <v>248</v>
      </c>
      <c r="D146" s="8" t="s">
        <v>16</v>
      </c>
      <c r="E146" s="8" t="s">
        <v>322</v>
      </c>
      <c r="F146" s="8" t="s">
        <v>323</v>
      </c>
      <c r="G146" s="3">
        <v>44.271000000000001</v>
      </c>
      <c r="H146" s="3">
        <f>IFERROR(INDEX('Tagging key'!D:D, MATCH(F146,'Tagging key'!C:C,0)),"")</f>
        <v>68.14</v>
      </c>
      <c r="I146" s="3">
        <f>IFERROR(INDEX('Tagging key'!E:E, MATCH(F146,'Tagging key'!C:C,0)),"")</f>
        <v>54.19</v>
      </c>
      <c r="J146" s="3">
        <f>IFERROR(INDEX('Tagging key'!F:F, MATCH(F146,'Tagging key'!C:C,0)),"")</f>
        <v>20.58</v>
      </c>
      <c r="K146" s="3">
        <v>43.392000000000003</v>
      </c>
      <c r="L146" s="3">
        <v>69.88</v>
      </c>
      <c r="M146" s="3">
        <v>49.69</v>
      </c>
      <c r="N146" s="3">
        <v>22.52</v>
      </c>
      <c r="O146" s="3"/>
      <c r="P146" s="22">
        <v>45879</v>
      </c>
      <c r="Q146" s="22">
        <v>45879</v>
      </c>
      <c r="R146" s="3"/>
    </row>
    <row r="147" spans="1:19" hidden="1" x14ac:dyDescent="0.25">
      <c r="A147" s="13">
        <v>5</v>
      </c>
      <c r="B147" s="13">
        <v>1</v>
      </c>
      <c r="C147" s="13" t="s">
        <v>176</v>
      </c>
      <c r="D147" s="13" t="s">
        <v>72</v>
      </c>
      <c r="E147" s="13" t="s">
        <v>324</v>
      </c>
      <c r="F147" s="13" t="s">
        <v>325</v>
      </c>
      <c r="G147" s="3">
        <v>43.755000000000003</v>
      </c>
      <c r="H147" s="3">
        <f>IFERROR(INDEX('Tagging key'!D:D, MATCH(F147,'Tagging key'!C:C,0)),"")</f>
        <v>68</v>
      </c>
      <c r="I147" s="3">
        <f>IFERROR(INDEX('Tagging key'!E:E, MATCH(F147,'Tagging key'!C:C,0)),"")</f>
        <v>70</v>
      </c>
      <c r="J147" s="3">
        <f>IFERROR(INDEX('Tagging key'!F:F, MATCH(F147,'Tagging key'!C:C,0)),"")</f>
        <v>18</v>
      </c>
      <c r="K147" s="3">
        <v>43.707999999999998</v>
      </c>
      <c r="L147" s="3">
        <v>70.39</v>
      </c>
      <c r="M147" s="3">
        <v>71.28</v>
      </c>
      <c r="N147" s="3">
        <v>18.93</v>
      </c>
      <c r="O147" s="3"/>
      <c r="P147" s="22">
        <v>45879</v>
      </c>
      <c r="Q147" s="22">
        <v>45879</v>
      </c>
      <c r="R147" s="3"/>
    </row>
    <row r="148" spans="1:19" hidden="1" x14ac:dyDescent="0.25">
      <c r="A148" s="13">
        <v>5</v>
      </c>
      <c r="B148" s="13">
        <v>1</v>
      </c>
      <c r="C148" s="13" t="s">
        <v>176</v>
      </c>
      <c r="D148" s="13" t="s">
        <v>72</v>
      </c>
      <c r="E148" s="13" t="s">
        <v>326</v>
      </c>
      <c r="F148" s="13" t="s">
        <v>327</v>
      </c>
      <c r="G148" s="3">
        <v>63.424999999999997</v>
      </c>
      <c r="H148" s="3">
        <f>IFERROR(INDEX('Tagging key'!D:D, MATCH(F148,'Tagging key'!C:C,0)),"")</f>
        <v>75</v>
      </c>
      <c r="I148" s="3">
        <f>IFERROR(INDEX('Tagging key'!E:E, MATCH(F148,'Tagging key'!C:C,0)),"")</f>
        <v>80</v>
      </c>
      <c r="J148" s="3">
        <f>IFERROR(INDEX('Tagging key'!F:F, MATCH(F148,'Tagging key'!C:C,0)),"")</f>
        <v>22</v>
      </c>
      <c r="K148" s="3">
        <v>58.097999999999999</v>
      </c>
      <c r="L148" s="3">
        <v>76.23</v>
      </c>
      <c r="M148" s="3">
        <v>80.8</v>
      </c>
      <c r="N148" s="3">
        <v>22.99</v>
      </c>
      <c r="O148" s="3"/>
      <c r="P148" s="22">
        <v>45877</v>
      </c>
      <c r="Q148" s="22">
        <v>45877</v>
      </c>
      <c r="R148" s="3"/>
    </row>
    <row r="149" spans="1:19" x14ac:dyDescent="0.25">
      <c r="A149" s="13">
        <v>5</v>
      </c>
      <c r="B149" s="13">
        <v>1</v>
      </c>
      <c r="C149" s="13" t="s">
        <v>176</v>
      </c>
      <c r="D149" s="13" t="s">
        <v>72</v>
      </c>
      <c r="E149" s="13" t="s">
        <v>328</v>
      </c>
      <c r="F149" s="13" t="s">
        <v>329</v>
      </c>
      <c r="G149" s="3">
        <v>59.975000000000001</v>
      </c>
      <c r="H149" s="3">
        <f>IFERROR(INDEX('Tagging key'!D:D, MATCH(F149,'Tagging key'!C:C,0)),"")</f>
        <v>78</v>
      </c>
      <c r="I149" s="3">
        <f>IFERROR(INDEX('Tagging key'!E:E, MATCH(F149,'Tagging key'!C:C,0)),"")</f>
        <v>81</v>
      </c>
      <c r="J149" s="3">
        <f>IFERROR(INDEX('Tagging key'!F:F, MATCH(F149,'Tagging key'!C:C,0)),"")</f>
        <v>21</v>
      </c>
      <c r="K149" s="3">
        <v>58.625999999999998</v>
      </c>
      <c r="L149" s="3">
        <v>79.16</v>
      </c>
      <c r="M149" s="3">
        <v>80.98</v>
      </c>
      <c r="N149" s="3">
        <v>21.69</v>
      </c>
      <c r="O149" s="3"/>
      <c r="P149" s="22">
        <v>45882</v>
      </c>
      <c r="Q149" s="22">
        <v>45882</v>
      </c>
      <c r="R149" s="3">
        <v>21.254999999999999</v>
      </c>
    </row>
    <row r="150" spans="1:19" hidden="1" x14ac:dyDescent="0.25">
      <c r="A150" s="13">
        <v>5</v>
      </c>
      <c r="B150" s="13">
        <v>1</v>
      </c>
      <c r="C150" s="13" t="s">
        <v>176</v>
      </c>
      <c r="D150" s="13" t="s">
        <v>72</v>
      </c>
      <c r="E150" s="13" t="s">
        <v>330</v>
      </c>
      <c r="F150" s="13" t="s">
        <v>331</v>
      </c>
      <c r="G150" s="3">
        <v>69.343999999999994</v>
      </c>
      <c r="H150" s="3">
        <f>IFERROR(INDEX('Tagging key'!D:D, MATCH(F150,'Tagging key'!C:C,0)),"")</f>
        <v>76</v>
      </c>
      <c r="I150" s="3">
        <f>IFERROR(INDEX('Tagging key'!E:E, MATCH(F150,'Tagging key'!C:C,0)),"")</f>
        <v>86</v>
      </c>
      <c r="J150" s="3">
        <f>IFERROR(INDEX('Tagging key'!F:F, MATCH(F150,'Tagging key'!C:C,0)),"")</f>
        <v>21</v>
      </c>
      <c r="K150" s="3">
        <v>65.557000000000002</v>
      </c>
      <c r="L150" s="3">
        <v>77.260000000000005</v>
      </c>
      <c r="M150" s="3">
        <v>86.93</v>
      </c>
      <c r="N150" s="3">
        <v>24.16</v>
      </c>
      <c r="O150" s="3"/>
      <c r="P150" s="26">
        <v>45886</v>
      </c>
      <c r="Q150" s="26">
        <v>45886</v>
      </c>
      <c r="R150" s="3">
        <v>27.847000000000001</v>
      </c>
    </row>
    <row r="151" spans="1:19" hidden="1" x14ac:dyDescent="0.25">
      <c r="A151" s="14">
        <v>5</v>
      </c>
      <c r="B151" s="14">
        <v>2</v>
      </c>
      <c r="C151" s="14" t="s">
        <v>176</v>
      </c>
      <c r="D151" s="14" t="s">
        <v>72</v>
      </c>
      <c r="E151" s="14" t="s">
        <v>332</v>
      </c>
      <c r="F151" s="14" t="s">
        <v>333</v>
      </c>
      <c r="G151" s="3">
        <v>42.674999999999997</v>
      </c>
      <c r="H151" s="3">
        <f>IFERROR(INDEX('Tagging key'!D:D, MATCH(F151,'Tagging key'!C:C,0)),"")</f>
        <v>68</v>
      </c>
      <c r="I151" s="3">
        <f>IFERROR(INDEX('Tagging key'!E:E, MATCH(F151,'Tagging key'!C:C,0)),"")</f>
        <v>72</v>
      </c>
      <c r="J151" s="3">
        <f>IFERROR(INDEX('Tagging key'!F:F, MATCH(F151,'Tagging key'!C:C,0)),"")</f>
        <v>12</v>
      </c>
      <c r="K151" s="3">
        <v>41.712000000000003</v>
      </c>
      <c r="L151" s="3">
        <v>70.37</v>
      </c>
      <c r="M151" s="3">
        <v>73.75</v>
      </c>
      <c r="N151" s="3">
        <v>19.2</v>
      </c>
      <c r="O151" s="3"/>
      <c r="P151" s="22">
        <v>45877</v>
      </c>
      <c r="Q151" s="22">
        <v>45877</v>
      </c>
      <c r="R151" s="3"/>
    </row>
    <row r="152" spans="1:19" hidden="1" x14ac:dyDescent="0.25">
      <c r="A152" s="14">
        <v>5</v>
      </c>
      <c r="B152" s="14">
        <v>2</v>
      </c>
      <c r="C152" s="14" t="s">
        <v>176</v>
      </c>
      <c r="D152" s="14" t="s">
        <v>72</v>
      </c>
      <c r="E152" s="14" t="s">
        <v>334</v>
      </c>
      <c r="F152" s="14" t="s">
        <v>335</v>
      </c>
      <c r="G152" s="3">
        <v>53.831000000000003</v>
      </c>
      <c r="H152" s="3">
        <f>IFERROR(INDEX('Tagging key'!D:D, MATCH(F152,'Tagging key'!C:C,0)),"")</f>
        <v>71</v>
      </c>
      <c r="I152" s="3">
        <f>IFERROR(INDEX('Tagging key'!E:E, MATCH(F152,'Tagging key'!C:C,0)),"")</f>
        <v>76.5</v>
      </c>
      <c r="J152" s="3">
        <f>IFERROR(INDEX('Tagging key'!F:F, MATCH(F152,'Tagging key'!C:C,0)),"")</f>
        <v>20</v>
      </c>
      <c r="K152" s="3">
        <v>51.814999999999998</v>
      </c>
      <c r="L152" s="3">
        <v>72.22</v>
      </c>
      <c r="M152" s="3">
        <v>78.599999999999994</v>
      </c>
      <c r="N152" s="3">
        <v>23.68</v>
      </c>
      <c r="O152" s="3"/>
      <c r="P152" s="26">
        <v>45886</v>
      </c>
      <c r="Q152" s="26">
        <v>45886</v>
      </c>
      <c r="R152" s="3">
        <v>20.853999999999999</v>
      </c>
    </row>
    <row r="153" spans="1:19" x14ac:dyDescent="0.25">
      <c r="A153" s="14">
        <v>5</v>
      </c>
      <c r="B153" s="14">
        <v>2</v>
      </c>
      <c r="C153" s="14" t="s">
        <v>176</v>
      </c>
      <c r="D153" s="14" t="s">
        <v>72</v>
      </c>
      <c r="E153" s="14" t="s">
        <v>336</v>
      </c>
      <c r="F153" s="14" t="s">
        <v>337</v>
      </c>
      <c r="G153" s="3">
        <v>59.359000000000002</v>
      </c>
      <c r="H153" s="3">
        <f>IFERROR(INDEX('Tagging key'!D:D, MATCH(F153,'Tagging key'!C:C,0)),"")</f>
        <v>76.2</v>
      </c>
      <c r="I153" s="3">
        <f>IFERROR(INDEX('Tagging key'!E:E, MATCH(F153,'Tagging key'!C:C,0)),"")</f>
        <v>76.22</v>
      </c>
      <c r="J153" s="3">
        <f>IFERROR(INDEX('Tagging key'!F:F, MATCH(F153,'Tagging key'!C:C,0)),"")</f>
        <v>18.059999999999999</v>
      </c>
      <c r="K153" s="3">
        <v>55.965000000000003</v>
      </c>
      <c r="L153" s="3">
        <v>77.12</v>
      </c>
      <c r="M153" s="3">
        <v>78.459999999999994</v>
      </c>
      <c r="N153" s="3">
        <v>18.87</v>
      </c>
      <c r="O153" s="3"/>
      <c r="P153" s="22">
        <v>45882</v>
      </c>
      <c r="Q153" s="22">
        <v>45882</v>
      </c>
      <c r="R153" s="3">
        <v>29.965</v>
      </c>
    </row>
    <row r="154" spans="1:19" hidden="1" x14ac:dyDescent="0.25">
      <c r="A154" s="14">
        <v>5</v>
      </c>
      <c r="B154" s="14">
        <v>2</v>
      </c>
      <c r="C154" s="14" t="s">
        <v>176</v>
      </c>
      <c r="D154" s="14" t="s">
        <v>72</v>
      </c>
      <c r="E154" s="14" t="s">
        <v>338</v>
      </c>
      <c r="F154" s="14" t="s">
        <v>339</v>
      </c>
      <c r="G154" s="3">
        <v>42.575000000000003</v>
      </c>
      <c r="H154" s="3">
        <f>IFERROR(INDEX('Tagging key'!D:D, MATCH(F154,'Tagging key'!C:C,0)),"")</f>
        <v>71</v>
      </c>
      <c r="I154" s="3">
        <f>IFERROR(INDEX('Tagging key'!E:E, MATCH(F154,'Tagging key'!C:C,0)),"")</f>
        <v>74</v>
      </c>
      <c r="J154" s="3">
        <f>IFERROR(INDEX('Tagging key'!F:F, MATCH(F154,'Tagging key'!C:C,0)),"")</f>
        <v>16</v>
      </c>
      <c r="K154" s="3">
        <v>40.912999999999997</v>
      </c>
      <c r="L154" s="3">
        <v>73.06</v>
      </c>
      <c r="M154" s="3">
        <v>75.33</v>
      </c>
      <c r="N154" s="3">
        <v>18.52</v>
      </c>
      <c r="O154" s="3"/>
      <c r="P154" s="22">
        <v>45879</v>
      </c>
      <c r="Q154" s="22">
        <v>45879</v>
      </c>
      <c r="R154" s="3"/>
    </row>
    <row r="155" spans="1:19" x14ac:dyDescent="0.25">
      <c r="A155" s="13">
        <v>5</v>
      </c>
      <c r="B155" s="13">
        <v>3</v>
      </c>
      <c r="C155" s="13" t="s">
        <v>176</v>
      </c>
      <c r="D155" s="13" t="s">
        <v>72</v>
      </c>
      <c r="E155" s="13" t="s">
        <v>340</v>
      </c>
      <c r="F155" s="13" t="s">
        <v>341</v>
      </c>
      <c r="G155" s="3">
        <v>54.927</v>
      </c>
      <c r="H155" s="3">
        <f>IFERROR(INDEX('Tagging key'!D:D, MATCH(F155,'Tagging key'!C:C,0)),"")</f>
        <v>74</v>
      </c>
      <c r="I155" s="3">
        <f>IFERROR(INDEX('Tagging key'!E:E, MATCH(F155,'Tagging key'!C:C,0)),"")</f>
        <v>75</v>
      </c>
      <c r="J155" s="3">
        <f>IFERROR(INDEX('Tagging key'!F:F, MATCH(F155,'Tagging key'!C:C,0)),"")</f>
        <v>22</v>
      </c>
      <c r="K155" s="3">
        <v>55.720999999999997</v>
      </c>
      <c r="L155" s="3">
        <v>74.31</v>
      </c>
      <c r="M155" s="3">
        <v>76.63</v>
      </c>
      <c r="N155" s="3">
        <v>23.16</v>
      </c>
      <c r="O155" s="3"/>
      <c r="P155" s="22">
        <v>45882</v>
      </c>
      <c r="Q155" s="22">
        <v>45882</v>
      </c>
      <c r="R155" s="3"/>
    </row>
    <row r="156" spans="1:19" x14ac:dyDescent="0.25">
      <c r="A156" s="13">
        <v>5</v>
      </c>
      <c r="B156" s="13">
        <v>3</v>
      </c>
      <c r="C156" s="13" t="s">
        <v>176</v>
      </c>
      <c r="D156" s="13" t="s">
        <v>72</v>
      </c>
      <c r="E156" s="13" t="s">
        <v>342</v>
      </c>
      <c r="F156" s="13" t="s">
        <v>343</v>
      </c>
      <c r="G156" s="3">
        <v>58.896999999999998</v>
      </c>
      <c r="H156" s="3">
        <f>IFERROR(INDEX('Tagging key'!D:D, MATCH(F156,'Tagging key'!C:C,0)),"")</f>
        <v>72</v>
      </c>
      <c r="I156" s="3">
        <f>IFERROR(INDEX('Tagging key'!E:E, MATCH(F156,'Tagging key'!C:C,0)),"")</f>
        <v>78</v>
      </c>
      <c r="J156" s="3">
        <f>IFERROR(INDEX('Tagging key'!F:F, MATCH(F156,'Tagging key'!C:C,0)),"")</f>
        <v>22</v>
      </c>
      <c r="K156" s="3">
        <v>61.057000000000002</v>
      </c>
      <c r="L156" s="3">
        <v>73.63</v>
      </c>
      <c r="M156" s="3">
        <v>78.91</v>
      </c>
      <c r="N156" s="3">
        <v>22.88</v>
      </c>
      <c r="O156" s="3"/>
      <c r="P156" s="22">
        <v>45882</v>
      </c>
      <c r="Q156" s="22">
        <v>45882</v>
      </c>
      <c r="R156" s="3">
        <v>24.170999999999999</v>
      </c>
    </row>
    <row r="157" spans="1:19" hidden="1" x14ac:dyDescent="0.25">
      <c r="A157" s="13">
        <v>5</v>
      </c>
      <c r="B157" s="13">
        <v>3</v>
      </c>
      <c r="C157" s="13" t="s">
        <v>176</v>
      </c>
      <c r="D157" s="13" t="s">
        <v>72</v>
      </c>
      <c r="E157" s="13" t="s">
        <v>344</v>
      </c>
      <c r="F157" s="13" t="s">
        <v>345</v>
      </c>
      <c r="G157" s="3">
        <v>65.573999999999998</v>
      </c>
      <c r="H157" s="3">
        <f>IFERROR(INDEX('Tagging key'!D:D, MATCH(F157,'Tagging key'!C:C,0)),"")</f>
        <v>77</v>
      </c>
      <c r="I157" s="3">
        <f>IFERROR(INDEX('Tagging key'!E:E, MATCH(F157,'Tagging key'!C:C,0)),"")</f>
        <v>81</v>
      </c>
      <c r="J157" s="3">
        <f>IFERROR(INDEX('Tagging key'!F:F, MATCH(F157,'Tagging key'!C:C,0)),"")</f>
        <v>22</v>
      </c>
      <c r="K157" s="3">
        <v>63.646999999999998</v>
      </c>
      <c r="L157" s="3">
        <v>80.16</v>
      </c>
      <c r="M157" s="3">
        <v>82.51</v>
      </c>
      <c r="N157" s="3">
        <v>23.36</v>
      </c>
      <c r="O157" s="3"/>
      <c r="P157" s="26">
        <v>45886</v>
      </c>
      <c r="Q157" s="26">
        <v>45886</v>
      </c>
      <c r="S157" t="s">
        <v>346</v>
      </c>
    </row>
    <row r="158" spans="1:19" hidden="1" x14ac:dyDescent="0.25">
      <c r="A158" s="13">
        <v>5</v>
      </c>
      <c r="B158" s="13">
        <v>3</v>
      </c>
      <c r="C158" s="13" t="s">
        <v>176</v>
      </c>
      <c r="D158" s="13" t="s">
        <v>72</v>
      </c>
      <c r="E158" s="13" t="s">
        <v>347</v>
      </c>
      <c r="F158" s="13" t="s">
        <v>348</v>
      </c>
      <c r="G158" s="3">
        <v>50.185000000000002</v>
      </c>
      <c r="H158" s="3">
        <f>IFERROR(INDEX('Tagging key'!D:D, MATCH(F158,'Tagging key'!C:C,0)),"")</f>
        <v>71</v>
      </c>
      <c r="I158" s="3">
        <f>IFERROR(INDEX('Tagging key'!E:E, MATCH(F158,'Tagging key'!C:C,0)),"")</f>
        <v>77</v>
      </c>
      <c r="J158" s="3">
        <f>IFERROR(INDEX('Tagging key'!F:F, MATCH(F158,'Tagging key'!C:C,0)),"")</f>
        <v>19</v>
      </c>
      <c r="K158" s="3">
        <v>49.307000000000002</v>
      </c>
      <c r="L158" s="3">
        <v>43.17</v>
      </c>
      <c r="M158" s="3">
        <v>76.61</v>
      </c>
      <c r="N158" s="3">
        <v>22.75</v>
      </c>
      <c r="O158" s="3"/>
      <c r="P158" s="22">
        <v>45877</v>
      </c>
      <c r="Q158" s="22">
        <v>45877</v>
      </c>
      <c r="R158" s="3"/>
    </row>
    <row r="159" spans="1:19" hidden="1" x14ac:dyDescent="0.25">
      <c r="A159" s="8">
        <v>5</v>
      </c>
      <c r="B159" s="8">
        <v>4</v>
      </c>
      <c r="C159" s="8" t="s">
        <v>176</v>
      </c>
      <c r="D159" s="8" t="s">
        <v>16</v>
      </c>
      <c r="E159" s="8" t="s">
        <v>349</v>
      </c>
      <c r="F159" s="8" t="s">
        <v>350</v>
      </c>
      <c r="G159" s="3">
        <v>28.88</v>
      </c>
      <c r="H159" s="3">
        <f>IFERROR(INDEX('Tagging key'!D:D, MATCH(F159,'Tagging key'!C:C,0)),"")</f>
        <v>67.25</v>
      </c>
      <c r="I159" s="3">
        <f>IFERROR(INDEX('Tagging key'!E:E, MATCH(F159,'Tagging key'!C:C,0)),"")</f>
        <v>46.17</v>
      </c>
      <c r="J159" s="3">
        <f>IFERROR(INDEX('Tagging key'!F:F, MATCH(F159,'Tagging key'!C:C,0)),"")</f>
        <v>14.38</v>
      </c>
      <c r="K159" s="3">
        <v>28.667000000000002</v>
      </c>
      <c r="L159" s="3">
        <v>67.760000000000005</v>
      </c>
      <c r="M159" s="3">
        <v>43.17</v>
      </c>
      <c r="N159" s="3">
        <v>14.45</v>
      </c>
      <c r="O159" s="3"/>
      <c r="P159" s="22">
        <v>45879</v>
      </c>
      <c r="Q159" s="22">
        <v>45879</v>
      </c>
      <c r="R159" s="3"/>
    </row>
    <row r="160" spans="1:19" hidden="1" x14ac:dyDescent="0.25">
      <c r="A160" s="8">
        <v>5</v>
      </c>
      <c r="B160" s="8">
        <v>4</v>
      </c>
      <c r="C160" s="8" t="s">
        <v>176</v>
      </c>
      <c r="D160" s="8" t="s">
        <v>16</v>
      </c>
      <c r="E160" s="8" t="s">
        <v>351</v>
      </c>
      <c r="F160" s="8" t="s">
        <v>352</v>
      </c>
      <c r="G160" s="3">
        <v>38.738</v>
      </c>
      <c r="H160" s="3">
        <f>IFERROR(INDEX('Tagging key'!D:D, MATCH(F160,'Tagging key'!C:C,0)),"")</f>
        <v>62.31</v>
      </c>
      <c r="I160" s="3">
        <f>IFERROR(INDEX('Tagging key'!E:E, MATCH(F160,'Tagging key'!C:C,0)),"")</f>
        <v>58.73</v>
      </c>
      <c r="J160" s="3">
        <f>IFERROR(INDEX('Tagging key'!F:F, MATCH(F160,'Tagging key'!C:C,0)),"")</f>
        <v>18.63</v>
      </c>
      <c r="K160" s="3">
        <v>38.226999999999997</v>
      </c>
      <c r="L160" s="3">
        <v>64.650000000000006</v>
      </c>
      <c r="M160" s="3">
        <v>47.02</v>
      </c>
      <c r="N160" s="3">
        <v>23.41</v>
      </c>
      <c r="O160" s="3"/>
      <c r="P160" s="26">
        <v>45886</v>
      </c>
      <c r="Q160" s="26">
        <v>45886</v>
      </c>
      <c r="R160" s="3">
        <v>25.210999999999999</v>
      </c>
    </row>
    <row r="161" spans="1:19" hidden="1" x14ac:dyDescent="0.25">
      <c r="A161" s="8">
        <v>5</v>
      </c>
      <c r="B161" s="8">
        <v>4</v>
      </c>
      <c r="C161" s="8" t="s">
        <v>176</v>
      </c>
      <c r="D161" s="8" t="s">
        <v>16</v>
      </c>
      <c r="E161" s="8" t="s">
        <v>353</v>
      </c>
      <c r="F161" s="8" t="s">
        <v>354</v>
      </c>
      <c r="G161" s="3">
        <v>23.027999999999999</v>
      </c>
      <c r="H161" s="3">
        <f>IFERROR(INDEX('Tagging key'!D:D, MATCH(F161,'Tagging key'!C:C,0)),"")</f>
        <v>61.21</v>
      </c>
      <c r="I161" s="3">
        <f>IFERROR(INDEX('Tagging key'!E:E, MATCH(F161,'Tagging key'!C:C,0)),"")</f>
        <v>42.25</v>
      </c>
      <c r="J161" s="3">
        <f>IFERROR(INDEX('Tagging key'!F:F, MATCH(F161,'Tagging key'!C:C,0)),"")</f>
        <v>14.03</v>
      </c>
      <c r="K161" s="3">
        <v>22.686</v>
      </c>
      <c r="L161" s="3">
        <v>61.27</v>
      </c>
      <c r="M161" s="3">
        <v>42</v>
      </c>
      <c r="N161" s="3">
        <v>14.31</v>
      </c>
      <c r="O161" s="3"/>
      <c r="P161" s="22">
        <v>45877</v>
      </c>
      <c r="Q161" s="22">
        <v>45877</v>
      </c>
      <c r="R161" s="3"/>
    </row>
    <row r="162" spans="1:19" x14ac:dyDescent="0.25">
      <c r="A162" s="8">
        <v>5</v>
      </c>
      <c r="B162" s="8">
        <v>4</v>
      </c>
      <c r="C162" s="8" t="s">
        <v>176</v>
      </c>
      <c r="D162" s="8" t="s">
        <v>16</v>
      </c>
      <c r="E162" s="8" t="s">
        <v>355</v>
      </c>
      <c r="F162" s="8" t="s">
        <v>356</v>
      </c>
      <c r="G162" s="3">
        <v>34.048999999999999</v>
      </c>
      <c r="H162" s="3">
        <f>IFERROR(INDEX('Tagging key'!D:D, MATCH(F162,'Tagging key'!C:C,0)),"")</f>
        <v>64.290000000000006</v>
      </c>
      <c r="I162" s="3">
        <f>IFERROR(INDEX('Tagging key'!E:E, MATCH(F162,'Tagging key'!C:C,0)),"")</f>
        <v>52.58</v>
      </c>
      <c r="J162" s="3">
        <f>IFERROR(INDEX('Tagging key'!F:F, MATCH(F162,'Tagging key'!C:C,0)),"")</f>
        <v>17.86</v>
      </c>
      <c r="K162" s="3">
        <v>33.639000000000003</v>
      </c>
      <c r="L162" s="3">
        <v>28.82</v>
      </c>
      <c r="M162" s="3">
        <v>28.9</v>
      </c>
      <c r="N162" s="3">
        <v>10.28</v>
      </c>
      <c r="O162" s="3"/>
      <c r="P162" s="22">
        <v>45882</v>
      </c>
      <c r="Q162" s="22">
        <v>45882</v>
      </c>
      <c r="R162" s="3"/>
      <c r="S162" t="s">
        <v>357</v>
      </c>
    </row>
    <row r="163" spans="1:19" hidden="1" x14ac:dyDescent="0.25">
      <c r="A163" s="9">
        <v>5</v>
      </c>
      <c r="B163" s="9">
        <v>5</v>
      </c>
      <c r="C163" s="9" t="s">
        <v>176</v>
      </c>
      <c r="D163" s="9" t="s">
        <v>16</v>
      </c>
      <c r="E163" s="9" t="s">
        <v>358</v>
      </c>
      <c r="F163" s="9" t="s">
        <v>359</v>
      </c>
      <c r="G163" s="3">
        <v>37.622</v>
      </c>
      <c r="H163" s="3">
        <f>IFERROR(INDEX('Tagging key'!D:D, MATCH(F163,'Tagging key'!C:C,0)),"")</f>
        <v>63.66</v>
      </c>
      <c r="I163" s="3">
        <f>IFERROR(INDEX('Tagging key'!E:E, MATCH(F163,'Tagging key'!C:C,0)),"")</f>
        <v>53.06</v>
      </c>
      <c r="J163" s="3">
        <f>IFERROR(INDEX('Tagging key'!F:F, MATCH(F163,'Tagging key'!C:C,0)),"")</f>
        <v>18.62</v>
      </c>
      <c r="K163" s="3">
        <v>37.49</v>
      </c>
      <c r="L163" s="3">
        <v>65.84</v>
      </c>
      <c r="M163" s="3">
        <v>49.46</v>
      </c>
      <c r="N163" s="3">
        <v>19.649999999999999</v>
      </c>
      <c r="O163" s="3"/>
      <c r="P163" s="26">
        <v>45886</v>
      </c>
      <c r="Q163" s="26">
        <v>45886</v>
      </c>
      <c r="S163" t="s">
        <v>360</v>
      </c>
    </row>
    <row r="164" spans="1:19" hidden="1" x14ac:dyDescent="0.25">
      <c r="A164" s="9">
        <v>5</v>
      </c>
      <c r="B164" s="9">
        <v>5</v>
      </c>
      <c r="C164" s="9" t="s">
        <v>176</v>
      </c>
      <c r="D164" s="9" t="s">
        <v>16</v>
      </c>
      <c r="E164" s="9" t="s">
        <v>361</v>
      </c>
      <c r="F164" s="9" t="s">
        <v>362</v>
      </c>
      <c r="G164" s="3">
        <v>28.902999999999999</v>
      </c>
      <c r="H164" s="3">
        <f>IFERROR(INDEX('Tagging key'!D:D, MATCH(F164,'Tagging key'!C:C,0)),"")</f>
        <v>53.55</v>
      </c>
      <c r="I164" s="3">
        <f>IFERROR(INDEX('Tagging key'!E:E, MATCH(F164,'Tagging key'!C:C,0)),"")</f>
        <v>49.5</v>
      </c>
      <c r="J164" s="3">
        <f>IFERROR(INDEX('Tagging key'!F:F, MATCH(F164,'Tagging key'!C:C,0)),"")</f>
        <v>13.77</v>
      </c>
      <c r="K164" s="3">
        <v>28.629000000000001</v>
      </c>
      <c r="L164" s="3">
        <v>62.68</v>
      </c>
      <c r="M164" s="3">
        <v>57.26</v>
      </c>
      <c r="N164" s="3">
        <v>18.52</v>
      </c>
      <c r="O164" s="3"/>
      <c r="P164" s="22">
        <v>45879</v>
      </c>
      <c r="Q164" s="22">
        <v>45879</v>
      </c>
      <c r="R164" s="3"/>
    </row>
    <row r="165" spans="1:19" x14ac:dyDescent="0.25">
      <c r="A165" s="9">
        <v>5</v>
      </c>
      <c r="B165" s="9">
        <v>5</v>
      </c>
      <c r="C165" s="9" t="s">
        <v>176</v>
      </c>
      <c r="D165" s="9" t="s">
        <v>16</v>
      </c>
      <c r="E165" s="9" t="s">
        <v>363</v>
      </c>
      <c r="F165" s="9" t="s">
        <v>364</v>
      </c>
      <c r="G165" s="3">
        <v>24.001000000000001</v>
      </c>
      <c r="H165" s="3">
        <f>IFERROR(INDEX('Tagging key'!D:D, MATCH(F165,'Tagging key'!C:C,0)),"")</f>
        <v>57.97</v>
      </c>
      <c r="I165" s="3">
        <f>IFERROR(INDEX('Tagging key'!E:E, MATCH(F165,'Tagging key'!C:C,0)),"")</f>
        <v>40.11</v>
      </c>
      <c r="J165" s="3">
        <f>IFERROR(INDEX('Tagging key'!F:F, MATCH(F165,'Tagging key'!C:C,0)),"")</f>
        <v>14.36</v>
      </c>
      <c r="K165" s="3">
        <v>23.939</v>
      </c>
      <c r="L165" s="3">
        <v>50.09</v>
      </c>
      <c r="M165" s="3">
        <v>39.71</v>
      </c>
      <c r="N165" s="3">
        <v>15.22</v>
      </c>
      <c r="O165" s="3"/>
      <c r="P165" s="22">
        <v>45882</v>
      </c>
      <c r="Q165" s="22">
        <v>45882</v>
      </c>
      <c r="R165" s="3">
        <v>17.045999999999999</v>
      </c>
    </row>
    <row r="166" spans="1:19" hidden="1" x14ac:dyDescent="0.25">
      <c r="A166" s="9">
        <v>5</v>
      </c>
      <c r="B166" s="9">
        <v>5</v>
      </c>
      <c r="C166" s="9" t="s">
        <v>176</v>
      </c>
      <c r="D166" s="9" t="s">
        <v>16</v>
      </c>
      <c r="E166" s="9" t="s">
        <v>53</v>
      </c>
      <c r="F166" s="9" t="s">
        <v>365</v>
      </c>
      <c r="G166" s="3">
        <v>30.641999999999999</v>
      </c>
      <c r="H166" s="3">
        <f>IFERROR(INDEX('Tagging key'!D:D, MATCH(F166,'Tagging key'!C:C,0)),"")</f>
        <v>68.61</v>
      </c>
      <c r="I166" s="3">
        <f>IFERROR(INDEX('Tagging key'!E:E, MATCH(F166,'Tagging key'!C:C,0)),"")</f>
        <v>48.68</v>
      </c>
      <c r="J166" s="3">
        <f>IFERROR(INDEX('Tagging key'!F:F, MATCH(F166,'Tagging key'!C:C,0)),"")</f>
        <v>19.100000000000001</v>
      </c>
      <c r="K166" s="3">
        <v>30.504000000000001</v>
      </c>
      <c r="L166" s="3">
        <v>70.45</v>
      </c>
      <c r="M166" s="3">
        <v>40.46</v>
      </c>
      <c r="N166" s="3">
        <v>18.87</v>
      </c>
      <c r="O166" s="3"/>
      <c r="P166" s="22">
        <v>45877</v>
      </c>
      <c r="Q166" s="22">
        <v>45877</v>
      </c>
      <c r="R166" s="3"/>
    </row>
    <row r="167" spans="1:19" x14ac:dyDescent="0.25">
      <c r="A167" s="8">
        <v>5</v>
      </c>
      <c r="B167" s="8">
        <v>6</v>
      </c>
      <c r="C167" s="8" t="s">
        <v>176</v>
      </c>
      <c r="D167" s="8" t="s">
        <v>16</v>
      </c>
      <c r="E167" s="8" t="s">
        <v>366</v>
      </c>
      <c r="F167" s="8" t="s">
        <v>367</v>
      </c>
      <c r="G167" s="3">
        <v>28.300999999999998</v>
      </c>
      <c r="H167" s="3">
        <f>IFERROR(INDEX('Tagging key'!D:D, MATCH(F167,'Tagging key'!C:C,0)),"")</f>
        <v>67.48</v>
      </c>
      <c r="I167" s="3">
        <f>IFERROR(INDEX('Tagging key'!E:E, MATCH(F167,'Tagging key'!C:C,0)),"")</f>
        <v>40.08</v>
      </c>
      <c r="J167" s="3">
        <f>IFERROR(INDEX('Tagging key'!F:F, MATCH(F167,'Tagging key'!C:C,0)),"")</f>
        <v>15.63</v>
      </c>
      <c r="K167" s="3">
        <v>26.384</v>
      </c>
      <c r="L167" s="3">
        <v>66.930000000000007</v>
      </c>
      <c r="M167" s="3">
        <v>39.81</v>
      </c>
      <c r="N167" s="3">
        <v>15.05</v>
      </c>
      <c r="O167" s="3"/>
      <c r="P167" s="22">
        <v>45882</v>
      </c>
      <c r="Q167" s="22">
        <v>45882</v>
      </c>
      <c r="R167" s="3">
        <v>16.343</v>
      </c>
    </row>
    <row r="168" spans="1:19" hidden="1" x14ac:dyDescent="0.25">
      <c r="A168" s="8">
        <v>5</v>
      </c>
      <c r="B168" s="8">
        <v>6</v>
      </c>
      <c r="C168" s="8" t="s">
        <v>176</v>
      </c>
      <c r="D168" s="8" t="s">
        <v>16</v>
      </c>
      <c r="E168" s="8" t="s">
        <v>368</v>
      </c>
      <c r="F168" s="8" t="s">
        <v>369</v>
      </c>
      <c r="G168" s="3">
        <v>34.231999999999999</v>
      </c>
      <c r="H168" s="3">
        <f>IFERROR(INDEX('Tagging key'!D:D, MATCH(F168,'Tagging key'!C:C,0)),"")</f>
        <v>63.1</v>
      </c>
      <c r="I168" s="3">
        <f>IFERROR(INDEX('Tagging key'!E:E, MATCH(F168,'Tagging key'!C:C,0)),"")</f>
        <v>56.16</v>
      </c>
      <c r="J168" s="3">
        <f>IFERROR(INDEX('Tagging key'!F:F, MATCH(F168,'Tagging key'!C:C,0)),"")</f>
        <v>18.940000000000001</v>
      </c>
      <c r="K168" s="3">
        <v>34.079000000000001</v>
      </c>
      <c r="L168" s="3">
        <v>64.849999999999994</v>
      </c>
      <c r="M168" s="3">
        <v>49.75</v>
      </c>
      <c r="N168" s="3">
        <v>18.84</v>
      </c>
      <c r="O168" s="3"/>
      <c r="P168" s="22">
        <v>45877</v>
      </c>
      <c r="Q168" s="22">
        <v>45877</v>
      </c>
      <c r="R168" s="3"/>
    </row>
    <row r="169" spans="1:19" hidden="1" x14ac:dyDescent="0.25">
      <c r="A169" s="8">
        <v>5</v>
      </c>
      <c r="B169" s="8">
        <v>6</v>
      </c>
      <c r="C169" s="8" t="s">
        <v>176</v>
      </c>
      <c r="D169" s="8" t="s">
        <v>16</v>
      </c>
      <c r="E169" s="8" t="s">
        <v>370</v>
      </c>
      <c r="F169" s="8" t="s">
        <v>371</v>
      </c>
      <c r="G169" s="3">
        <v>31.376999999999999</v>
      </c>
      <c r="H169" s="3">
        <f>IFERROR(INDEX('Tagging key'!D:D, MATCH(F169,'Tagging key'!C:C,0)),"")</f>
        <v>72.180000000000007</v>
      </c>
      <c r="I169" s="3">
        <f>IFERROR(INDEX('Tagging key'!E:E, MATCH(F169,'Tagging key'!C:C,0)),"")</f>
        <v>46.69</v>
      </c>
      <c r="J169" s="3">
        <f>IFERROR(INDEX('Tagging key'!F:F, MATCH(F169,'Tagging key'!C:C,0)),"")</f>
        <v>17.22</v>
      </c>
      <c r="K169" s="3">
        <v>31.157</v>
      </c>
      <c r="L169" s="3">
        <v>72.040000000000006</v>
      </c>
      <c r="M169" s="3">
        <v>47.44</v>
      </c>
      <c r="N169" s="3">
        <v>17.920000000000002</v>
      </c>
      <c r="O169" s="3"/>
      <c r="P169" s="22">
        <v>45879</v>
      </c>
      <c r="Q169" s="22">
        <v>45879</v>
      </c>
      <c r="R169" s="3"/>
    </row>
    <row r="170" spans="1:19" hidden="1" x14ac:dyDescent="0.25">
      <c r="A170" s="8">
        <v>5</v>
      </c>
      <c r="B170" s="8">
        <v>6</v>
      </c>
      <c r="C170" s="8" t="s">
        <v>176</v>
      </c>
      <c r="D170" s="8" t="s">
        <v>16</v>
      </c>
      <c r="E170" s="8" t="s">
        <v>372</v>
      </c>
      <c r="F170" s="8" t="s">
        <v>373</v>
      </c>
      <c r="G170" s="3">
        <v>26.844000000000001</v>
      </c>
      <c r="H170" s="3">
        <f>IFERROR(INDEX('Tagging key'!D:D, MATCH(F170,'Tagging key'!C:C,0)),"")</f>
        <v>58.57</v>
      </c>
      <c r="I170" s="3">
        <f>IFERROR(INDEX('Tagging key'!E:E, MATCH(F170,'Tagging key'!C:C,0)),"")</f>
        <v>39.39</v>
      </c>
      <c r="J170" s="3">
        <f>IFERROR(INDEX('Tagging key'!F:F, MATCH(F170,'Tagging key'!C:C,0)),"")</f>
        <v>19.2</v>
      </c>
      <c r="K170" s="3">
        <v>26.658999999999999</v>
      </c>
      <c r="L170" s="3">
        <v>62.07</v>
      </c>
      <c r="M170" s="3">
        <v>40.200000000000003</v>
      </c>
      <c r="N170" s="3">
        <v>15.88</v>
      </c>
      <c r="O170" s="3"/>
      <c r="P170" s="26">
        <v>45886</v>
      </c>
      <c r="Q170" s="26">
        <v>45886</v>
      </c>
    </row>
    <row r="171" spans="1:19" hidden="1" x14ac:dyDescent="0.25">
      <c r="A171" s="11">
        <v>5</v>
      </c>
      <c r="B171" s="11">
        <v>7</v>
      </c>
      <c r="C171" s="11" t="s">
        <v>176</v>
      </c>
      <c r="D171" s="11" t="s">
        <v>46</v>
      </c>
      <c r="E171" s="11" t="s">
        <v>374</v>
      </c>
      <c r="F171" s="11" t="s">
        <v>375</v>
      </c>
      <c r="G171" s="3">
        <v>60.771999999999998</v>
      </c>
      <c r="H171" s="3">
        <f>IFERROR(INDEX('Tagging key'!D:D, MATCH(F171,'Tagging key'!C:C,0)),"")</f>
        <v>86</v>
      </c>
      <c r="I171" s="3">
        <f>IFERROR(INDEX('Tagging key'!E:E, MATCH(F171,'Tagging key'!C:C,0)),"")</f>
        <v>40</v>
      </c>
      <c r="J171" s="3">
        <f>IFERROR(INDEX('Tagging key'!F:F, MATCH(F171,'Tagging key'!C:C,0)),"")</f>
        <v>32</v>
      </c>
      <c r="K171" s="3">
        <v>61.433999999999997</v>
      </c>
      <c r="L171" s="3">
        <v>86.76</v>
      </c>
      <c r="M171" s="3">
        <v>39.659999999999997</v>
      </c>
      <c r="N171" s="3">
        <v>32.89</v>
      </c>
      <c r="O171" s="3"/>
      <c r="P171" s="26">
        <v>45886</v>
      </c>
      <c r="Q171" s="26">
        <v>45886</v>
      </c>
    </row>
    <row r="172" spans="1:19" hidden="1" x14ac:dyDescent="0.25">
      <c r="A172" s="11">
        <v>5</v>
      </c>
      <c r="B172" s="11">
        <v>7</v>
      </c>
      <c r="C172" s="11" t="s">
        <v>176</v>
      </c>
      <c r="D172" s="11" t="s">
        <v>46</v>
      </c>
      <c r="E172" s="11" t="s">
        <v>118</v>
      </c>
      <c r="F172" s="11" t="s">
        <v>376</v>
      </c>
      <c r="G172" s="3">
        <v>42.173999999999999</v>
      </c>
      <c r="H172" s="3">
        <f>IFERROR(INDEX('Tagging key'!D:D, MATCH(F172,'Tagging key'!C:C,0)),"")</f>
        <v>75</v>
      </c>
      <c r="I172" s="3">
        <f>IFERROR(INDEX('Tagging key'!E:E, MATCH(F172,'Tagging key'!C:C,0)),"")</f>
        <v>37</v>
      </c>
      <c r="J172" s="3">
        <f>IFERROR(INDEX('Tagging key'!F:F, MATCH(F172,'Tagging key'!C:C,0)),"")</f>
        <v>28</v>
      </c>
      <c r="K172" s="3">
        <v>42.255000000000003</v>
      </c>
      <c r="L172" s="3">
        <v>75.09</v>
      </c>
      <c r="M172" s="3">
        <v>37.89</v>
      </c>
      <c r="N172" s="3">
        <v>28.53</v>
      </c>
      <c r="O172" s="3"/>
      <c r="P172" s="22">
        <v>45877</v>
      </c>
      <c r="Q172" s="22">
        <v>45877</v>
      </c>
      <c r="R172" s="3"/>
    </row>
    <row r="173" spans="1:19" hidden="1" x14ac:dyDescent="0.25">
      <c r="A173" s="11">
        <v>5</v>
      </c>
      <c r="B173" s="11">
        <v>7</v>
      </c>
      <c r="C173" s="11" t="s">
        <v>176</v>
      </c>
      <c r="D173" s="11" t="s">
        <v>46</v>
      </c>
      <c r="E173" s="11" t="s">
        <v>377</v>
      </c>
      <c r="F173" s="11" t="s">
        <v>378</v>
      </c>
      <c r="G173" s="3">
        <v>24.78</v>
      </c>
      <c r="H173" s="3">
        <f>IFERROR(INDEX('Tagging key'!D:D, MATCH(F173,'Tagging key'!C:C,0)),"")</f>
        <v>62</v>
      </c>
      <c r="I173" s="3">
        <f>IFERROR(INDEX('Tagging key'!E:E, MATCH(F173,'Tagging key'!C:C,0)),"")</f>
        <v>31</v>
      </c>
      <c r="J173" s="3">
        <f>IFERROR(INDEX('Tagging key'!F:F, MATCH(F173,'Tagging key'!C:C,0)),"")</f>
        <v>23.8</v>
      </c>
      <c r="K173" s="3">
        <v>25.151</v>
      </c>
      <c r="L173" s="3">
        <v>63.02</v>
      </c>
      <c r="M173" s="3">
        <v>32.49</v>
      </c>
      <c r="N173" s="3">
        <v>24.06</v>
      </c>
      <c r="O173" s="3"/>
      <c r="P173" s="22">
        <v>45879</v>
      </c>
      <c r="Q173" s="22">
        <v>45879</v>
      </c>
      <c r="R173" s="3"/>
      <c r="S173" t="s">
        <v>379</v>
      </c>
    </row>
    <row r="174" spans="1:19" x14ac:dyDescent="0.25">
      <c r="A174" s="11">
        <v>5</v>
      </c>
      <c r="B174" s="11">
        <v>7</v>
      </c>
      <c r="C174" s="11" t="s">
        <v>176</v>
      </c>
      <c r="D174" s="11" t="s">
        <v>46</v>
      </c>
      <c r="E174" s="11" t="s">
        <v>380</v>
      </c>
      <c r="F174" s="11" t="s">
        <v>381</v>
      </c>
      <c r="G174" s="3">
        <v>58.674999999999997</v>
      </c>
      <c r="H174" s="3">
        <f>IFERROR(INDEX('Tagging key'!D:D, MATCH(F174,'Tagging key'!C:C,0)),"")</f>
        <v>82</v>
      </c>
      <c r="I174" s="3">
        <f>IFERROR(INDEX('Tagging key'!E:E, MATCH(F174,'Tagging key'!C:C,0)),"")</f>
        <v>40</v>
      </c>
      <c r="J174" s="3">
        <f>IFERROR(INDEX('Tagging key'!F:F, MATCH(F174,'Tagging key'!C:C,0)),"")</f>
        <v>32</v>
      </c>
      <c r="K174" s="3">
        <v>59.076000000000001</v>
      </c>
      <c r="L174" s="3">
        <v>83.79</v>
      </c>
      <c r="M174" s="3">
        <v>42.54</v>
      </c>
      <c r="N174" s="3">
        <v>32.44</v>
      </c>
      <c r="O174" s="3"/>
      <c r="P174" s="22">
        <v>45882</v>
      </c>
      <c r="Q174" s="22">
        <v>45882</v>
      </c>
      <c r="R174" s="3">
        <v>22.457999999999998</v>
      </c>
    </row>
    <row r="175" spans="1:19" x14ac:dyDescent="0.25">
      <c r="A175" s="19">
        <v>5</v>
      </c>
      <c r="B175" s="19">
        <v>8</v>
      </c>
      <c r="C175" s="19" t="s">
        <v>176</v>
      </c>
      <c r="D175" s="19" t="s">
        <v>46</v>
      </c>
      <c r="E175" s="19" t="s">
        <v>218</v>
      </c>
      <c r="F175" s="19" t="s">
        <v>382</v>
      </c>
      <c r="G175" s="19">
        <v>45.564</v>
      </c>
      <c r="H175" s="19">
        <f>IFERROR(INDEX('Tagging key'!D:D, MATCH(F175,'Tagging key'!C:C,0)),"")</f>
        <v>82</v>
      </c>
      <c r="I175" s="19">
        <f>IFERROR(INDEX('Tagging key'!E:E, MATCH(F175,'Tagging key'!C:C,0)),"")</f>
        <v>38</v>
      </c>
      <c r="J175" s="19">
        <f>IFERROR(INDEX('Tagging key'!F:F, MATCH(F175,'Tagging key'!C:C,0)),"")</f>
        <v>28</v>
      </c>
      <c r="K175" s="19"/>
      <c r="L175" s="19"/>
      <c r="M175" s="19"/>
      <c r="N175" s="19"/>
      <c r="O175" s="19"/>
      <c r="P175" s="19"/>
      <c r="Q175" s="19"/>
      <c r="R175" s="19"/>
      <c r="S175" t="s">
        <v>383</v>
      </c>
    </row>
    <row r="176" spans="1:19" hidden="1" x14ac:dyDescent="0.25">
      <c r="A176" s="12">
        <v>5</v>
      </c>
      <c r="B176" s="12">
        <v>8</v>
      </c>
      <c r="C176" s="12" t="s">
        <v>176</v>
      </c>
      <c r="D176" s="12" t="s">
        <v>46</v>
      </c>
      <c r="E176" s="12" t="s">
        <v>320</v>
      </c>
      <c r="F176" s="12" t="s">
        <v>384</v>
      </c>
      <c r="G176" s="3">
        <v>59.76</v>
      </c>
      <c r="H176" s="3">
        <f>IFERROR(INDEX('Tagging key'!D:D, MATCH(F176,'Tagging key'!C:C,0)),"")</f>
        <v>85</v>
      </c>
      <c r="I176" s="3">
        <f>IFERROR(INDEX('Tagging key'!E:E, MATCH(F176,'Tagging key'!C:C,0)),"")</f>
        <v>37</v>
      </c>
      <c r="J176" s="3">
        <f>IFERROR(INDEX('Tagging key'!F:F, MATCH(F176,'Tagging key'!C:C,0)),"")</f>
        <v>33</v>
      </c>
      <c r="K176" s="3">
        <v>59.828000000000003</v>
      </c>
      <c r="L176" s="3">
        <v>85.95</v>
      </c>
      <c r="M176" s="3">
        <v>38.229999999999997</v>
      </c>
      <c r="N176" s="3">
        <v>34</v>
      </c>
      <c r="O176" s="3"/>
      <c r="P176" s="22">
        <v>45877</v>
      </c>
      <c r="Q176" s="22">
        <v>45877</v>
      </c>
      <c r="R176" s="3"/>
    </row>
    <row r="177" spans="1:19" hidden="1" x14ac:dyDescent="0.25">
      <c r="A177" s="12">
        <v>5</v>
      </c>
      <c r="B177" s="12">
        <v>8</v>
      </c>
      <c r="C177" s="12" t="s">
        <v>176</v>
      </c>
      <c r="D177" s="12" t="s">
        <v>46</v>
      </c>
      <c r="E177" s="12" t="s">
        <v>351</v>
      </c>
      <c r="F177" s="12" t="s">
        <v>385</v>
      </c>
      <c r="G177" s="3">
        <v>33.15</v>
      </c>
      <c r="H177" s="3">
        <f>IFERROR(INDEX('Tagging key'!D:D, MATCH(F177,'Tagging key'!C:C,0)),"")</f>
        <v>68.55</v>
      </c>
      <c r="I177" s="3">
        <f>IFERROR(INDEX('Tagging key'!E:E, MATCH(F177,'Tagging key'!C:C,0)),"")</f>
        <v>36.11</v>
      </c>
      <c r="J177" s="3">
        <f>IFERROR(INDEX('Tagging key'!F:F, MATCH(F177,'Tagging key'!C:C,0)),"")</f>
        <v>26.28</v>
      </c>
      <c r="K177" s="3">
        <v>33.472999999999999</v>
      </c>
      <c r="L177" s="3">
        <v>63.29</v>
      </c>
      <c r="M177" s="3">
        <v>29.16</v>
      </c>
      <c r="N177" s="3">
        <v>20.62</v>
      </c>
      <c r="O177" s="3"/>
      <c r="P177" s="22">
        <v>45879</v>
      </c>
      <c r="Q177" s="22">
        <v>45879</v>
      </c>
      <c r="R177" s="3"/>
    </row>
    <row r="178" spans="1:19" x14ac:dyDescent="0.25">
      <c r="A178" s="12">
        <v>5</v>
      </c>
      <c r="B178" s="12">
        <v>8</v>
      </c>
      <c r="C178" s="12" t="s">
        <v>176</v>
      </c>
      <c r="D178" s="12" t="s">
        <v>46</v>
      </c>
      <c r="E178" s="12" t="s">
        <v>386</v>
      </c>
      <c r="F178" s="12" t="s">
        <v>387</v>
      </c>
      <c r="G178" s="3">
        <v>31.901</v>
      </c>
      <c r="H178" s="3">
        <f>IFERROR(INDEX('Tagging key'!D:D, MATCH(F178,'Tagging key'!C:C,0)),"")</f>
        <v>71</v>
      </c>
      <c r="I178" s="3">
        <f>IFERROR(INDEX('Tagging key'!E:E, MATCH(F178,'Tagging key'!C:C,0)),"")</f>
        <v>34</v>
      </c>
      <c r="J178" s="3">
        <f>IFERROR(INDEX('Tagging key'!F:F, MATCH(F178,'Tagging key'!C:C,0)),"")</f>
        <v>24</v>
      </c>
      <c r="K178" s="3">
        <v>31.817</v>
      </c>
      <c r="L178" s="3">
        <v>65.37</v>
      </c>
      <c r="M178" s="3">
        <v>35.020000000000003</v>
      </c>
      <c r="N178" s="3">
        <v>24.09</v>
      </c>
      <c r="O178" s="3"/>
      <c r="P178" s="22">
        <v>45882</v>
      </c>
      <c r="Q178" s="22">
        <v>45882</v>
      </c>
      <c r="R178" s="3">
        <v>11.257</v>
      </c>
      <c r="S178" t="s">
        <v>388</v>
      </c>
    </row>
    <row r="179" spans="1:19" hidden="1" x14ac:dyDescent="0.25">
      <c r="A179" s="11">
        <v>5</v>
      </c>
      <c r="B179" s="11">
        <v>9</v>
      </c>
      <c r="C179" s="11" t="s">
        <v>176</v>
      </c>
      <c r="D179" s="11" t="s">
        <v>46</v>
      </c>
      <c r="E179" s="11" t="s">
        <v>389</v>
      </c>
      <c r="F179" s="11" t="s">
        <v>390</v>
      </c>
      <c r="G179" s="3">
        <v>42.777999999999999</v>
      </c>
      <c r="H179" s="3">
        <f>IFERROR(INDEX('Tagging key'!D:D, MATCH(F179,'Tagging key'!C:C,0)),"")</f>
        <v>78</v>
      </c>
      <c r="I179" s="3">
        <f>IFERROR(INDEX('Tagging key'!E:E, MATCH(F179,'Tagging key'!C:C,0)),"")</f>
        <v>35</v>
      </c>
      <c r="J179" s="3">
        <f>IFERROR(INDEX('Tagging key'!F:F, MATCH(F179,'Tagging key'!C:C,0)),"")</f>
        <v>28</v>
      </c>
      <c r="K179" s="3">
        <v>43.587000000000003</v>
      </c>
      <c r="L179" s="3">
        <v>77.989999999999995</v>
      </c>
      <c r="M179" s="3">
        <v>36.97</v>
      </c>
      <c r="N179" s="3">
        <v>28.77</v>
      </c>
      <c r="O179" s="3"/>
      <c r="P179" s="26">
        <v>45886</v>
      </c>
      <c r="Q179" s="26">
        <v>45886</v>
      </c>
    </row>
    <row r="180" spans="1:19" hidden="1" x14ac:dyDescent="0.25">
      <c r="A180" s="11">
        <v>5</v>
      </c>
      <c r="B180" s="11">
        <v>9</v>
      </c>
      <c r="C180" s="11" t="s">
        <v>176</v>
      </c>
      <c r="D180" s="11" t="s">
        <v>46</v>
      </c>
      <c r="E180" s="11" t="s">
        <v>37</v>
      </c>
      <c r="F180" s="11" t="s">
        <v>391</v>
      </c>
      <c r="G180" s="3">
        <v>33.064999999999998</v>
      </c>
      <c r="H180" s="3">
        <f>IFERROR(INDEX('Tagging key'!D:D, MATCH(F180,'Tagging key'!C:C,0)),"")</f>
        <v>72.88</v>
      </c>
      <c r="I180" s="3">
        <f>IFERROR(INDEX('Tagging key'!E:E, MATCH(F180,'Tagging key'!C:C,0)),"")</f>
        <v>43</v>
      </c>
      <c r="J180" s="3">
        <f>IFERROR(INDEX('Tagging key'!F:F, MATCH(F180,'Tagging key'!C:C,0)),"")</f>
        <v>24.5</v>
      </c>
      <c r="K180" s="3">
        <v>34.020000000000003</v>
      </c>
      <c r="L180" s="3">
        <v>73.349999999999994</v>
      </c>
      <c r="M180" s="3">
        <v>38.6</v>
      </c>
      <c r="N180" s="3">
        <v>25.47</v>
      </c>
      <c r="O180" s="3"/>
      <c r="P180" s="22">
        <v>45879</v>
      </c>
      <c r="Q180" s="22">
        <v>45879</v>
      </c>
      <c r="R180" s="3"/>
    </row>
    <row r="181" spans="1:19" hidden="1" x14ac:dyDescent="0.25">
      <c r="A181" s="11">
        <v>5</v>
      </c>
      <c r="B181" s="11">
        <v>9</v>
      </c>
      <c r="C181" s="11" t="s">
        <v>176</v>
      </c>
      <c r="D181" s="11" t="s">
        <v>46</v>
      </c>
      <c r="E181" s="11" t="s">
        <v>25</v>
      </c>
      <c r="F181" s="11" t="s">
        <v>392</v>
      </c>
      <c r="G181" s="3">
        <v>27.300999999999998</v>
      </c>
      <c r="H181" s="3">
        <f>IFERROR(INDEX('Tagging key'!D:D, MATCH(F181,'Tagging key'!C:C,0)),"")</f>
        <v>64.66</v>
      </c>
      <c r="I181" s="3">
        <f>IFERROR(INDEX('Tagging key'!E:E, MATCH(F181,'Tagging key'!C:C,0)),"")</f>
        <v>36.630000000000003</v>
      </c>
      <c r="J181" s="3">
        <f>IFERROR(INDEX('Tagging key'!F:F, MATCH(F181,'Tagging key'!C:C,0)),"")</f>
        <v>25.91</v>
      </c>
      <c r="K181" s="3">
        <v>27.67</v>
      </c>
      <c r="L181" s="3">
        <v>64.709999999999994</v>
      </c>
      <c r="M181" s="3">
        <v>31.13</v>
      </c>
      <c r="N181" s="3">
        <v>26.75</v>
      </c>
      <c r="O181" s="3"/>
      <c r="P181" s="22">
        <v>45877</v>
      </c>
      <c r="Q181" s="22">
        <v>45877</v>
      </c>
      <c r="R181" s="3"/>
    </row>
    <row r="182" spans="1:19" x14ac:dyDescent="0.25">
      <c r="A182" s="11">
        <v>5</v>
      </c>
      <c r="B182" s="11">
        <v>9</v>
      </c>
      <c r="C182" s="11" t="s">
        <v>176</v>
      </c>
      <c r="D182" s="11" t="s">
        <v>46</v>
      </c>
      <c r="E182" s="11" t="s">
        <v>393</v>
      </c>
      <c r="F182" s="11" t="s">
        <v>394</v>
      </c>
      <c r="G182" s="3">
        <v>30.492000000000001</v>
      </c>
      <c r="H182" s="3">
        <f>IFERROR(INDEX('Tagging key'!D:D, MATCH(F182,'Tagging key'!C:C,0)),"")</f>
        <v>68</v>
      </c>
      <c r="I182" s="3">
        <f>IFERROR(INDEX('Tagging key'!E:E, MATCH(F182,'Tagging key'!C:C,0)),"")</f>
        <v>35</v>
      </c>
      <c r="J182" s="3">
        <f>IFERROR(INDEX('Tagging key'!F:F, MATCH(F182,'Tagging key'!C:C,0)),"")</f>
        <v>25</v>
      </c>
      <c r="K182" s="3">
        <v>30.655000000000001</v>
      </c>
      <c r="L182" s="3">
        <v>68.25</v>
      </c>
      <c r="M182" s="3">
        <v>34.86</v>
      </c>
      <c r="N182" s="3">
        <v>25.47</v>
      </c>
      <c r="O182" s="3"/>
      <c r="P182" s="22">
        <v>45882</v>
      </c>
      <c r="Q182" s="22">
        <v>45882</v>
      </c>
      <c r="R182" s="3">
        <v>10.395</v>
      </c>
    </row>
    <row r="183" spans="1:19" hidden="1" x14ac:dyDescent="0.25">
      <c r="A183" s="13">
        <v>6</v>
      </c>
      <c r="B183" s="13">
        <v>1</v>
      </c>
      <c r="C183" s="13" t="s">
        <v>248</v>
      </c>
      <c r="D183" s="13" t="s">
        <v>72</v>
      </c>
      <c r="E183" s="13" t="s">
        <v>395</v>
      </c>
      <c r="F183" s="13" t="s">
        <v>396</v>
      </c>
      <c r="G183" s="3">
        <v>58.624000000000002</v>
      </c>
      <c r="H183" s="3">
        <f>IFERROR(INDEX('Tagging key'!D:D, MATCH(F183,'Tagging key'!C:C,0)),"")</f>
        <v>79</v>
      </c>
      <c r="I183" s="3">
        <f>IFERROR(INDEX('Tagging key'!E:E, MATCH(F183,'Tagging key'!C:C,0)),"")</f>
        <v>80</v>
      </c>
      <c r="J183" s="3">
        <f>IFERROR(INDEX('Tagging key'!F:F, MATCH(F183,'Tagging key'!C:C,0)),"")</f>
        <v>18</v>
      </c>
      <c r="K183" s="3">
        <v>57.33</v>
      </c>
      <c r="L183" s="3">
        <v>78.8</v>
      </c>
      <c r="M183" s="3">
        <v>80.59</v>
      </c>
      <c r="N183" s="3">
        <v>18.989999999999998</v>
      </c>
      <c r="O183" s="3"/>
      <c r="P183" s="22">
        <v>45877</v>
      </c>
      <c r="Q183" s="22">
        <v>45877</v>
      </c>
      <c r="R183" s="3"/>
    </row>
    <row r="184" spans="1:19" x14ac:dyDescent="0.25">
      <c r="A184" s="13">
        <v>6</v>
      </c>
      <c r="B184" s="13">
        <v>1</v>
      </c>
      <c r="C184" s="13" t="s">
        <v>248</v>
      </c>
      <c r="D184" s="13" t="s">
        <v>72</v>
      </c>
      <c r="E184" s="13" t="s">
        <v>397</v>
      </c>
      <c r="F184" s="13" t="s">
        <v>398</v>
      </c>
      <c r="G184" s="3">
        <v>52.822000000000003</v>
      </c>
      <c r="H184" s="3">
        <f>IFERROR(INDEX('Tagging key'!D:D, MATCH(F184,'Tagging key'!C:C,0)),"")</f>
        <v>74</v>
      </c>
      <c r="I184" s="3">
        <f>IFERROR(INDEX('Tagging key'!E:E, MATCH(F184,'Tagging key'!C:C,0)),"")</f>
        <v>77</v>
      </c>
      <c r="J184" s="3">
        <f>IFERROR(INDEX('Tagging key'!F:F, MATCH(F184,'Tagging key'!C:C,0)),"")</f>
        <v>19</v>
      </c>
      <c r="K184" s="3">
        <v>51.582000000000001</v>
      </c>
      <c r="L184" s="3">
        <v>74.37</v>
      </c>
      <c r="M184" s="3">
        <v>77.400000000000006</v>
      </c>
      <c r="N184" s="3">
        <v>22.25</v>
      </c>
      <c r="O184" s="3"/>
      <c r="P184" s="22">
        <v>45882</v>
      </c>
      <c r="Q184" s="22">
        <v>45882</v>
      </c>
      <c r="R184" s="3">
        <v>22.044</v>
      </c>
    </row>
    <row r="185" spans="1:19" x14ac:dyDescent="0.25">
      <c r="A185" s="19">
        <v>6</v>
      </c>
      <c r="B185" s="19">
        <v>1</v>
      </c>
      <c r="C185" s="19" t="s">
        <v>248</v>
      </c>
      <c r="D185" s="19" t="s">
        <v>72</v>
      </c>
      <c r="E185" s="19" t="s">
        <v>399</v>
      </c>
      <c r="F185" s="19" t="s">
        <v>400</v>
      </c>
      <c r="G185" s="19">
        <v>48.677</v>
      </c>
      <c r="H185" s="19">
        <f>IFERROR(INDEX('Tagging key'!D:D, MATCH(F185,'Tagging key'!C:C,0)),"")</f>
        <v>72</v>
      </c>
      <c r="I185" s="19">
        <f>IFERROR(INDEX('Tagging key'!E:E, MATCH(F185,'Tagging key'!C:C,0)),"")</f>
        <v>71</v>
      </c>
      <c r="J185" s="19">
        <f>IFERROR(INDEX('Tagging key'!F:F, MATCH(F185,'Tagging key'!C:C,0)),"")</f>
        <v>15</v>
      </c>
      <c r="K185" s="19"/>
      <c r="L185" s="19"/>
      <c r="M185" s="19"/>
      <c r="N185" s="19"/>
      <c r="O185" s="19"/>
      <c r="P185" s="19"/>
      <c r="Q185" s="19"/>
      <c r="R185" s="19"/>
      <c r="S185" t="s">
        <v>401</v>
      </c>
    </row>
    <row r="186" spans="1:19" hidden="1" x14ac:dyDescent="0.25">
      <c r="A186" s="13">
        <v>6</v>
      </c>
      <c r="B186" s="13">
        <v>1</v>
      </c>
      <c r="C186" s="13" t="s">
        <v>248</v>
      </c>
      <c r="D186" s="13" t="s">
        <v>72</v>
      </c>
      <c r="E186" s="13" t="s">
        <v>402</v>
      </c>
      <c r="F186" s="13" t="s">
        <v>403</v>
      </c>
      <c r="G186" s="3">
        <v>62.698</v>
      </c>
      <c r="H186" s="3">
        <f>IFERROR(INDEX('Tagging key'!D:D, MATCH(F186,'Tagging key'!C:C,0)),"")</f>
        <v>74</v>
      </c>
      <c r="I186" s="3">
        <f>IFERROR(INDEX('Tagging key'!E:E, MATCH(F186,'Tagging key'!C:C,0)),"")</f>
        <v>74</v>
      </c>
      <c r="J186" s="3">
        <f>IFERROR(INDEX('Tagging key'!F:F, MATCH(F186,'Tagging key'!C:C,0)),"")</f>
        <v>19</v>
      </c>
      <c r="K186" s="3">
        <v>60.48</v>
      </c>
      <c r="L186" s="3">
        <v>75.81</v>
      </c>
      <c r="M186" s="3">
        <v>74.790000000000006</v>
      </c>
      <c r="N186" s="3">
        <v>20.49</v>
      </c>
      <c r="O186" s="3"/>
      <c r="P186" s="22">
        <v>45879</v>
      </c>
      <c r="Q186" s="22">
        <v>45879</v>
      </c>
      <c r="R186" s="3"/>
    </row>
    <row r="187" spans="1:19" hidden="1" x14ac:dyDescent="0.25">
      <c r="A187" s="14">
        <v>6</v>
      </c>
      <c r="B187" s="14">
        <v>2</v>
      </c>
      <c r="C187" s="14" t="s">
        <v>248</v>
      </c>
      <c r="D187" s="14" t="s">
        <v>72</v>
      </c>
      <c r="E187" s="14" t="s">
        <v>404</v>
      </c>
      <c r="F187" s="14" t="s">
        <v>405</v>
      </c>
      <c r="G187" s="3">
        <v>49.564999999999998</v>
      </c>
      <c r="H187" s="3">
        <f>IFERROR(INDEX('Tagging key'!D:D, MATCH(F187,'Tagging key'!C:C,0)),"")</f>
        <v>70.5</v>
      </c>
      <c r="I187" s="3">
        <f>IFERROR(INDEX('Tagging key'!E:E, MATCH(F187,'Tagging key'!C:C,0)),"")</f>
        <v>68.5</v>
      </c>
      <c r="J187" s="3">
        <f>IFERROR(INDEX('Tagging key'!F:F, MATCH(F187,'Tagging key'!C:C,0)),"")</f>
        <v>16</v>
      </c>
      <c r="K187" s="3">
        <v>46.15</v>
      </c>
      <c r="L187" s="3">
        <v>71.819999999999993</v>
      </c>
      <c r="M187" s="3">
        <v>69.7</v>
      </c>
      <c r="N187" s="3">
        <v>21.97</v>
      </c>
      <c r="O187" s="3"/>
      <c r="P187" s="22">
        <v>45877</v>
      </c>
      <c r="Q187" s="22">
        <v>45877</v>
      </c>
      <c r="R187" s="3"/>
    </row>
    <row r="188" spans="1:19" hidden="1" x14ac:dyDescent="0.25">
      <c r="A188" s="14">
        <v>6</v>
      </c>
      <c r="B188" s="14">
        <v>2</v>
      </c>
      <c r="C188" s="14" t="s">
        <v>248</v>
      </c>
      <c r="D188" s="14" t="s">
        <v>72</v>
      </c>
      <c r="E188" s="14" t="s">
        <v>406</v>
      </c>
      <c r="F188" s="14" t="s">
        <v>407</v>
      </c>
      <c r="G188" s="3">
        <v>67.661000000000001</v>
      </c>
      <c r="H188" s="3">
        <f>IFERROR(INDEX('Tagging key'!D:D, MATCH(F188,'Tagging key'!C:C,0)),"")</f>
        <v>75</v>
      </c>
      <c r="I188" s="3">
        <f>IFERROR(INDEX('Tagging key'!E:E, MATCH(F188,'Tagging key'!C:C,0)),"")</f>
        <v>76.5</v>
      </c>
      <c r="J188" s="3">
        <f>IFERROR(INDEX('Tagging key'!F:F, MATCH(F188,'Tagging key'!C:C,0)),"")</f>
        <v>20</v>
      </c>
      <c r="K188" s="3">
        <v>59.661999999999999</v>
      </c>
      <c r="L188" s="3">
        <v>77.41</v>
      </c>
      <c r="M188" s="3">
        <v>75.650000000000006</v>
      </c>
      <c r="N188" s="3">
        <v>22.98</v>
      </c>
      <c r="O188" s="3"/>
      <c r="P188" s="22">
        <v>45879</v>
      </c>
      <c r="Q188" s="22">
        <v>45879</v>
      </c>
      <c r="R188" s="3"/>
    </row>
    <row r="189" spans="1:19" x14ac:dyDescent="0.25">
      <c r="A189" s="14">
        <v>6</v>
      </c>
      <c r="B189" s="14">
        <v>2</v>
      </c>
      <c r="C189" s="14" t="s">
        <v>248</v>
      </c>
      <c r="D189" s="14" t="s">
        <v>72</v>
      </c>
      <c r="E189" s="14" t="s">
        <v>408</v>
      </c>
      <c r="F189" s="14" t="s">
        <v>409</v>
      </c>
      <c r="G189" s="3">
        <v>52.670999999999999</v>
      </c>
      <c r="H189" s="3">
        <f>IFERROR(INDEX('Tagging key'!D:D, MATCH(F189,'Tagging key'!C:C,0)),"")</f>
        <v>72.58</v>
      </c>
      <c r="I189" s="3">
        <f>IFERROR(INDEX('Tagging key'!E:E, MATCH(F189,'Tagging key'!C:C,0)),"")</f>
        <v>69.55</v>
      </c>
      <c r="J189" s="3">
        <f>IFERROR(INDEX('Tagging key'!F:F, MATCH(F189,'Tagging key'!C:C,0)),"")</f>
        <v>21.37</v>
      </c>
      <c r="K189" s="3">
        <v>43.002000000000002</v>
      </c>
      <c r="L189" s="3">
        <v>73.02</v>
      </c>
      <c r="M189" s="3">
        <v>69.930000000000007</v>
      </c>
      <c r="N189" s="3">
        <v>19.91</v>
      </c>
      <c r="O189" s="3"/>
      <c r="P189" s="22">
        <v>45882</v>
      </c>
      <c r="Q189" s="22">
        <v>45882</v>
      </c>
      <c r="R189" s="3"/>
    </row>
    <row r="190" spans="1:19" x14ac:dyDescent="0.25">
      <c r="A190" s="19">
        <v>6</v>
      </c>
      <c r="B190" s="19">
        <v>2</v>
      </c>
      <c r="C190" s="19" t="s">
        <v>248</v>
      </c>
      <c r="D190" s="19" t="s">
        <v>72</v>
      </c>
      <c r="E190" s="19" t="s">
        <v>410</v>
      </c>
      <c r="F190" s="19" t="s">
        <v>411</v>
      </c>
      <c r="G190" s="19">
        <v>50.148000000000003</v>
      </c>
      <c r="H190" s="19">
        <f>IFERROR(INDEX('Tagging key'!D:D, MATCH(F190,'Tagging key'!C:C,0)),"")</f>
        <v>68.3</v>
      </c>
      <c r="I190" s="19">
        <f>IFERROR(INDEX('Tagging key'!E:E, MATCH(F190,'Tagging key'!C:C,0)),"")</f>
        <v>71.94</v>
      </c>
      <c r="J190" s="19">
        <f>IFERROR(INDEX('Tagging key'!F:F, MATCH(F190,'Tagging key'!C:C,0)),"")</f>
        <v>20.23</v>
      </c>
      <c r="K190" s="19"/>
      <c r="L190" s="19"/>
      <c r="M190" s="19"/>
      <c r="N190" s="19"/>
      <c r="O190" s="19"/>
      <c r="P190" s="19"/>
      <c r="Q190" s="19"/>
      <c r="R190" s="19"/>
      <c r="S190" t="s">
        <v>412</v>
      </c>
    </row>
    <row r="191" spans="1:19" x14ac:dyDescent="0.25">
      <c r="A191" s="13">
        <v>6</v>
      </c>
      <c r="B191" s="13">
        <v>3</v>
      </c>
      <c r="C191" s="13" t="s">
        <v>248</v>
      </c>
      <c r="D191" s="13" t="s">
        <v>72</v>
      </c>
      <c r="E191" s="13" t="s">
        <v>413</v>
      </c>
      <c r="F191" s="13" t="s">
        <v>414</v>
      </c>
      <c r="G191" s="3">
        <v>64.432000000000002</v>
      </c>
      <c r="H191" s="3">
        <f>IFERROR(INDEX('Tagging key'!D:D, MATCH(F191,'Tagging key'!C:C,0)),"")</f>
        <v>81</v>
      </c>
      <c r="I191" s="3">
        <f>IFERROR(INDEX('Tagging key'!E:E, MATCH(F191,'Tagging key'!C:C,0)),"")</f>
        <v>80</v>
      </c>
      <c r="J191" s="3">
        <f>IFERROR(INDEX('Tagging key'!F:F, MATCH(F191,'Tagging key'!C:C,0)),"")</f>
        <v>19</v>
      </c>
      <c r="K191" s="3">
        <v>54.802999999999997</v>
      </c>
      <c r="L191" s="3">
        <v>82.17</v>
      </c>
      <c r="M191" s="3">
        <v>81.37</v>
      </c>
      <c r="N191" s="3">
        <v>21.06</v>
      </c>
      <c r="O191" s="3"/>
      <c r="P191" s="22">
        <v>45882</v>
      </c>
      <c r="Q191" s="22">
        <v>45882</v>
      </c>
      <c r="R191" s="3">
        <v>26.100999999999999</v>
      </c>
    </row>
    <row r="192" spans="1:19" hidden="1" x14ac:dyDescent="0.25">
      <c r="A192" s="13">
        <v>6</v>
      </c>
      <c r="B192" s="13">
        <v>3</v>
      </c>
      <c r="C192" s="13" t="s">
        <v>248</v>
      </c>
      <c r="D192" s="13" t="s">
        <v>72</v>
      </c>
      <c r="E192" s="13" t="s">
        <v>415</v>
      </c>
      <c r="F192" s="13" t="s">
        <v>416</v>
      </c>
      <c r="G192" s="3">
        <v>56.606999999999999</v>
      </c>
      <c r="H192" s="3">
        <f>IFERROR(INDEX('Tagging key'!D:D, MATCH(F192,'Tagging key'!C:C,0)),"")</f>
        <v>74</v>
      </c>
      <c r="I192" s="3">
        <f>IFERROR(INDEX('Tagging key'!E:E, MATCH(F192,'Tagging key'!C:C,0)),"")</f>
        <v>73</v>
      </c>
      <c r="J192" s="3">
        <f>IFERROR(INDEX('Tagging key'!F:F, MATCH(F192,'Tagging key'!C:C,0)),"")</f>
        <v>20</v>
      </c>
      <c r="K192" s="3">
        <v>55.539000000000001</v>
      </c>
      <c r="L192" s="3">
        <v>76.69</v>
      </c>
      <c r="M192" s="3">
        <v>75.400000000000006</v>
      </c>
      <c r="N192" s="3">
        <v>20.2</v>
      </c>
      <c r="O192" s="3"/>
      <c r="P192" s="22">
        <v>45879</v>
      </c>
      <c r="Q192" s="22">
        <v>45879</v>
      </c>
      <c r="R192" s="3"/>
    </row>
    <row r="193" spans="1:19" hidden="1" x14ac:dyDescent="0.25">
      <c r="A193" s="13">
        <v>6</v>
      </c>
      <c r="B193" s="13">
        <v>3</v>
      </c>
      <c r="C193" s="13" t="s">
        <v>248</v>
      </c>
      <c r="D193" s="13" t="s">
        <v>72</v>
      </c>
      <c r="E193" s="13" t="s">
        <v>417</v>
      </c>
      <c r="F193" s="13" t="s">
        <v>418</v>
      </c>
      <c r="G193" s="3">
        <v>53.9</v>
      </c>
      <c r="H193" s="3">
        <f>IFERROR(INDEX('Tagging key'!D:D, MATCH(F193,'Tagging key'!C:C,0)),"")</f>
        <v>69</v>
      </c>
      <c r="I193" s="3">
        <f>IFERROR(INDEX('Tagging key'!E:E, MATCH(F193,'Tagging key'!C:C,0)),"")</f>
        <v>77</v>
      </c>
      <c r="J193" s="3">
        <f>IFERROR(INDEX('Tagging key'!F:F, MATCH(F193,'Tagging key'!C:C,0)),"")</f>
        <v>21</v>
      </c>
      <c r="K193" s="3">
        <v>49.726999999999997</v>
      </c>
      <c r="L193" s="3">
        <v>70.45</v>
      </c>
      <c r="M193" s="3">
        <v>78.12</v>
      </c>
      <c r="N193" s="3">
        <v>22.82</v>
      </c>
      <c r="O193" s="3"/>
      <c r="P193" s="22">
        <v>45877</v>
      </c>
      <c r="Q193" s="22">
        <v>45877</v>
      </c>
      <c r="R193" s="3"/>
    </row>
    <row r="194" spans="1:19" hidden="1" x14ac:dyDescent="0.25">
      <c r="A194" s="13">
        <v>6</v>
      </c>
      <c r="B194" s="13">
        <v>3</v>
      </c>
      <c r="C194" s="13" t="s">
        <v>248</v>
      </c>
      <c r="D194" s="13" t="s">
        <v>72</v>
      </c>
      <c r="E194" s="13" t="s">
        <v>419</v>
      </c>
      <c r="F194" s="13" t="s">
        <v>420</v>
      </c>
      <c r="G194" s="3">
        <v>47.444000000000003</v>
      </c>
      <c r="H194" s="3">
        <f>IFERROR(INDEX('Tagging key'!D:D, MATCH(F194,'Tagging key'!C:C,0)),"")</f>
        <v>73</v>
      </c>
      <c r="I194" s="3">
        <f>IFERROR(INDEX('Tagging key'!E:E, MATCH(F194,'Tagging key'!C:C,0)),"")</f>
        <v>75</v>
      </c>
      <c r="J194" s="3">
        <f>IFERROR(INDEX('Tagging key'!F:F, MATCH(F194,'Tagging key'!C:C,0)),"")</f>
        <v>15</v>
      </c>
      <c r="K194" s="3">
        <v>40.381999999999998</v>
      </c>
      <c r="L194" s="3">
        <v>74.02</v>
      </c>
      <c r="M194" s="3">
        <v>76.14</v>
      </c>
      <c r="N194" s="3">
        <v>18.21</v>
      </c>
      <c r="O194" s="3"/>
      <c r="P194" s="26">
        <v>45886</v>
      </c>
      <c r="Q194" s="26">
        <v>45886</v>
      </c>
      <c r="R194" s="3">
        <v>19.344000000000001</v>
      </c>
    </row>
    <row r="195" spans="1:19" hidden="1" x14ac:dyDescent="0.25">
      <c r="A195" s="11">
        <v>6</v>
      </c>
      <c r="B195" s="11">
        <v>4</v>
      </c>
      <c r="C195" s="11" t="s">
        <v>248</v>
      </c>
      <c r="D195" s="11" t="s">
        <v>46</v>
      </c>
      <c r="E195" s="11" t="s">
        <v>421</v>
      </c>
      <c r="F195" s="11" t="s">
        <v>422</v>
      </c>
      <c r="G195" s="3">
        <v>37.621000000000002</v>
      </c>
      <c r="H195" s="3">
        <f>IFERROR(INDEX('Tagging key'!D:D, MATCH(F195,'Tagging key'!C:C,0)),"")</f>
        <v>74.37</v>
      </c>
      <c r="I195" s="3">
        <f>IFERROR(INDEX('Tagging key'!E:E, MATCH(F195,'Tagging key'!C:C,0)),"")</f>
        <v>40.6</v>
      </c>
      <c r="J195" s="3">
        <f>IFERROR(INDEX('Tagging key'!F:F, MATCH(F195,'Tagging key'!C:C,0)),"")</f>
        <v>26.45</v>
      </c>
      <c r="K195" s="3">
        <v>38.591999999999999</v>
      </c>
      <c r="L195" s="3">
        <v>74.55</v>
      </c>
      <c r="M195" s="3">
        <v>38.75</v>
      </c>
      <c r="N195" s="3">
        <v>28.19</v>
      </c>
      <c r="O195" s="3"/>
      <c r="P195" s="22">
        <v>45879</v>
      </c>
      <c r="Q195" s="22">
        <v>45879</v>
      </c>
      <c r="R195" s="3"/>
    </row>
    <row r="196" spans="1:19" x14ac:dyDescent="0.25">
      <c r="A196" s="11">
        <v>6</v>
      </c>
      <c r="B196" s="11">
        <v>4</v>
      </c>
      <c r="C196" s="11" t="s">
        <v>248</v>
      </c>
      <c r="D196" s="11" t="s">
        <v>46</v>
      </c>
      <c r="E196" s="11" t="s">
        <v>423</v>
      </c>
      <c r="F196" s="11" t="s">
        <v>424</v>
      </c>
      <c r="G196" s="3">
        <v>25.751999999999999</v>
      </c>
      <c r="H196" s="3">
        <f>IFERROR(INDEX('Tagging key'!D:D, MATCH(F196,'Tagging key'!C:C,0)),"")</f>
        <v>66.959999999999994</v>
      </c>
      <c r="I196" s="3">
        <f>IFERROR(INDEX('Tagging key'!E:E, MATCH(F196,'Tagging key'!C:C,0)),"")</f>
        <v>36.75</v>
      </c>
      <c r="J196" s="3">
        <f>IFERROR(INDEX('Tagging key'!F:F, MATCH(F196,'Tagging key'!C:C,0)),"")</f>
        <v>23.59</v>
      </c>
      <c r="K196" s="3">
        <v>26.132000000000001</v>
      </c>
      <c r="L196" s="3">
        <v>67.16</v>
      </c>
      <c r="M196" s="3">
        <v>32.869999999999997</v>
      </c>
      <c r="N196" s="3">
        <v>23.85</v>
      </c>
      <c r="O196" s="3"/>
      <c r="P196" s="22">
        <v>45882</v>
      </c>
      <c r="Q196" s="22">
        <v>45882</v>
      </c>
      <c r="R196" s="3">
        <v>8.8740000000000006</v>
      </c>
    </row>
    <row r="197" spans="1:19" hidden="1" x14ac:dyDescent="0.25">
      <c r="A197" s="11">
        <v>6</v>
      </c>
      <c r="B197" s="11">
        <v>4</v>
      </c>
      <c r="C197" s="11" t="s">
        <v>248</v>
      </c>
      <c r="D197" s="11" t="s">
        <v>46</v>
      </c>
      <c r="E197" s="11" t="s">
        <v>425</v>
      </c>
      <c r="F197" s="11" t="s">
        <v>426</v>
      </c>
      <c r="G197" s="3">
        <v>55.456000000000003</v>
      </c>
      <c r="H197" s="3">
        <f>IFERROR(INDEX('Tagging key'!D:D, MATCH(F197,'Tagging key'!C:C,0)),"")</f>
        <v>84.46</v>
      </c>
      <c r="I197" s="3">
        <f>IFERROR(INDEX('Tagging key'!E:E, MATCH(F197,'Tagging key'!C:C,0)),"")</f>
        <v>45.67</v>
      </c>
      <c r="J197" s="3">
        <f>IFERROR(INDEX('Tagging key'!F:F, MATCH(F197,'Tagging key'!C:C,0)),"")</f>
        <v>31.23</v>
      </c>
      <c r="K197" s="3">
        <v>56.789000000000001</v>
      </c>
      <c r="L197" s="3">
        <v>84.29</v>
      </c>
      <c r="M197" s="3">
        <v>42.24</v>
      </c>
      <c r="N197" s="3">
        <v>31.16</v>
      </c>
      <c r="O197" s="3"/>
      <c r="P197" s="26">
        <v>45886</v>
      </c>
      <c r="Q197" s="26">
        <v>45886</v>
      </c>
    </row>
    <row r="198" spans="1:19" hidden="1" x14ac:dyDescent="0.25">
      <c r="A198" s="11">
        <v>6</v>
      </c>
      <c r="B198" s="11">
        <v>4</v>
      </c>
      <c r="C198" s="11" t="s">
        <v>248</v>
      </c>
      <c r="D198" s="11" t="s">
        <v>46</v>
      </c>
      <c r="E198" s="11" t="s">
        <v>427</v>
      </c>
      <c r="F198" s="11" t="s">
        <v>428</v>
      </c>
      <c r="G198" s="3">
        <v>37.436</v>
      </c>
      <c r="H198" s="3">
        <f>IFERROR(INDEX('Tagging key'!D:D, MATCH(F198,'Tagging key'!C:C,0)),"")</f>
        <v>68.959999999999994</v>
      </c>
      <c r="I198" s="3">
        <f>IFERROR(INDEX('Tagging key'!E:E, MATCH(F198,'Tagging key'!C:C,0)),"")</f>
        <v>38.64</v>
      </c>
      <c r="J198" s="3">
        <f>IFERROR(INDEX('Tagging key'!F:F, MATCH(F198,'Tagging key'!C:C,0)),"")</f>
        <v>27.79</v>
      </c>
      <c r="K198" s="3">
        <v>37.622999999999998</v>
      </c>
      <c r="L198" s="3">
        <v>69.14</v>
      </c>
      <c r="M198" s="3">
        <v>35.17</v>
      </c>
      <c r="N198" s="3">
        <v>28.62</v>
      </c>
      <c r="O198" s="3"/>
      <c r="P198" s="22">
        <v>45877</v>
      </c>
      <c r="Q198" s="22">
        <v>45877</v>
      </c>
      <c r="R198" s="3"/>
    </row>
    <row r="199" spans="1:19" hidden="1" x14ac:dyDescent="0.25">
      <c r="A199" s="12">
        <v>6</v>
      </c>
      <c r="B199" s="12">
        <v>5</v>
      </c>
      <c r="C199" s="12" t="s">
        <v>248</v>
      </c>
      <c r="D199" s="12" t="s">
        <v>46</v>
      </c>
      <c r="E199" s="12" t="s">
        <v>429</v>
      </c>
      <c r="F199" s="12" t="s">
        <v>430</v>
      </c>
      <c r="G199" s="3">
        <v>45.843000000000004</v>
      </c>
      <c r="H199" s="3">
        <f>IFERROR(INDEX('Tagging key'!D:D, MATCH(F199,'Tagging key'!C:C,0)),"")</f>
        <v>78.22</v>
      </c>
      <c r="I199" s="3">
        <f>IFERROR(INDEX('Tagging key'!E:E, MATCH(F199,'Tagging key'!C:C,0)),"")</f>
        <v>41.51</v>
      </c>
      <c r="J199" s="3">
        <f>IFERROR(INDEX('Tagging key'!F:F, MATCH(F199,'Tagging key'!C:C,0)),"")</f>
        <v>27.87</v>
      </c>
      <c r="K199" s="3">
        <v>46.371000000000002</v>
      </c>
      <c r="L199" s="3">
        <v>77.12</v>
      </c>
      <c r="M199" s="3">
        <v>39.03</v>
      </c>
      <c r="N199" s="3">
        <v>28.88</v>
      </c>
      <c r="O199" s="3"/>
      <c r="P199" s="26">
        <v>45886</v>
      </c>
      <c r="Q199" s="26">
        <v>45886</v>
      </c>
      <c r="R199" s="3">
        <v>18.43</v>
      </c>
    </row>
    <row r="200" spans="1:19" x14ac:dyDescent="0.25">
      <c r="A200" s="12">
        <v>6</v>
      </c>
      <c r="B200" s="12">
        <v>5</v>
      </c>
      <c r="C200" s="12" t="s">
        <v>248</v>
      </c>
      <c r="D200" s="12" t="s">
        <v>46</v>
      </c>
      <c r="E200" s="12" t="s">
        <v>353</v>
      </c>
      <c r="F200" s="12" t="s">
        <v>431</v>
      </c>
      <c r="G200" s="3">
        <v>36.024000000000001</v>
      </c>
      <c r="H200" s="3">
        <f>IFERROR(INDEX('Tagging key'!D:D, MATCH(F200,'Tagging key'!C:C,0)),"")</f>
        <v>70.040000000000006</v>
      </c>
      <c r="I200" s="3">
        <f>IFERROR(INDEX('Tagging key'!E:E, MATCH(F200,'Tagging key'!C:C,0)),"")</f>
        <v>34.75</v>
      </c>
      <c r="J200" s="3">
        <f>IFERROR(INDEX('Tagging key'!F:F, MATCH(F200,'Tagging key'!C:C,0)),"")</f>
        <v>28.91</v>
      </c>
      <c r="K200" s="3">
        <v>36.256</v>
      </c>
      <c r="L200" s="3">
        <v>69.28</v>
      </c>
      <c r="M200" s="3">
        <v>31.36</v>
      </c>
      <c r="N200" s="3">
        <v>28.09</v>
      </c>
      <c r="O200" s="3"/>
      <c r="P200" s="22">
        <v>45882</v>
      </c>
      <c r="Q200" s="22">
        <v>45882</v>
      </c>
      <c r="R200" s="3">
        <v>14.795999999999999</v>
      </c>
    </row>
    <row r="201" spans="1:19" hidden="1" x14ac:dyDescent="0.25">
      <c r="A201" s="12">
        <v>6</v>
      </c>
      <c r="B201" s="12">
        <v>5</v>
      </c>
      <c r="C201" s="12" t="s">
        <v>248</v>
      </c>
      <c r="D201" s="12" t="s">
        <v>46</v>
      </c>
      <c r="E201" s="12" t="s">
        <v>432</v>
      </c>
      <c r="F201" s="12" t="s">
        <v>433</v>
      </c>
      <c r="G201" s="3">
        <v>36.555</v>
      </c>
      <c r="H201" s="3">
        <f>IFERROR(INDEX('Tagging key'!D:D, MATCH(F201,'Tagging key'!C:C,0)),"")</f>
        <v>73.81</v>
      </c>
      <c r="I201" s="3">
        <f>IFERROR(INDEX('Tagging key'!E:E, MATCH(F201,'Tagging key'!C:C,0)),"")</f>
        <v>43.88</v>
      </c>
      <c r="J201" s="3">
        <f>IFERROR(INDEX('Tagging key'!F:F, MATCH(F201,'Tagging key'!C:C,0)),"")</f>
        <v>25.61</v>
      </c>
      <c r="K201" s="3">
        <v>37.563000000000002</v>
      </c>
      <c r="L201" s="3">
        <v>74.41</v>
      </c>
      <c r="M201" s="3">
        <v>40.119999999999997</v>
      </c>
      <c r="N201" s="3">
        <v>27.02</v>
      </c>
      <c r="O201" s="3"/>
      <c r="P201" s="22">
        <v>45879</v>
      </c>
      <c r="Q201" s="22">
        <v>45879</v>
      </c>
      <c r="R201" s="3"/>
    </row>
    <row r="202" spans="1:19" hidden="1" x14ac:dyDescent="0.25">
      <c r="A202" s="12">
        <v>6</v>
      </c>
      <c r="B202" s="12">
        <v>5</v>
      </c>
      <c r="C202" s="12" t="s">
        <v>248</v>
      </c>
      <c r="D202" s="12" t="s">
        <v>46</v>
      </c>
      <c r="E202" s="12" t="s">
        <v>434</v>
      </c>
      <c r="F202" s="12" t="s">
        <v>435</v>
      </c>
      <c r="G202" s="3">
        <v>64.932000000000002</v>
      </c>
      <c r="H202" s="3">
        <f>IFERROR(INDEX('Tagging key'!D:D, MATCH(F202,'Tagging key'!C:C,0)),"")</f>
        <v>87</v>
      </c>
      <c r="I202" s="3">
        <f>IFERROR(INDEX('Tagging key'!E:E, MATCH(F202,'Tagging key'!C:C,0)),"")</f>
        <v>40</v>
      </c>
      <c r="J202" s="3">
        <f>IFERROR(INDEX('Tagging key'!F:F, MATCH(F202,'Tagging key'!C:C,0)),"")</f>
        <v>32</v>
      </c>
      <c r="K202" s="3">
        <v>65.012</v>
      </c>
      <c r="L202" s="3">
        <v>87.12</v>
      </c>
      <c r="M202" s="3">
        <v>40.33</v>
      </c>
      <c r="N202" s="3">
        <v>33.11</v>
      </c>
      <c r="O202" s="3"/>
      <c r="P202" s="22">
        <v>45877</v>
      </c>
      <c r="Q202" s="22">
        <v>45877</v>
      </c>
      <c r="R202" s="3"/>
    </row>
    <row r="203" spans="1:19" hidden="1" x14ac:dyDescent="0.25">
      <c r="A203" s="11">
        <v>6</v>
      </c>
      <c r="B203" s="11">
        <v>6</v>
      </c>
      <c r="C203" s="11" t="s">
        <v>248</v>
      </c>
      <c r="D203" s="11" t="s">
        <v>46</v>
      </c>
      <c r="E203" s="11" t="s">
        <v>436</v>
      </c>
      <c r="F203" s="11" t="s">
        <v>437</v>
      </c>
      <c r="G203" s="3">
        <v>40.341999999999999</v>
      </c>
      <c r="H203" s="3">
        <f>IFERROR(INDEX('Tagging key'!D:D, MATCH(F203,'Tagging key'!C:C,0)),"")</f>
        <v>72</v>
      </c>
      <c r="I203" s="3">
        <f>IFERROR(INDEX('Tagging key'!E:E, MATCH(F203,'Tagging key'!C:C,0)),"")</f>
        <v>38</v>
      </c>
      <c r="J203" s="3">
        <f>IFERROR(INDEX('Tagging key'!F:F, MATCH(F203,'Tagging key'!C:C,0)),"")</f>
        <v>27</v>
      </c>
      <c r="K203" s="3">
        <v>40.433</v>
      </c>
      <c r="L203" s="3">
        <v>72.180000000000007</v>
      </c>
      <c r="M203" s="3">
        <v>38.46</v>
      </c>
      <c r="N203" s="3">
        <v>27.57</v>
      </c>
      <c r="O203" s="3"/>
      <c r="P203" s="26">
        <v>45886</v>
      </c>
      <c r="Q203" s="26">
        <v>45886</v>
      </c>
    </row>
    <row r="204" spans="1:19" x14ac:dyDescent="0.25">
      <c r="A204" s="11">
        <v>6</v>
      </c>
      <c r="B204" s="11">
        <v>6</v>
      </c>
      <c r="C204" s="11" t="s">
        <v>248</v>
      </c>
      <c r="D204" s="11" t="s">
        <v>46</v>
      </c>
      <c r="E204" s="11" t="s">
        <v>438</v>
      </c>
      <c r="F204" s="11" t="s">
        <v>439</v>
      </c>
      <c r="G204" s="3">
        <v>36.405999999999999</v>
      </c>
      <c r="H204" s="3">
        <f>IFERROR(INDEX('Tagging key'!D:D, MATCH(F204,'Tagging key'!C:C,0)),"")</f>
        <v>74</v>
      </c>
      <c r="I204" s="3">
        <f>IFERROR(INDEX('Tagging key'!E:E, MATCH(F204,'Tagging key'!C:C,0)),"")</f>
        <v>34</v>
      </c>
      <c r="J204" s="3">
        <f>IFERROR(INDEX('Tagging key'!F:F, MATCH(F204,'Tagging key'!C:C,0)),"")</f>
        <v>26</v>
      </c>
      <c r="K204" s="3">
        <v>37.067</v>
      </c>
      <c r="L204" s="3">
        <v>75.150000000000006</v>
      </c>
      <c r="M204" s="3">
        <v>34.659999999999997</v>
      </c>
      <c r="N204" s="3">
        <v>26.3</v>
      </c>
      <c r="O204" s="3"/>
      <c r="P204" s="22">
        <v>45882</v>
      </c>
      <c r="Q204" s="22">
        <v>45882</v>
      </c>
      <c r="R204" s="3">
        <v>14.064</v>
      </c>
    </row>
    <row r="205" spans="1:19" hidden="1" x14ac:dyDescent="0.25">
      <c r="A205" s="11">
        <v>6</v>
      </c>
      <c r="B205" s="11">
        <v>6</v>
      </c>
      <c r="C205" s="11" t="s">
        <v>248</v>
      </c>
      <c r="D205" s="11" t="s">
        <v>46</v>
      </c>
      <c r="E205" s="11" t="s">
        <v>440</v>
      </c>
      <c r="F205" s="11" t="s">
        <v>441</v>
      </c>
      <c r="G205" s="3">
        <v>77.497</v>
      </c>
      <c r="H205" s="3">
        <f>IFERROR(INDEX('Tagging key'!D:D, MATCH(F205,'Tagging key'!C:C,0)),"")</f>
        <v>93.62</v>
      </c>
      <c r="I205" s="3">
        <f>IFERROR(INDEX('Tagging key'!E:E, MATCH(F205,'Tagging key'!C:C,0)),"")</f>
        <v>45.15</v>
      </c>
      <c r="J205" s="3">
        <f>IFERROR(INDEX('Tagging key'!F:F, MATCH(F205,'Tagging key'!C:C,0)),"")</f>
        <v>32.46</v>
      </c>
      <c r="K205" s="3">
        <v>77.524000000000001</v>
      </c>
      <c r="L205" s="3">
        <v>93.18</v>
      </c>
      <c r="M205" s="3">
        <v>42.83</v>
      </c>
      <c r="N205" s="3">
        <v>35</v>
      </c>
      <c r="O205" s="3"/>
      <c r="P205" s="22">
        <v>45877</v>
      </c>
      <c r="Q205" s="22">
        <v>45877</v>
      </c>
      <c r="R205" s="3"/>
    </row>
    <row r="206" spans="1:19" hidden="1" x14ac:dyDescent="0.25">
      <c r="A206" s="11">
        <v>6</v>
      </c>
      <c r="B206" s="11">
        <v>6</v>
      </c>
      <c r="C206" s="11" t="s">
        <v>248</v>
      </c>
      <c r="D206" s="11" t="s">
        <v>46</v>
      </c>
      <c r="E206" s="11" t="s">
        <v>442</v>
      </c>
      <c r="F206" s="11" t="s">
        <v>443</v>
      </c>
      <c r="G206" s="3">
        <v>42.231000000000002</v>
      </c>
      <c r="H206" s="3">
        <f>IFERROR(INDEX('Tagging key'!D:D, MATCH(F206,'Tagging key'!C:C,0)),"")</f>
        <v>75</v>
      </c>
      <c r="I206" s="3">
        <f>IFERROR(INDEX('Tagging key'!E:E, MATCH(F206,'Tagging key'!C:C,0)),"")</f>
        <v>37</v>
      </c>
      <c r="J206" s="3">
        <f>IFERROR(INDEX('Tagging key'!F:F, MATCH(F206,'Tagging key'!C:C,0)),"")</f>
        <v>27</v>
      </c>
      <c r="K206" s="3">
        <v>42.625</v>
      </c>
      <c r="L206" s="3">
        <v>75.459999999999994</v>
      </c>
      <c r="M206" s="3">
        <v>38.229999999999997</v>
      </c>
      <c r="N206" s="3">
        <v>28.47</v>
      </c>
      <c r="O206" s="3"/>
      <c r="P206" s="22">
        <v>45879</v>
      </c>
      <c r="Q206" s="22">
        <v>45879</v>
      </c>
      <c r="R206" s="3"/>
    </row>
    <row r="207" spans="1:19" x14ac:dyDescent="0.25">
      <c r="A207" s="19">
        <v>6</v>
      </c>
      <c r="B207" s="19">
        <v>7</v>
      </c>
      <c r="C207" s="19" t="s">
        <v>248</v>
      </c>
      <c r="D207" s="19" t="s">
        <v>16</v>
      </c>
      <c r="E207" s="19" t="s">
        <v>444</v>
      </c>
      <c r="F207" s="19" t="s">
        <v>445</v>
      </c>
      <c r="G207" s="19">
        <v>26.518999999999998</v>
      </c>
      <c r="H207" s="19">
        <f>IFERROR(INDEX('Tagging key'!D:D, MATCH(F207,'Tagging key'!C:C,0)),"")</f>
        <v>65.17</v>
      </c>
      <c r="I207" s="19">
        <f>IFERROR(INDEX('Tagging key'!E:E, MATCH(F207,'Tagging key'!C:C,0)),"")</f>
        <v>45.56</v>
      </c>
      <c r="J207" s="19">
        <f>IFERROR(INDEX('Tagging key'!F:F, MATCH(F207,'Tagging key'!C:C,0)),"")</f>
        <v>14.72</v>
      </c>
      <c r="K207" s="19"/>
      <c r="L207" s="19"/>
      <c r="M207" s="19"/>
      <c r="N207" s="19"/>
      <c r="O207" s="19"/>
      <c r="P207" s="19"/>
      <c r="Q207" s="19"/>
      <c r="R207" s="19"/>
      <c r="S207" t="s">
        <v>446</v>
      </c>
    </row>
    <row r="208" spans="1:19" x14ac:dyDescent="0.25">
      <c r="A208" s="8">
        <v>6</v>
      </c>
      <c r="B208" s="8">
        <v>7</v>
      </c>
      <c r="C208" s="8" t="s">
        <v>248</v>
      </c>
      <c r="D208" s="8" t="s">
        <v>16</v>
      </c>
      <c r="E208" s="8" t="s">
        <v>447</v>
      </c>
      <c r="F208" s="8" t="s">
        <v>448</v>
      </c>
      <c r="G208" s="3">
        <v>41.201999999999998</v>
      </c>
      <c r="H208" s="3">
        <f>IFERROR(INDEX('Tagging key'!D:D, MATCH(F208,'Tagging key'!C:C,0)),"")</f>
        <v>80.42</v>
      </c>
      <c r="I208" s="3">
        <f>IFERROR(INDEX('Tagging key'!E:E, MATCH(F208,'Tagging key'!C:C,0)),"")</f>
        <v>47.66</v>
      </c>
      <c r="J208" s="3">
        <f>IFERROR(INDEX('Tagging key'!F:F, MATCH(F208,'Tagging key'!C:C,0)),"")</f>
        <v>19.63</v>
      </c>
      <c r="K208" s="3">
        <v>40.576999999999998</v>
      </c>
      <c r="L208" s="3">
        <v>80.14</v>
      </c>
      <c r="M208" s="3">
        <v>49.94</v>
      </c>
      <c r="N208" s="3">
        <v>18.78</v>
      </c>
      <c r="O208" s="3"/>
      <c r="P208" s="22">
        <v>45882</v>
      </c>
      <c r="Q208" s="22">
        <v>45882</v>
      </c>
      <c r="R208" s="3">
        <v>24.234999999999999</v>
      </c>
    </row>
    <row r="209" spans="1:19" hidden="1" x14ac:dyDescent="0.25">
      <c r="A209" s="8">
        <v>6</v>
      </c>
      <c r="B209" s="8">
        <v>7</v>
      </c>
      <c r="C209" s="8" t="s">
        <v>248</v>
      </c>
      <c r="D209" s="8" t="s">
        <v>16</v>
      </c>
      <c r="E209" s="8" t="s">
        <v>449</v>
      </c>
      <c r="F209" s="8" t="s">
        <v>450</v>
      </c>
      <c r="G209" s="3">
        <v>40.465000000000003</v>
      </c>
      <c r="H209" s="3">
        <f>IFERROR(INDEX('Tagging key'!D:D, MATCH(F209,'Tagging key'!C:C,0)),"")</f>
        <v>81.28</v>
      </c>
      <c r="I209" s="3">
        <f>IFERROR(INDEX('Tagging key'!E:E, MATCH(F209,'Tagging key'!C:C,0)),"")</f>
        <v>51.86</v>
      </c>
      <c r="J209" s="3">
        <f>IFERROR(INDEX('Tagging key'!F:F, MATCH(F209,'Tagging key'!C:C,0)),"")</f>
        <v>23.17</v>
      </c>
      <c r="K209" s="3">
        <v>39.804000000000002</v>
      </c>
      <c r="L209" s="3">
        <v>75.31</v>
      </c>
      <c r="M209" s="3">
        <v>44.08</v>
      </c>
      <c r="N209" s="3">
        <v>17.3</v>
      </c>
      <c r="O209" s="3"/>
      <c r="P209" s="22">
        <v>45877</v>
      </c>
      <c r="Q209" s="22">
        <v>45877</v>
      </c>
      <c r="R209" s="3"/>
    </row>
    <row r="210" spans="1:19" hidden="1" x14ac:dyDescent="0.25">
      <c r="A210" s="8">
        <v>6</v>
      </c>
      <c r="B210" s="8">
        <v>7</v>
      </c>
      <c r="C210" s="8" t="s">
        <v>248</v>
      </c>
      <c r="D210" s="8" t="s">
        <v>16</v>
      </c>
      <c r="E210" s="8" t="s">
        <v>451</v>
      </c>
      <c r="F210" s="8" t="s">
        <v>452</v>
      </c>
      <c r="G210" s="3">
        <v>32.564999999999998</v>
      </c>
      <c r="H210" s="3">
        <f>IFERROR(INDEX('Tagging key'!D:D, MATCH(F210,'Tagging key'!C:C,0)),"")</f>
        <v>61.11</v>
      </c>
      <c r="I210" s="3">
        <f>IFERROR(INDEX('Tagging key'!E:E, MATCH(F210,'Tagging key'!C:C,0)),"")</f>
        <v>46.57</v>
      </c>
      <c r="J210" s="3">
        <f>IFERROR(INDEX('Tagging key'!F:F, MATCH(F210,'Tagging key'!C:C,0)),"")</f>
        <v>18.88</v>
      </c>
      <c r="K210" s="3">
        <v>33.478000000000002</v>
      </c>
      <c r="L210" s="3">
        <v>63.2</v>
      </c>
      <c r="M210" s="3">
        <v>53.02</v>
      </c>
      <c r="N210" s="3">
        <v>22.48</v>
      </c>
      <c r="O210" s="3"/>
      <c r="P210" s="22">
        <v>45879</v>
      </c>
      <c r="Q210" s="22">
        <v>45879</v>
      </c>
      <c r="R210" s="3"/>
    </row>
    <row r="211" spans="1:19" hidden="1" x14ac:dyDescent="0.25">
      <c r="A211" s="9">
        <v>6</v>
      </c>
      <c r="B211" s="9">
        <v>8</v>
      </c>
      <c r="C211" s="9" t="s">
        <v>248</v>
      </c>
      <c r="D211" s="9" t="s">
        <v>16</v>
      </c>
      <c r="E211" s="9" t="s">
        <v>154</v>
      </c>
      <c r="F211" s="9" t="s">
        <v>453</v>
      </c>
      <c r="G211" s="3">
        <v>39.783999999999999</v>
      </c>
      <c r="H211" s="3">
        <f>IFERROR(INDEX('Tagging key'!D:D, MATCH(F211,'Tagging key'!C:C,0)),"")</f>
        <v>84.7</v>
      </c>
      <c r="I211" s="3">
        <f>IFERROR(INDEX('Tagging key'!E:E, MATCH(F211,'Tagging key'!C:C,0)),"")</f>
        <v>49.44</v>
      </c>
      <c r="J211" s="3">
        <f>IFERROR(INDEX('Tagging key'!F:F, MATCH(F211,'Tagging key'!C:C,0)),"")</f>
        <v>17.03</v>
      </c>
      <c r="K211" s="3">
        <v>39.734000000000002</v>
      </c>
      <c r="L211" s="3">
        <v>84.41</v>
      </c>
      <c r="M211" s="3">
        <v>47.22</v>
      </c>
      <c r="N211" s="3">
        <v>19.37</v>
      </c>
      <c r="O211" s="3"/>
      <c r="P211" s="22">
        <v>45877</v>
      </c>
      <c r="Q211" s="22">
        <v>45877</v>
      </c>
      <c r="R211" s="3"/>
    </row>
    <row r="212" spans="1:19" x14ac:dyDescent="0.25">
      <c r="A212" s="9">
        <v>6</v>
      </c>
      <c r="B212" s="9">
        <v>8</v>
      </c>
      <c r="C212" s="9" t="s">
        <v>248</v>
      </c>
      <c r="D212" s="9" t="s">
        <v>16</v>
      </c>
      <c r="E212" s="9" t="s">
        <v>170</v>
      </c>
      <c r="F212" s="9" t="s">
        <v>454</v>
      </c>
      <c r="G212" s="3">
        <v>33.204999999999998</v>
      </c>
      <c r="H212" s="3">
        <f>IFERROR(INDEX('Tagging key'!D:D, MATCH(F212,'Tagging key'!C:C,0)),"")</f>
        <v>71.98</v>
      </c>
      <c r="I212" s="3">
        <f>IFERROR(INDEX('Tagging key'!E:E, MATCH(F212,'Tagging key'!C:C,0)),"")</f>
        <v>50.73</v>
      </c>
      <c r="J212" s="3">
        <f>IFERROR(INDEX('Tagging key'!F:F, MATCH(F212,'Tagging key'!C:C,0)),"")</f>
        <v>17.510000000000002</v>
      </c>
      <c r="K212" s="3">
        <v>32.911999999999999</v>
      </c>
      <c r="L212" s="3">
        <v>72.08</v>
      </c>
      <c r="M212" s="3">
        <v>48.57</v>
      </c>
      <c r="N212" s="3">
        <v>18.010000000000002</v>
      </c>
      <c r="O212" s="3"/>
      <c r="P212" s="22">
        <v>45882</v>
      </c>
      <c r="Q212" s="22">
        <v>45882</v>
      </c>
      <c r="R212" s="3">
        <v>19.452999999999999</v>
      </c>
    </row>
    <row r="213" spans="1:19" hidden="1" x14ac:dyDescent="0.25">
      <c r="A213" s="9">
        <v>6</v>
      </c>
      <c r="B213" s="9">
        <v>8</v>
      </c>
      <c r="C213" s="9" t="s">
        <v>248</v>
      </c>
      <c r="D213" s="9" t="s">
        <v>16</v>
      </c>
      <c r="E213" s="9" t="s">
        <v>183</v>
      </c>
      <c r="F213" s="9" t="s">
        <v>455</v>
      </c>
      <c r="G213" s="3">
        <v>31.088000000000001</v>
      </c>
      <c r="H213" s="3">
        <f>IFERROR(INDEX('Tagging key'!D:D, MATCH(F213,'Tagging key'!C:C,0)),"")</f>
        <v>55.85</v>
      </c>
      <c r="I213" s="3">
        <f>IFERROR(INDEX('Tagging key'!E:E, MATCH(F213,'Tagging key'!C:C,0)),"")</f>
        <v>52.59</v>
      </c>
      <c r="J213" s="3">
        <f>IFERROR(INDEX('Tagging key'!F:F, MATCH(F213,'Tagging key'!C:C,0)),"")</f>
        <v>17.809999999999999</v>
      </c>
      <c r="K213" s="3">
        <v>30.722000000000001</v>
      </c>
      <c r="L213" s="3">
        <v>61.87</v>
      </c>
      <c r="M213" s="3">
        <v>47.2</v>
      </c>
      <c r="N213" s="3">
        <v>20.399999999999999</v>
      </c>
      <c r="O213" s="3"/>
      <c r="P213" s="22">
        <v>45879</v>
      </c>
      <c r="Q213" s="22">
        <v>45879</v>
      </c>
      <c r="R213" s="3"/>
    </row>
    <row r="214" spans="1:19" x14ac:dyDescent="0.25">
      <c r="A214" s="19">
        <v>6</v>
      </c>
      <c r="B214" s="19">
        <v>8</v>
      </c>
      <c r="C214" s="19" t="s">
        <v>248</v>
      </c>
      <c r="D214" s="19" t="s">
        <v>16</v>
      </c>
      <c r="E214" s="19" t="s">
        <v>456</v>
      </c>
      <c r="F214" s="19" t="s">
        <v>457</v>
      </c>
      <c r="G214" s="19">
        <v>11.05</v>
      </c>
      <c r="H214" s="19">
        <f>IFERROR(INDEX('Tagging key'!D:D, MATCH(F214,'Tagging key'!C:C,0)),"")</f>
        <v>48.99</v>
      </c>
      <c r="I214" s="19">
        <f>IFERROR(INDEX('Tagging key'!E:E, MATCH(F214,'Tagging key'!C:C,0)),"")</f>
        <v>31.19</v>
      </c>
      <c r="J214" s="19">
        <f>IFERROR(INDEX('Tagging key'!F:F, MATCH(F214,'Tagging key'!C:C,0)),"")</f>
        <v>14.88</v>
      </c>
      <c r="K214" s="19">
        <v>11.226000000000001</v>
      </c>
      <c r="L214" s="19">
        <v>48.99</v>
      </c>
      <c r="M214" s="19">
        <v>31.62</v>
      </c>
      <c r="N214" s="19">
        <v>15.38</v>
      </c>
      <c r="O214" s="19"/>
      <c r="P214" s="27"/>
      <c r="Q214" s="27"/>
      <c r="R214" s="19">
        <v>6.7450000000000001</v>
      </c>
      <c r="S214" t="s">
        <v>458</v>
      </c>
    </row>
    <row r="215" spans="1:19" hidden="1" x14ac:dyDescent="0.25">
      <c r="A215" s="8">
        <v>6</v>
      </c>
      <c r="B215" s="8">
        <v>9</v>
      </c>
      <c r="C215" s="8" t="s">
        <v>248</v>
      </c>
      <c r="D215" s="8" t="s">
        <v>16</v>
      </c>
      <c r="E215" s="8" t="s">
        <v>459</v>
      </c>
      <c r="F215" s="8" t="s">
        <v>460</v>
      </c>
      <c r="G215" s="3">
        <v>18.914000000000001</v>
      </c>
      <c r="H215" s="3">
        <f>IFERROR(INDEX('Tagging key'!D:D, MATCH(F215,'Tagging key'!C:C,0)),"")</f>
        <v>59.29</v>
      </c>
      <c r="I215" s="3">
        <f>IFERROR(INDEX('Tagging key'!E:E, MATCH(F215,'Tagging key'!C:C,0)),"")</f>
        <v>37.909999999999997</v>
      </c>
      <c r="J215" s="3">
        <f>IFERROR(INDEX('Tagging key'!F:F, MATCH(F215,'Tagging key'!C:C,0)),"")</f>
        <v>14.47</v>
      </c>
      <c r="K215" s="3">
        <v>18.805</v>
      </c>
      <c r="L215" s="3">
        <v>60.06</v>
      </c>
      <c r="M215" s="3">
        <v>39.630000000000003</v>
      </c>
      <c r="N215" s="3">
        <v>18.09</v>
      </c>
      <c r="O215" s="3"/>
      <c r="P215" s="22">
        <v>45879</v>
      </c>
      <c r="Q215" s="22">
        <v>45879</v>
      </c>
      <c r="R215" s="3"/>
    </row>
    <row r="216" spans="1:19" hidden="1" x14ac:dyDescent="0.25">
      <c r="A216" s="8">
        <v>6</v>
      </c>
      <c r="B216" s="8">
        <v>9</v>
      </c>
      <c r="C216" s="8" t="s">
        <v>248</v>
      </c>
      <c r="D216" s="8" t="s">
        <v>16</v>
      </c>
      <c r="E216" s="8" t="s">
        <v>432</v>
      </c>
      <c r="F216" s="8" t="s">
        <v>461</v>
      </c>
      <c r="G216" s="3">
        <v>32.917999999999999</v>
      </c>
      <c r="H216" s="3">
        <f>IFERROR(INDEX('Tagging key'!D:D, MATCH(F216,'Tagging key'!C:C,0)),"")</f>
        <v>60.48</v>
      </c>
      <c r="I216" s="3">
        <f>IFERROR(INDEX('Tagging key'!E:E, MATCH(F216,'Tagging key'!C:C,0)),"")</f>
        <v>58.74</v>
      </c>
      <c r="J216" s="3">
        <f>IFERROR(INDEX('Tagging key'!F:F, MATCH(F216,'Tagging key'!C:C,0)),"")</f>
        <v>19.45</v>
      </c>
      <c r="K216" s="3">
        <v>32.503</v>
      </c>
      <c r="L216" s="3">
        <v>65.73</v>
      </c>
      <c r="M216" s="3">
        <v>39.97</v>
      </c>
      <c r="N216" s="3">
        <v>19.09</v>
      </c>
      <c r="O216" s="3"/>
      <c r="P216" s="22">
        <v>45877</v>
      </c>
      <c r="Q216" s="22">
        <v>45877</v>
      </c>
      <c r="R216" s="3"/>
    </row>
    <row r="217" spans="1:19" hidden="1" x14ac:dyDescent="0.25">
      <c r="A217" s="8">
        <v>6</v>
      </c>
      <c r="B217" s="8">
        <v>9</v>
      </c>
      <c r="C217" s="8" t="s">
        <v>248</v>
      </c>
      <c r="D217" s="8" t="s">
        <v>16</v>
      </c>
      <c r="E217" s="8" t="s">
        <v>462</v>
      </c>
      <c r="F217" s="8" t="s">
        <v>463</v>
      </c>
      <c r="G217" s="3">
        <v>25.733000000000001</v>
      </c>
      <c r="H217" s="3">
        <f>IFERROR(INDEX('Tagging key'!D:D, MATCH(F217,'Tagging key'!C:C,0)),"")</f>
        <v>69.05</v>
      </c>
      <c r="I217" s="3">
        <f>IFERROR(INDEX('Tagging key'!E:E, MATCH(F217,'Tagging key'!C:C,0)),"")</f>
        <v>43.8</v>
      </c>
      <c r="J217" s="3">
        <f>IFERROR(INDEX('Tagging key'!F:F, MATCH(F217,'Tagging key'!C:C,0)),"")</f>
        <v>15.75</v>
      </c>
      <c r="K217" s="3">
        <v>25.553000000000001</v>
      </c>
      <c r="L217" s="3">
        <v>69.89</v>
      </c>
      <c r="M217" s="3">
        <v>43.33</v>
      </c>
      <c r="N217" s="3">
        <v>16.059999999999999</v>
      </c>
      <c r="O217" s="3"/>
      <c r="P217" s="22">
        <v>45886</v>
      </c>
      <c r="Q217" s="22">
        <v>45886</v>
      </c>
      <c r="R217" s="3">
        <v>14.993</v>
      </c>
    </row>
    <row r="218" spans="1:19" x14ac:dyDescent="0.25">
      <c r="A218" s="8">
        <v>6</v>
      </c>
      <c r="B218" s="8">
        <v>9</v>
      </c>
      <c r="C218" s="8" t="s">
        <v>248</v>
      </c>
      <c r="D218" s="8" t="s">
        <v>16</v>
      </c>
      <c r="E218" s="8" t="s">
        <v>393</v>
      </c>
      <c r="F218" s="8" t="s">
        <v>464</v>
      </c>
      <c r="G218" s="3">
        <v>34.286000000000001</v>
      </c>
      <c r="H218" s="3">
        <f>IFERROR(INDEX('Tagging key'!D:D, MATCH(F218,'Tagging key'!C:C,0)),"")</f>
        <v>67.66</v>
      </c>
      <c r="I218" s="3">
        <f>IFERROR(INDEX('Tagging key'!E:E, MATCH(F218,'Tagging key'!C:C,0)),"")</f>
        <v>37.200000000000003</v>
      </c>
      <c r="J218" s="3">
        <f>IFERROR(INDEX('Tagging key'!F:F, MATCH(F218,'Tagging key'!C:C,0)),"")</f>
        <v>17.350000000000001</v>
      </c>
      <c r="K218" s="3">
        <v>33.856000000000002</v>
      </c>
      <c r="L218" s="3">
        <v>66.67</v>
      </c>
      <c r="M218" s="3">
        <v>37.28</v>
      </c>
      <c r="N218" s="3">
        <v>12.72</v>
      </c>
      <c r="O218" s="3"/>
      <c r="P218" s="22">
        <v>45882</v>
      </c>
      <c r="Q218" s="22">
        <v>45882</v>
      </c>
      <c r="R218" s="3">
        <v>18.033999999999999</v>
      </c>
      <c r="S218" t="s">
        <v>465</v>
      </c>
    </row>
    <row r="219" spans="1:19" hidden="1" x14ac:dyDescent="0.25">
      <c r="A219" s="11">
        <v>7</v>
      </c>
      <c r="B219" s="11">
        <v>1</v>
      </c>
      <c r="C219" s="11" t="s">
        <v>105</v>
      </c>
      <c r="D219" s="11" t="s">
        <v>46</v>
      </c>
      <c r="E219" s="11" t="s">
        <v>305</v>
      </c>
      <c r="F219" s="11" t="s">
        <v>466</v>
      </c>
      <c r="G219" s="3">
        <v>50.814999999999998</v>
      </c>
      <c r="H219" s="3">
        <f>IFERROR(INDEX('Tagging key'!D:D, MATCH(F219,'Tagging key'!C:C,0)),"")</f>
        <v>80.28</v>
      </c>
      <c r="I219" s="3">
        <f>IFERROR(INDEX('Tagging key'!E:E, MATCH(F219,'Tagging key'!C:C,0)),"")</f>
        <v>40.86</v>
      </c>
      <c r="J219" s="3">
        <f>IFERROR(INDEX('Tagging key'!F:F, MATCH(F219,'Tagging key'!C:C,0)),"")</f>
        <v>32.79</v>
      </c>
      <c r="K219" s="3">
        <v>51.667999999999999</v>
      </c>
      <c r="L219" s="3">
        <v>79.91</v>
      </c>
      <c r="M219" s="3">
        <v>38.58</v>
      </c>
      <c r="N219" s="3">
        <v>32.200000000000003</v>
      </c>
      <c r="O219" s="3"/>
      <c r="P219" s="22">
        <v>45886</v>
      </c>
      <c r="Q219" s="22">
        <v>45886</v>
      </c>
      <c r="R219" s="3"/>
    </row>
    <row r="220" spans="1:19" x14ac:dyDescent="0.25">
      <c r="A220" s="11">
        <v>7</v>
      </c>
      <c r="B220" s="11">
        <v>1</v>
      </c>
      <c r="C220" s="11" t="s">
        <v>105</v>
      </c>
      <c r="D220" s="11" t="s">
        <v>46</v>
      </c>
      <c r="E220" s="11" t="s">
        <v>467</v>
      </c>
      <c r="F220" s="11" t="s">
        <v>468</v>
      </c>
      <c r="G220" s="3">
        <v>68.811000000000007</v>
      </c>
      <c r="H220" s="3">
        <f>IFERROR(INDEX('Tagging key'!D:D, MATCH(F220,'Tagging key'!C:C,0)),"")</f>
        <v>85</v>
      </c>
      <c r="I220" s="3">
        <f>IFERROR(INDEX('Tagging key'!E:E, MATCH(F220,'Tagging key'!C:C,0)),"")</f>
        <v>42</v>
      </c>
      <c r="J220" s="3">
        <f>IFERROR(INDEX('Tagging key'!F:F, MATCH(F220,'Tagging key'!C:C,0)),"")</f>
        <v>34</v>
      </c>
      <c r="K220" s="3">
        <v>69.39</v>
      </c>
      <c r="L220" s="3">
        <v>86.52</v>
      </c>
      <c r="M220" s="3">
        <v>43.03</v>
      </c>
      <c r="N220" s="3">
        <v>34.9</v>
      </c>
      <c r="O220" s="3"/>
      <c r="P220" s="22">
        <v>45882</v>
      </c>
      <c r="Q220" s="22">
        <v>45882</v>
      </c>
      <c r="R220" s="3">
        <v>23.248000000000001</v>
      </c>
    </row>
    <row r="221" spans="1:19" hidden="1" x14ac:dyDescent="0.25">
      <c r="A221" s="11">
        <v>7</v>
      </c>
      <c r="B221" s="11">
        <v>1</v>
      </c>
      <c r="C221" s="11" t="s">
        <v>105</v>
      </c>
      <c r="D221" s="11" t="s">
        <v>46</v>
      </c>
      <c r="E221" s="11" t="s">
        <v>469</v>
      </c>
      <c r="F221" s="11" t="s">
        <v>470</v>
      </c>
      <c r="G221" s="3">
        <v>49.307000000000002</v>
      </c>
      <c r="H221" s="3">
        <f>IFERROR(INDEX('Tagging key'!D:D, MATCH(F221,'Tagging key'!C:C,0)),"")</f>
        <v>77.19</v>
      </c>
      <c r="I221" s="3">
        <f>IFERROR(INDEX('Tagging key'!E:E, MATCH(F221,'Tagging key'!C:C,0)),"")</f>
        <v>41.49</v>
      </c>
      <c r="J221" s="3">
        <f>IFERROR(INDEX('Tagging key'!F:F, MATCH(F221,'Tagging key'!C:C,0)),"")</f>
        <v>31.63</v>
      </c>
      <c r="K221" s="3">
        <v>49.695</v>
      </c>
      <c r="L221" s="3">
        <v>76.3</v>
      </c>
      <c r="M221" s="3">
        <v>37.11</v>
      </c>
      <c r="N221" s="3">
        <v>32.409999999999997</v>
      </c>
      <c r="O221" s="3"/>
      <c r="P221" s="22">
        <v>45877</v>
      </c>
      <c r="Q221" s="22">
        <v>45877</v>
      </c>
      <c r="R221" s="3"/>
    </row>
    <row r="222" spans="1:19" hidden="1" x14ac:dyDescent="0.25">
      <c r="A222" s="11">
        <v>7</v>
      </c>
      <c r="B222" s="11">
        <v>1</v>
      </c>
      <c r="C222" s="11" t="s">
        <v>105</v>
      </c>
      <c r="D222" s="11" t="s">
        <v>46</v>
      </c>
      <c r="E222" s="11" t="s">
        <v>471</v>
      </c>
      <c r="F222" s="11" t="s">
        <v>472</v>
      </c>
      <c r="G222" s="3">
        <v>28.623999999999999</v>
      </c>
      <c r="H222" s="3">
        <f>IFERROR(INDEX('Tagging key'!D:D, MATCH(F222,'Tagging key'!C:C,0)),"")</f>
        <v>67.239999999999995</v>
      </c>
      <c r="I222" s="3">
        <f>IFERROR(INDEX('Tagging key'!E:E, MATCH(F222,'Tagging key'!C:C,0)),"")</f>
        <v>38.9</v>
      </c>
      <c r="J222" s="3">
        <f>IFERROR(INDEX('Tagging key'!F:F, MATCH(F222,'Tagging key'!C:C,0)),"")</f>
        <v>23.47</v>
      </c>
      <c r="K222" s="3">
        <v>29.135000000000002</v>
      </c>
      <c r="L222" s="3">
        <v>68.08</v>
      </c>
      <c r="M222" s="3">
        <v>35.35</v>
      </c>
      <c r="N222" s="3">
        <v>24.3</v>
      </c>
      <c r="O222" s="3"/>
      <c r="P222" s="22">
        <v>45879</v>
      </c>
      <c r="Q222" s="22">
        <v>45879</v>
      </c>
      <c r="R222" s="3"/>
    </row>
    <row r="223" spans="1:19" hidden="1" x14ac:dyDescent="0.25">
      <c r="A223" s="12">
        <v>7</v>
      </c>
      <c r="B223" s="12">
        <v>2</v>
      </c>
      <c r="C223" s="12" t="s">
        <v>105</v>
      </c>
      <c r="D223" s="12" t="s">
        <v>46</v>
      </c>
      <c r="E223" s="12" t="s">
        <v>473</v>
      </c>
      <c r="F223" s="12" t="s">
        <v>474</v>
      </c>
      <c r="G223" s="3">
        <v>53.62</v>
      </c>
      <c r="H223" s="3">
        <f>IFERROR(INDEX('Tagging key'!D:D, MATCH(F223,'Tagging key'!C:C,0)),"")</f>
        <v>80.790000000000006</v>
      </c>
      <c r="I223" s="3">
        <f>IFERROR(INDEX('Tagging key'!E:E, MATCH(F223,'Tagging key'!C:C,0)),"")</f>
        <v>43.22</v>
      </c>
      <c r="J223" s="3">
        <f>IFERROR(INDEX('Tagging key'!F:F, MATCH(F223,'Tagging key'!C:C,0)),"")</f>
        <v>31.27</v>
      </c>
      <c r="K223" s="3">
        <v>53.482999999999997</v>
      </c>
      <c r="L223" s="3">
        <v>80.66</v>
      </c>
      <c r="M223" s="3">
        <v>37.22</v>
      </c>
      <c r="N223" s="3">
        <v>31.08</v>
      </c>
      <c r="O223" s="3"/>
      <c r="P223" s="22">
        <v>45879</v>
      </c>
      <c r="Q223" s="22">
        <v>45879</v>
      </c>
      <c r="R223" s="3"/>
    </row>
    <row r="224" spans="1:19" hidden="1" x14ac:dyDescent="0.25">
      <c r="A224" s="12">
        <v>7</v>
      </c>
      <c r="B224" s="12">
        <v>2</v>
      </c>
      <c r="C224" s="12" t="s">
        <v>105</v>
      </c>
      <c r="D224" s="12" t="s">
        <v>46</v>
      </c>
      <c r="E224" s="12" t="s">
        <v>475</v>
      </c>
      <c r="F224" s="12" t="s">
        <v>476</v>
      </c>
      <c r="G224" s="3">
        <v>28.532</v>
      </c>
      <c r="H224" s="3">
        <f>IFERROR(INDEX('Tagging key'!D:D, MATCH(F224,'Tagging key'!C:C,0)),"")</f>
        <v>65</v>
      </c>
      <c r="I224" s="3">
        <f>IFERROR(INDEX('Tagging key'!E:E, MATCH(F224,'Tagging key'!C:C,0)),"")</f>
        <v>36</v>
      </c>
      <c r="J224" s="3">
        <f>IFERROR(INDEX('Tagging key'!F:F, MATCH(F224,'Tagging key'!C:C,0)),"")</f>
        <v>23</v>
      </c>
      <c r="K224" s="3">
        <v>28.791</v>
      </c>
      <c r="L224" s="3">
        <v>67.849999999999994</v>
      </c>
      <c r="M224" s="3">
        <v>36.340000000000003</v>
      </c>
      <c r="N224" s="3">
        <v>23.69</v>
      </c>
      <c r="O224" s="3"/>
      <c r="P224" s="22">
        <v>45879</v>
      </c>
      <c r="Q224" s="22">
        <v>45879</v>
      </c>
      <c r="R224" s="3"/>
    </row>
    <row r="225" spans="1:19" x14ac:dyDescent="0.25">
      <c r="A225" s="12">
        <v>7</v>
      </c>
      <c r="B225" s="12">
        <v>2</v>
      </c>
      <c r="C225" s="12" t="s">
        <v>105</v>
      </c>
      <c r="D225" s="12" t="s">
        <v>46</v>
      </c>
      <c r="E225" s="12" t="s">
        <v>477</v>
      </c>
      <c r="F225" s="12" t="s">
        <v>478</v>
      </c>
      <c r="G225" s="3">
        <v>55.417999999999999</v>
      </c>
      <c r="H225" s="3">
        <f>IFERROR(INDEX('Tagging key'!D:D, MATCH(F225,'Tagging key'!C:C,0)),"")</f>
        <v>84.55</v>
      </c>
      <c r="I225" s="3">
        <f>IFERROR(INDEX('Tagging key'!E:E, MATCH(F225,'Tagging key'!C:C,0)),"")</f>
        <v>41.57</v>
      </c>
      <c r="J225" s="3">
        <f>IFERROR(INDEX('Tagging key'!F:F, MATCH(F225,'Tagging key'!C:C,0)),"")</f>
        <v>32.33</v>
      </c>
      <c r="K225" s="3">
        <v>55.206000000000003</v>
      </c>
      <c r="L225" s="3">
        <v>84.11</v>
      </c>
      <c r="M225" s="3">
        <v>40.15</v>
      </c>
      <c r="N225" s="3">
        <v>32.229999999999997</v>
      </c>
      <c r="O225" s="3"/>
      <c r="P225" s="22">
        <v>45882</v>
      </c>
      <c r="Q225" s="22">
        <v>45882</v>
      </c>
      <c r="R225" s="3">
        <v>17.295999999999999</v>
      </c>
    </row>
    <row r="226" spans="1:19" hidden="1" x14ac:dyDescent="0.25">
      <c r="A226" s="12">
        <v>7</v>
      </c>
      <c r="B226" s="12">
        <v>2</v>
      </c>
      <c r="C226" s="12" t="s">
        <v>105</v>
      </c>
      <c r="D226" s="12" t="s">
        <v>46</v>
      </c>
      <c r="E226" s="12" t="s">
        <v>277</v>
      </c>
      <c r="F226" s="12" t="s">
        <v>479</v>
      </c>
      <c r="G226" s="3">
        <v>26.766999999999999</v>
      </c>
      <c r="H226" s="3">
        <f>IFERROR(INDEX('Tagging key'!D:D, MATCH(F226,'Tagging key'!C:C,0)),"")</f>
        <v>63</v>
      </c>
      <c r="I226" s="3">
        <f>IFERROR(INDEX('Tagging key'!E:E, MATCH(F226,'Tagging key'!C:C,0)),"")</f>
        <v>30</v>
      </c>
      <c r="J226" s="3">
        <f>IFERROR(INDEX('Tagging key'!F:F, MATCH(F226,'Tagging key'!C:C,0)),"")</f>
        <v>24</v>
      </c>
      <c r="K226" s="3">
        <v>26.934999999999999</v>
      </c>
      <c r="L226" s="3">
        <v>64.56</v>
      </c>
      <c r="M226" s="3">
        <v>30.47</v>
      </c>
      <c r="N226" s="3">
        <v>24.9</v>
      </c>
      <c r="O226" s="3"/>
      <c r="P226" s="22">
        <v>45886</v>
      </c>
      <c r="Q226" s="22">
        <v>45886</v>
      </c>
      <c r="R226" s="3"/>
    </row>
    <row r="227" spans="1:19" hidden="1" x14ac:dyDescent="0.25">
      <c r="A227" s="11">
        <v>7</v>
      </c>
      <c r="B227" s="11">
        <v>3</v>
      </c>
      <c r="C227" s="11" t="s">
        <v>105</v>
      </c>
      <c r="D227" s="11" t="s">
        <v>46</v>
      </c>
      <c r="E227" s="11" t="s">
        <v>480</v>
      </c>
      <c r="F227" s="11" t="s">
        <v>481</v>
      </c>
      <c r="G227" s="3">
        <v>29.564</v>
      </c>
      <c r="H227" s="3">
        <f>IFERROR(INDEX('Tagging key'!D:D, MATCH(F227,'Tagging key'!C:C,0)),"")</f>
        <v>68</v>
      </c>
      <c r="I227" s="3">
        <f>IFERROR(INDEX('Tagging key'!E:E, MATCH(F227,'Tagging key'!C:C,0)),"")</f>
        <v>34</v>
      </c>
      <c r="J227" s="3">
        <f>IFERROR(INDEX('Tagging key'!F:F, MATCH(F227,'Tagging key'!C:C,0)),"")</f>
        <v>25</v>
      </c>
      <c r="K227" s="3">
        <v>30.09</v>
      </c>
      <c r="L227" s="3">
        <v>68.39</v>
      </c>
      <c r="M227" s="3">
        <v>34.380000000000003</v>
      </c>
      <c r="N227" s="3">
        <v>25.06</v>
      </c>
      <c r="O227" s="3"/>
      <c r="P227" s="22">
        <v>45886</v>
      </c>
      <c r="Q227" s="22">
        <v>45886</v>
      </c>
      <c r="R227" s="3">
        <v>9.9890000000000008</v>
      </c>
    </row>
    <row r="228" spans="1:19" hidden="1" x14ac:dyDescent="0.25">
      <c r="A228" s="11">
        <v>7</v>
      </c>
      <c r="B228" s="11">
        <v>3</v>
      </c>
      <c r="C228" s="11" t="s">
        <v>105</v>
      </c>
      <c r="D228" s="11" t="s">
        <v>46</v>
      </c>
      <c r="E228" s="11" t="s">
        <v>482</v>
      </c>
      <c r="F228" s="11" t="s">
        <v>483</v>
      </c>
      <c r="G228" s="3">
        <v>36.551000000000002</v>
      </c>
      <c r="H228" s="3">
        <f>IFERROR(INDEX('Tagging key'!D:D, MATCH(F228,'Tagging key'!C:C,0)),"")</f>
        <v>73</v>
      </c>
      <c r="I228" s="3">
        <f>IFERROR(INDEX('Tagging key'!E:E, MATCH(F228,'Tagging key'!C:C,0)),"")</f>
        <v>36</v>
      </c>
      <c r="J228" s="3">
        <f>IFERROR(INDEX('Tagging key'!F:F, MATCH(F228,'Tagging key'!C:C,0)),"")</f>
        <v>26</v>
      </c>
      <c r="K228" s="3">
        <v>36.869</v>
      </c>
      <c r="L228" s="3">
        <v>74.27</v>
      </c>
      <c r="M228" s="3">
        <v>37.86</v>
      </c>
      <c r="N228" s="3">
        <v>26.66</v>
      </c>
      <c r="O228" s="3"/>
      <c r="P228" s="22">
        <v>45879</v>
      </c>
      <c r="Q228" s="22">
        <v>45879</v>
      </c>
      <c r="R228" s="3"/>
    </row>
    <row r="229" spans="1:19" x14ac:dyDescent="0.25">
      <c r="A229" s="11">
        <v>7</v>
      </c>
      <c r="B229" s="11">
        <v>3</v>
      </c>
      <c r="C229" s="11" t="s">
        <v>105</v>
      </c>
      <c r="D229" s="11" t="s">
        <v>46</v>
      </c>
      <c r="E229" s="11" t="s">
        <v>484</v>
      </c>
      <c r="F229" s="11" t="s">
        <v>485</v>
      </c>
      <c r="G229" s="24">
        <v>53.536999999999999</v>
      </c>
      <c r="H229" s="3">
        <f>IFERROR(INDEX('Tagging key'!D:D, MATCH(F229,'Tagging key'!C:C,0)),"")</f>
        <v>79.89</v>
      </c>
      <c r="I229" s="3">
        <f>IFERROR(INDEX('Tagging key'!E:E, MATCH(F229,'Tagging key'!C:C,0)),"")</f>
        <v>45.71</v>
      </c>
      <c r="J229" s="3">
        <f>IFERROR(INDEX('Tagging key'!F:F, MATCH(F229,'Tagging key'!C:C,0)),"")</f>
        <v>32.479999999999997</v>
      </c>
      <c r="K229" s="3">
        <v>54.72</v>
      </c>
      <c r="L229" s="3">
        <v>79.44</v>
      </c>
      <c r="M229" s="3">
        <v>39.33</v>
      </c>
      <c r="N229" s="3">
        <v>31.6</v>
      </c>
      <c r="O229" s="3"/>
      <c r="P229" s="22">
        <v>45882</v>
      </c>
      <c r="Q229" s="22">
        <v>45882</v>
      </c>
      <c r="R229" s="3">
        <v>19.146000000000001</v>
      </c>
    </row>
    <row r="230" spans="1:19" hidden="1" x14ac:dyDescent="0.25">
      <c r="A230" s="11">
        <v>7</v>
      </c>
      <c r="B230" s="11">
        <v>3</v>
      </c>
      <c r="C230" s="11" t="s">
        <v>105</v>
      </c>
      <c r="D230" s="11" t="s">
        <v>46</v>
      </c>
      <c r="E230" s="11" t="s">
        <v>486</v>
      </c>
      <c r="F230" s="11" t="s">
        <v>487</v>
      </c>
      <c r="G230" s="3">
        <v>56.597000000000001</v>
      </c>
      <c r="H230" s="3">
        <f>IFERROR(INDEX('Tagging key'!D:D, MATCH(F230,'Tagging key'!C:C,0)),"")</f>
        <v>81.87</v>
      </c>
      <c r="I230" s="3">
        <f>IFERROR(INDEX('Tagging key'!E:E, MATCH(F230,'Tagging key'!C:C,0)),"")</f>
        <v>44.67</v>
      </c>
      <c r="J230" s="3">
        <f>IFERROR(INDEX('Tagging key'!F:F, MATCH(F230,'Tagging key'!C:C,0)),"")</f>
        <v>32.590000000000003</v>
      </c>
      <c r="K230" s="3">
        <v>57.088000000000001</v>
      </c>
      <c r="L230" s="3">
        <v>81.99</v>
      </c>
      <c r="M230" s="3">
        <v>40.57</v>
      </c>
      <c r="N230" s="3">
        <v>31.82</v>
      </c>
      <c r="O230" s="3"/>
      <c r="P230" s="22">
        <v>45877</v>
      </c>
      <c r="Q230" s="22">
        <v>45877</v>
      </c>
      <c r="R230" s="3"/>
    </row>
    <row r="231" spans="1:19" hidden="1" x14ac:dyDescent="0.25">
      <c r="A231" s="13">
        <v>7</v>
      </c>
      <c r="B231" s="13">
        <v>4</v>
      </c>
      <c r="C231" s="13" t="s">
        <v>105</v>
      </c>
      <c r="D231" s="13" t="s">
        <v>72</v>
      </c>
      <c r="E231" s="13" t="s">
        <v>488</v>
      </c>
      <c r="F231" s="13" t="s">
        <v>489</v>
      </c>
      <c r="G231" s="3">
        <v>55.79</v>
      </c>
      <c r="H231" s="3">
        <f>IFERROR(INDEX('Tagging key'!D:D, MATCH(F231,'Tagging key'!C:C,0)),"")</f>
        <v>78</v>
      </c>
      <c r="I231" s="3">
        <f>IFERROR(INDEX('Tagging key'!E:E, MATCH(F231,'Tagging key'!C:C,0)),"")</f>
        <v>79</v>
      </c>
      <c r="J231" s="3">
        <f>IFERROR(INDEX('Tagging key'!F:F, MATCH(F231,'Tagging key'!C:C,0)),"")</f>
        <v>19</v>
      </c>
      <c r="K231" s="3">
        <v>56.927999999999997</v>
      </c>
      <c r="L231" s="3">
        <v>77.81</v>
      </c>
      <c r="M231" s="3">
        <v>78.180000000000007</v>
      </c>
      <c r="N231" s="3">
        <v>21.75</v>
      </c>
      <c r="O231" s="3"/>
      <c r="P231" s="22">
        <v>45886</v>
      </c>
      <c r="Q231" s="22">
        <v>45886</v>
      </c>
      <c r="R231" s="3"/>
      <c r="S231" t="s">
        <v>490</v>
      </c>
    </row>
    <row r="232" spans="1:19" x14ac:dyDescent="0.25">
      <c r="A232" s="13">
        <v>7</v>
      </c>
      <c r="B232" s="13">
        <v>4</v>
      </c>
      <c r="C232" s="13" t="s">
        <v>105</v>
      </c>
      <c r="D232" s="13" t="s">
        <v>72</v>
      </c>
      <c r="E232" s="13" t="s">
        <v>491</v>
      </c>
      <c r="F232" s="13" t="s">
        <v>492</v>
      </c>
      <c r="G232" s="3">
        <v>45.999000000000002</v>
      </c>
      <c r="H232" s="3">
        <f>IFERROR(INDEX('Tagging key'!D:D, MATCH(F232,'Tagging key'!C:C,0)),"")</f>
        <v>66</v>
      </c>
      <c r="I232" s="3">
        <f>IFERROR(INDEX('Tagging key'!E:E, MATCH(F232,'Tagging key'!C:C,0)),"")</f>
        <v>67</v>
      </c>
      <c r="J232" s="3">
        <f>IFERROR(INDEX('Tagging key'!F:F, MATCH(F232,'Tagging key'!C:C,0)),"")</f>
        <v>18</v>
      </c>
      <c r="K232" s="3">
        <v>42.430999999999997</v>
      </c>
      <c r="L232" s="3">
        <v>67.19</v>
      </c>
      <c r="M232" s="3">
        <v>68.400000000000006</v>
      </c>
      <c r="N232" s="3">
        <v>20.239999999999998</v>
      </c>
      <c r="O232" s="3"/>
      <c r="P232" s="22">
        <v>45882</v>
      </c>
      <c r="Q232" s="22">
        <v>45882</v>
      </c>
      <c r="R232" s="3">
        <v>21.373000000000001</v>
      </c>
    </row>
    <row r="233" spans="1:19" hidden="1" x14ac:dyDescent="0.25">
      <c r="A233" s="13">
        <v>7</v>
      </c>
      <c r="B233" s="13">
        <v>4</v>
      </c>
      <c r="C233" s="13" t="s">
        <v>105</v>
      </c>
      <c r="D233" s="13" t="s">
        <v>72</v>
      </c>
      <c r="E233" s="13" t="s">
        <v>493</v>
      </c>
      <c r="F233" s="13" t="s">
        <v>494</v>
      </c>
      <c r="G233" s="3">
        <v>46.728000000000002</v>
      </c>
      <c r="H233" s="3">
        <f>IFERROR(INDEX('Tagging key'!D:D, MATCH(F233,'Tagging key'!C:C,0)),"")</f>
        <v>71.41</v>
      </c>
      <c r="I233" s="3">
        <f>IFERROR(INDEX('Tagging key'!E:E, MATCH(F233,'Tagging key'!C:C,0)),"")</f>
        <v>72.89</v>
      </c>
      <c r="J233" s="3">
        <f>IFERROR(INDEX('Tagging key'!F:F, MATCH(F233,'Tagging key'!C:C,0)),"")</f>
        <v>19.04</v>
      </c>
      <c r="K233" s="3">
        <v>42.426000000000002</v>
      </c>
      <c r="L233" s="3">
        <v>73.040000000000006</v>
      </c>
      <c r="M233" s="3">
        <v>74.510000000000005</v>
      </c>
      <c r="N233" s="3">
        <v>22.22</v>
      </c>
      <c r="O233" s="3"/>
      <c r="P233" s="22">
        <v>45879</v>
      </c>
      <c r="Q233" s="22">
        <v>45879</v>
      </c>
      <c r="R233" s="3"/>
    </row>
    <row r="234" spans="1:19" hidden="1" x14ac:dyDescent="0.25">
      <c r="A234" s="13">
        <v>7</v>
      </c>
      <c r="B234" s="13">
        <v>4</v>
      </c>
      <c r="C234" s="13" t="s">
        <v>105</v>
      </c>
      <c r="D234" s="13" t="s">
        <v>72</v>
      </c>
      <c r="E234" s="13" t="s">
        <v>495</v>
      </c>
      <c r="F234" s="13" t="s">
        <v>496</v>
      </c>
      <c r="G234" s="3">
        <v>61.262999999999998</v>
      </c>
      <c r="H234" s="3">
        <f>IFERROR(INDEX('Tagging key'!D:D, MATCH(F234,'Tagging key'!C:C,0)),"")</f>
        <v>75.5</v>
      </c>
      <c r="I234" s="3">
        <f>IFERROR(INDEX('Tagging key'!E:E, MATCH(F234,'Tagging key'!C:C,0)),"")</f>
        <v>73</v>
      </c>
      <c r="J234" s="3">
        <f>IFERROR(INDEX('Tagging key'!F:F, MATCH(F234,'Tagging key'!C:C,0)),"")</f>
        <v>20</v>
      </c>
      <c r="K234" s="3">
        <v>54.119</v>
      </c>
      <c r="L234" s="3">
        <v>75.16</v>
      </c>
      <c r="M234" s="3">
        <v>74.260000000000005</v>
      </c>
      <c r="N234" s="3">
        <v>21.46</v>
      </c>
      <c r="O234" s="3"/>
      <c r="P234" s="22">
        <v>45877</v>
      </c>
      <c r="Q234" s="22">
        <v>45877</v>
      </c>
      <c r="R234" s="3"/>
    </row>
    <row r="235" spans="1:19" hidden="1" x14ac:dyDescent="0.25">
      <c r="A235" s="14">
        <v>7</v>
      </c>
      <c r="B235" s="14">
        <v>5</v>
      </c>
      <c r="C235" s="14" t="s">
        <v>105</v>
      </c>
      <c r="D235" s="14" t="s">
        <v>72</v>
      </c>
      <c r="E235" s="14" t="s">
        <v>497</v>
      </c>
      <c r="F235" s="14" t="s">
        <v>498</v>
      </c>
      <c r="G235" s="3">
        <v>36.450000000000003</v>
      </c>
      <c r="H235" s="3">
        <f>IFERROR(INDEX('Tagging key'!D:D, MATCH(F235,'Tagging key'!C:C,0)),"")</f>
        <v>65.5</v>
      </c>
      <c r="I235" s="3">
        <f>IFERROR(INDEX('Tagging key'!E:E, MATCH(F235,'Tagging key'!C:C,0)),"")</f>
        <v>67</v>
      </c>
      <c r="J235" s="3">
        <f>IFERROR(INDEX('Tagging key'!F:F, MATCH(F235,'Tagging key'!C:C,0)),"")</f>
        <v>18</v>
      </c>
      <c r="K235" s="3">
        <v>34.756</v>
      </c>
      <c r="L235" s="3">
        <v>65.459999999999994</v>
      </c>
      <c r="M235" s="3">
        <v>68.650000000000006</v>
      </c>
      <c r="N235" s="3">
        <v>19.07</v>
      </c>
      <c r="O235" s="3"/>
      <c r="P235" s="22">
        <v>45879</v>
      </c>
      <c r="Q235" s="22">
        <v>45879</v>
      </c>
      <c r="R235" s="3"/>
    </row>
    <row r="236" spans="1:19" hidden="1" x14ac:dyDescent="0.25">
      <c r="A236" s="14">
        <v>7</v>
      </c>
      <c r="B236" s="14">
        <v>5</v>
      </c>
      <c r="C236" s="14" t="s">
        <v>105</v>
      </c>
      <c r="D236" s="14" t="s">
        <v>72</v>
      </c>
      <c r="E236" s="14" t="s">
        <v>499</v>
      </c>
      <c r="F236" s="14" t="s">
        <v>500</v>
      </c>
      <c r="G236" s="3">
        <v>66.021000000000001</v>
      </c>
      <c r="H236" s="3">
        <f>IFERROR(INDEX('Tagging key'!D:D, MATCH(F236,'Tagging key'!C:C,0)),"")</f>
        <v>78</v>
      </c>
      <c r="I236" s="3">
        <f>IFERROR(INDEX('Tagging key'!E:E, MATCH(F236,'Tagging key'!C:C,0)),"")</f>
        <v>84</v>
      </c>
      <c r="J236" s="3">
        <f>IFERROR(INDEX('Tagging key'!F:F, MATCH(F236,'Tagging key'!C:C,0)),"")</f>
        <v>22</v>
      </c>
      <c r="K236" s="3">
        <v>59.387999999999998</v>
      </c>
      <c r="L236" s="3">
        <v>78.83</v>
      </c>
      <c r="M236" s="3">
        <v>84.5</v>
      </c>
      <c r="N236" s="3">
        <v>23.34</v>
      </c>
      <c r="O236" s="3"/>
      <c r="P236" s="22">
        <v>45877</v>
      </c>
      <c r="Q236" s="22">
        <v>45877</v>
      </c>
      <c r="R236" s="3"/>
    </row>
    <row r="237" spans="1:19" x14ac:dyDescent="0.25">
      <c r="A237" s="14">
        <v>7</v>
      </c>
      <c r="B237" s="14">
        <v>5</v>
      </c>
      <c r="C237" s="14" t="s">
        <v>105</v>
      </c>
      <c r="D237" s="14" t="s">
        <v>72</v>
      </c>
      <c r="E237" s="14" t="s">
        <v>501</v>
      </c>
      <c r="F237" s="14" t="s">
        <v>502</v>
      </c>
      <c r="G237" s="3">
        <v>55.45</v>
      </c>
      <c r="H237" s="3">
        <f>IFERROR(INDEX('Tagging key'!D:D, MATCH(F237,'Tagging key'!C:C,0)),"")</f>
        <v>71</v>
      </c>
      <c r="I237" s="3">
        <f>IFERROR(INDEX('Tagging key'!E:E, MATCH(F237,'Tagging key'!C:C,0)),"")</f>
        <v>76</v>
      </c>
      <c r="J237" s="3">
        <f>IFERROR(INDEX('Tagging key'!F:F, MATCH(F237,'Tagging key'!C:C,0)),"")</f>
        <v>23</v>
      </c>
      <c r="K237" s="3">
        <v>50.716000000000001</v>
      </c>
      <c r="L237" s="3">
        <v>72.930000000000007</v>
      </c>
      <c r="M237" s="3">
        <v>76.19</v>
      </c>
      <c r="N237" s="3">
        <v>22.96</v>
      </c>
      <c r="O237" s="3"/>
      <c r="P237" s="22">
        <v>45882</v>
      </c>
      <c r="Q237" s="22">
        <v>45882</v>
      </c>
      <c r="R237" s="3">
        <v>22.719000000000001</v>
      </c>
    </row>
    <row r="238" spans="1:19" hidden="1" x14ac:dyDescent="0.25">
      <c r="A238" s="14">
        <v>7</v>
      </c>
      <c r="B238" s="14">
        <v>5</v>
      </c>
      <c r="C238" s="14" t="s">
        <v>105</v>
      </c>
      <c r="D238" s="14" t="s">
        <v>72</v>
      </c>
      <c r="E238" s="14" t="s">
        <v>503</v>
      </c>
      <c r="F238" s="14" t="s">
        <v>504</v>
      </c>
      <c r="G238" s="3">
        <v>63.811</v>
      </c>
      <c r="H238" s="3">
        <f>IFERROR(INDEX('Tagging key'!D:D, MATCH(F238,'Tagging key'!C:C,0)),"")</f>
        <v>70</v>
      </c>
      <c r="I238" s="3">
        <f>IFERROR(INDEX('Tagging key'!E:E, MATCH(F238,'Tagging key'!C:C,0)),"")</f>
        <v>77</v>
      </c>
      <c r="J238" s="3">
        <f>IFERROR(INDEX('Tagging key'!F:F, MATCH(F238,'Tagging key'!C:C,0)),"")</f>
        <v>20</v>
      </c>
      <c r="K238" s="3">
        <v>60.518000000000001</v>
      </c>
      <c r="L238" s="3">
        <v>71.569999999999993</v>
      </c>
      <c r="M238" s="3">
        <v>79.09</v>
      </c>
      <c r="N238" s="3">
        <v>21.46</v>
      </c>
      <c r="O238" s="3"/>
      <c r="P238" s="22">
        <v>45886</v>
      </c>
      <c r="Q238" s="22">
        <v>45886</v>
      </c>
      <c r="R238" s="3">
        <v>34.472999999999999</v>
      </c>
    </row>
    <row r="239" spans="1:19" x14ac:dyDescent="0.25">
      <c r="A239" s="15">
        <v>7</v>
      </c>
      <c r="B239" s="15">
        <v>6</v>
      </c>
      <c r="C239" s="15" t="s">
        <v>105</v>
      </c>
      <c r="D239" s="15" t="s">
        <v>72</v>
      </c>
      <c r="E239" s="15" t="s">
        <v>505</v>
      </c>
      <c r="F239" s="13" t="s">
        <v>506</v>
      </c>
      <c r="G239">
        <v>45.795999999999999</v>
      </c>
      <c r="H239" s="3">
        <f>IFERROR(INDEX('Tagging key'!D:D, MATCH(F239,'Tagging key'!C:C,0)),"")</f>
        <v>67.58</v>
      </c>
      <c r="I239" s="3">
        <f>IFERROR(INDEX('Tagging key'!E:E, MATCH(F239,'Tagging key'!C:C,0)),"")</f>
        <v>75.39</v>
      </c>
      <c r="J239" s="3">
        <f>IFERROR(INDEX('Tagging key'!F:F, MATCH(F239,'Tagging key'!C:C,0)),"")</f>
        <v>19.91</v>
      </c>
      <c r="K239" s="3">
        <v>39.497</v>
      </c>
      <c r="L239" s="3">
        <v>68.61</v>
      </c>
      <c r="M239" s="3">
        <v>76.739999999999995</v>
      </c>
      <c r="N239" s="3">
        <v>19.739999999999998</v>
      </c>
      <c r="O239" s="3"/>
      <c r="P239" s="22">
        <v>45882</v>
      </c>
      <c r="Q239" s="22">
        <v>45882</v>
      </c>
      <c r="R239" s="3">
        <v>17.600000000000001</v>
      </c>
    </row>
    <row r="240" spans="1:19" hidden="1" x14ac:dyDescent="0.25">
      <c r="A240" s="15">
        <v>7</v>
      </c>
      <c r="B240" s="15">
        <v>6</v>
      </c>
      <c r="C240" s="15" t="s">
        <v>105</v>
      </c>
      <c r="D240" s="15" t="s">
        <v>72</v>
      </c>
      <c r="E240" s="15" t="s">
        <v>507</v>
      </c>
      <c r="F240" s="13" t="s">
        <v>508</v>
      </c>
      <c r="G240">
        <v>65.141999999999996</v>
      </c>
      <c r="H240" s="3">
        <f>IFERROR(INDEX('Tagging key'!D:D, MATCH(F240,'Tagging key'!C:C,0)),"")</f>
        <v>76.5</v>
      </c>
      <c r="I240" s="3">
        <f>IFERROR(INDEX('Tagging key'!E:E, MATCH(F240,'Tagging key'!C:C,0)),"")</f>
        <v>77</v>
      </c>
      <c r="J240" s="3">
        <f>IFERROR(INDEX('Tagging key'!F:F, MATCH(F240,'Tagging key'!C:C,0)),"")</f>
        <v>18</v>
      </c>
      <c r="K240" s="3">
        <v>58.545999999999999</v>
      </c>
      <c r="L240" s="3">
        <v>79.86</v>
      </c>
      <c r="M240" s="3">
        <v>78.94</v>
      </c>
      <c r="N240" s="3">
        <v>21.52</v>
      </c>
      <c r="O240" s="3"/>
      <c r="P240" s="22">
        <v>45879</v>
      </c>
      <c r="Q240" s="22">
        <v>45879</v>
      </c>
      <c r="R240" s="3"/>
    </row>
    <row r="241" spans="1:19" hidden="1" x14ac:dyDescent="0.25">
      <c r="A241" s="15">
        <v>7</v>
      </c>
      <c r="B241" s="15">
        <v>6</v>
      </c>
      <c r="C241" s="15" t="s">
        <v>105</v>
      </c>
      <c r="D241" s="15" t="s">
        <v>72</v>
      </c>
      <c r="E241" s="15" t="s">
        <v>509</v>
      </c>
      <c r="F241" s="13" t="s">
        <v>510</v>
      </c>
      <c r="G241">
        <v>48.036000000000001</v>
      </c>
      <c r="H241" s="3">
        <f>IFERROR(INDEX('Tagging key'!D:D, MATCH(F241,'Tagging key'!C:C,0)),"")</f>
        <v>74</v>
      </c>
      <c r="I241" s="3">
        <f>IFERROR(INDEX('Tagging key'!E:E, MATCH(F241,'Tagging key'!C:C,0)),"")</f>
        <v>76</v>
      </c>
      <c r="J241" s="3">
        <f>IFERROR(INDEX('Tagging key'!F:F, MATCH(F241,'Tagging key'!C:C,0)),"")</f>
        <v>22</v>
      </c>
      <c r="K241" s="3">
        <v>44.433999999999997</v>
      </c>
      <c r="L241" s="3">
        <v>74.59</v>
      </c>
      <c r="M241" s="3">
        <v>75.180000000000007</v>
      </c>
      <c r="N241" s="3">
        <v>21.83</v>
      </c>
      <c r="O241" s="3"/>
      <c r="P241" s="22">
        <v>45877</v>
      </c>
      <c r="Q241" s="22">
        <v>45877</v>
      </c>
      <c r="R241" s="3"/>
    </row>
    <row r="242" spans="1:19" x14ac:dyDescent="0.25">
      <c r="A242" s="20">
        <v>7</v>
      </c>
      <c r="B242" s="20">
        <v>6</v>
      </c>
      <c r="C242" s="20" t="s">
        <v>105</v>
      </c>
      <c r="D242" s="20" t="s">
        <v>72</v>
      </c>
      <c r="E242" s="20" t="s">
        <v>511</v>
      </c>
      <c r="F242" s="19" t="s">
        <v>512</v>
      </c>
      <c r="G242" s="20">
        <v>48.999000000000002</v>
      </c>
      <c r="H242" s="19">
        <f>IFERROR(INDEX('Tagging key'!D:D, MATCH(F242,'Tagging key'!C:C,0)),"")</f>
        <v>71</v>
      </c>
      <c r="I242" s="19">
        <f>IFERROR(INDEX('Tagging key'!E:E, MATCH(F242,'Tagging key'!C:C,0)),"")</f>
        <v>73</v>
      </c>
      <c r="J242" s="19">
        <f>IFERROR(INDEX('Tagging key'!F:F, MATCH(F242,'Tagging key'!C:C,0)),"")</f>
        <v>18.5</v>
      </c>
      <c r="K242" s="19"/>
      <c r="L242" s="19"/>
      <c r="M242" s="19"/>
      <c r="N242" s="19"/>
      <c r="O242" s="19"/>
      <c r="P242" s="19"/>
      <c r="Q242" s="19"/>
      <c r="R242" s="19"/>
      <c r="S242" t="s">
        <v>513</v>
      </c>
    </row>
    <row r="243" spans="1:19" hidden="1" x14ac:dyDescent="0.25">
      <c r="A243" s="8">
        <v>7</v>
      </c>
      <c r="B243" s="8">
        <v>7</v>
      </c>
      <c r="C243" s="8" t="s">
        <v>105</v>
      </c>
      <c r="D243" s="8" t="s">
        <v>16</v>
      </c>
      <c r="E243" s="8" t="s">
        <v>68</v>
      </c>
      <c r="F243" s="8" t="s">
        <v>514</v>
      </c>
      <c r="G243" s="3">
        <v>36.918999999999997</v>
      </c>
      <c r="H243" s="3">
        <f>IFERROR(INDEX('Tagging key'!D:D, MATCH(F243,'Tagging key'!C:C,0)),"")</f>
        <v>76.53</v>
      </c>
      <c r="I243" s="3">
        <f>IFERROR(INDEX('Tagging key'!E:E, MATCH(F243,'Tagging key'!C:C,0)),"")</f>
        <v>52.08</v>
      </c>
      <c r="J243" s="3">
        <f>IFERROR(INDEX('Tagging key'!F:F, MATCH(F243,'Tagging key'!C:C,0)),"")</f>
        <v>15.06</v>
      </c>
      <c r="K243" s="3">
        <v>36.646000000000001</v>
      </c>
      <c r="L243" s="3">
        <v>77.900000000000006</v>
      </c>
      <c r="M243" s="3">
        <v>47.64</v>
      </c>
      <c r="N243" s="3">
        <v>18.739999999999998</v>
      </c>
      <c r="O243" s="3"/>
      <c r="P243" s="22">
        <v>45877</v>
      </c>
      <c r="Q243" s="22">
        <v>45877</v>
      </c>
      <c r="R243" s="3"/>
    </row>
    <row r="244" spans="1:19" hidden="1" x14ac:dyDescent="0.25">
      <c r="A244" s="8">
        <v>7</v>
      </c>
      <c r="B244" s="8">
        <v>7</v>
      </c>
      <c r="C244" s="8" t="s">
        <v>105</v>
      </c>
      <c r="D244" s="8" t="s">
        <v>16</v>
      </c>
      <c r="E244" s="8" t="s">
        <v>515</v>
      </c>
      <c r="F244" s="8" t="s">
        <v>516</v>
      </c>
      <c r="G244" s="3">
        <v>27.420999999999999</v>
      </c>
      <c r="H244" s="3">
        <f>IFERROR(INDEX('Tagging key'!D:D, MATCH(F244,'Tagging key'!C:C,0)),"")</f>
        <v>63.26</v>
      </c>
      <c r="I244" s="3">
        <f>IFERROR(INDEX('Tagging key'!E:E, MATCH(F244,'Tagging key'!C:C,0)),"")</f>
        <v>47.67</v>
      </c>
      <c r="J244" s="3">
        <f>IFERROR(INDEX('Tagging key'!F:F, MATCH(F244,'Tagging key'!C:C,0)),"")</f>
        <v>14.78</v>
      </c>
      <c r="K244" s="3">
        <v>27.085000000000001</v>
      </c>
      <c r="L244" s="3">
        <v>64.38</v>
      </c>
      <c r="M244" s="3">
        <v>44.14</v>
      </c>
      <c r="N244" s="3">
        <v>17.329999999999998</v>
      </c>
      <c r="O244" s="3"/>
      <c r="P244" s="22">
        <v>45879</v>
      </c>
      <c r="Q244" s="22">
        <v>45879</v>
      </c>
      <c r="R244" s="3"/>
    </row>
    <row r="245" spans="1:19" x14ac:dyDescent="0.25">
      <c r="A245" s="19">
        <v>7</v>
      </c>
      <c r="B245" s="19">
        <v>7</v>
      </c>
      <c r="C245" s="19" t="s">
        <v>105</v>
      </c>
      <c r="D245" s="19" t="s">
        <v>16</v>
      </c>
      <c r="E245" s="19" t="s">
        <v>517</v>
      </c>
      <c r="F245" s="19" t="s">
        <v>518</v>
      </c>
      <c r="G245" s="19">
        <v>28.016999999999999</v>
      </c>
      <c r="H245" s="19">
        <f>IFERROR(INDEX('Tagging key'!D:D, MATCH(F245,'Tagging key'!C:C,0)),"")</f>
        <v>70.03</v>
      </c>
      <c r="I245" s="19">
        <f>IFERROR(INDEX('Tagging key'!E:E, MATCH(F245,'Tagging key'!C:C,0)),"")</f>
        <v>45.38</v>
      </c>
      <c r="J245" s="19">
        <f>IFERROR(INDEX('Tagging key'!F:F, MATCH(F245,'Tagging key'!C:C,0)),"")</f>
        <v>15.47</v>
      </c>
      <c r="K245" s="19"/>
      <c r="L245" s="19"/>
      <c r="M245" s="19"/>
      <c r="N245" s="19"/>
      <c r="O245" s="19"/>
      <c r="P245" s="19"/>
      <c r="Q245" s="19"/>
      <c r="R245" s="19"/>
      <c r="S245" t="s">
        <v>519</v>
      </c>
    </row>
    <row r="246" spans="1:19" x14ac:dyDescent="0.25">
      <c r="A246" s="8">
        <v>7</v>
      </c>
      <c r="B246" s="8">
        <v>7</v>
      </c>
      <c r="C246" s="8" t="s">
        <v>105</v>
      </c>
      <c r="D246" s="8" t="s">
        <v>16</v>
      </c>
      <c r="E246" s="8" t="s">
        <v>520</v>
      </c>
      <c r="F246" s="8" t="s">
        <v>521</v>
      </c>
      <c r="G246" s="3">
        <v>25.885000000000002</v>
      </c>
      <c r="H246" s="3">
        <f>IFERROR(INDEX('Tagging key'!D:D, MATCH(F246,'Tagging key'!C:C,0)),"")</f>
        <v>65.75</v>
      </c>
      <c r="I246" s="3">
        <f>IFERROR(INDEX('Tagging key'!E:E, MATCH(F246,'Tagging key'!C:C,0)),"")</f>
        <v>42.76</v>
      </c>
      <c r="J246" s="3">
        <f>IFERROR(INDEX('Tagging key'!F:F, MATCH(F246,'Tagging key'!C:C,0)),"")</f>
        <v>16.02</v>
      </c>
      <c r="K246" s="3">
        <v>25.779</v>
      </c>
      <c r="L246" s="3">
        <v>67.489999999999995</v>
      </c>
      <c r="M246" s="3">
        <v>40.25</v>
      </c>
      <c r="N246" s="3">
        <v>14.83</v>
      </c>
      <c r="O246" s="3"/>
      <c r="P246" s="22">
        <v>45882</v>
      </c>
      <c r="Q246" s="22">
        <v>45882</v>
      </c>
      <c r="R246" s="3"/>
      <c r="S246" t="s">
        <v>522</v>
      </c>
    </row>
    <row r="247" spans="1:19" x14ac:dyDescent="0.25">
      <c r="A247" s="9">
        <v>7</v>
      </c>
      <c r="B247" s="9">
        <v>8</v>
      </c>
      <c r="C247" s="9" t="s">
        <v>105</v>
      </c>
      <c r="D247" s="9" t="s">
        <v>16</v>
      </c>
      <c r="E247" s="9" t="s">
        <v>523</v>
      </c>
      <c r="F247" s="9" t="s">
        <v>524</v>
      </c>
      <c r="G247" s="3">
        <v>28.501000000000001</v>
      </c>
      <c r="H247" s="3">
        <f>IFERROR(INDEX('Tagging key'!D:D, MATCH(F247,'Tagging key'!C:C,0)),"")</f>
        <v>62.09</v>
      </c>
      <c r="I247" s="3">
        <f>IFERROR(INDEX('Tagging key'!E:E, MATCH(F247,'Tagging key'!C:C,0)),"")</f>
        <v>44.17</v>
      </c>
      <c r="J247" s="3">
        <f>IFERROR(INDEX('Tagging key'!F:F, MATCH(F247,'Tagging key'!C:C,0)),"")</f>
        <v>17.3</v>
      </c>
      <c r="K247" s="3">
        <v>28.355</v>
      </c>
      <c r="L247" s="3">
        <v>62.8</v>
      </c>
      <c r="M247" s="3">
        <v>43.05</v>
      </c>
      <c r="N247" s="3">
        <v>18.21</v>
      </c>
      <c r="O247" s="3"/>
      <c r="P247" s="22">
        <v>45882</v>
      </c>
      <c r="Q247" s="22">
        <v>45882</v>
      </c>
      <c r="R247" s="3">
        <v>18.968</v>
      </c>
    </row>
    <row r="248" spans="1:19" hidden="1" x14ac:dyDescent="0.25">
      <c r="A248" s="9">
        <v>7</v>
      </c>
      <c r="B248" s="9">
        <v>8</v>
      </c>
      <c r="C248" s="9" t="s">
        <v>105</v>
      </c>
      <c r="D248" s="9" t="s">
        <v>16</v>
      </c>
      <c r="E248" s="9" t="s">
        <v>525</v>
      </c>
      <c r="F248" s="9" t="s">
        <v>526</v>
      </c>
      <c r="G248" s="3">
        <v>32.033999999999999</v>
      </c>
      <c r="H248" s="3">
        <f>IFERROR(INDEX('Tagging key'!D:D, MATCH(F248,'Tagging key'!C:C,0)),"")</f>
        <v>58.87</v>
      </c>
      <c r="I248" s="3">
        <f>IFERROR(INDEX('Tagging key'!E:E, MATCH(F248,'Tagging key'!C:C,0)),"")</f>
        <v>53.72</v>
      </c>
      <c r="J248" s="3">
        <f>IFERROR(INDEX('Tagging key'!F:F, MATCH(F248,'Tagging key'!C:C,0)),"")</f>
        <v>15.89</v>
      </c>
      <c r="K248" s="3">
        <v>31.687999999999999</v>
      </c>
      <c r="L248" s="3">
        <v>63.94</v>
      </c>
      <c r="M248" s="3">
        <v>58.02</v>
      </c>
      <c r="N248" s="3">
        <v>18.8</v>
      </c>
      <c r="O248" s="3"/>
      <c r="P248" s="22">
        <v>45879</v>
      </c>
      <c r="Q248" s="22">
        <v>45879</v>
      </c>
      <c r="R248" s="3"/>
    </row>
    <row r="249" spans="1:19" hidden="1" x14ac:dyDescent="0.25">
      <c r="A249" s="9">
        <v>7</v>
      </c>
      <c r="B249" s="9">
        <v>8</v>
      </c>
      <c r="C249" s="9" t="s">
        <v>105</v>
      </c>
      <c r="D249" s="9" t="s">
        <v>16</v>
      </c>
      <c r="E249" s="9" t="s">
        <v>527</v>
      </c>
      <c r="F249" s="9" t="s">
        <v>528</v>
      </c>
      <c r="G249" s="3">
        <v>30.04</v>
      </c>
      <c r="H249" s="3">
        <f>IFERROR(INDEX('Tagging key'!D:D, MATCH(F249,'Tagging key'!C:C,0)),"")</f>
        <v>69.3</v>
      </c>
      <c r="I249" s="3">
        <f>IFERROR(INDEX('Tagging key'!E:E, MATCH(F249,'Tagging key'!C:C,0)),"")</f>
        <v>44.51</v>
      </c>
      <c r="J249" s="3">
        <f>IFERROR(INDEX('Tagging key'!F:F, MATCH(F249,'Tagging key'!C:C,0)),"")</f>
        <v>16.88</v>
      </c>
      <c r="K249" s="3">
        <v>29.792000000000002</v>
      </c>
      <c r="L249" s="3">
        <v>68.63</v>
      </c>
      <c r="M249" s="3">
        <v>44.61</v>
      </c>
      <c r="N249" s="3">
        <v>17.48</v>
      </c>
      <c r="O249" s="3"/>
      <c r="P249" s="22">
        <v>45886</v>
      </c>
      <c r="Q249" s="22">
        <v>45886</v>
      </c>
      <c r="R249" s="3">
        <v>18.326000000000001</v>
      </c>
    </row>
    <row r="250" spans="1:19" hidden="1" x14ac:dyDescent="0.25">
      <c r="A250" s="9">
        <v>7</v>
      </c>
      <c r="B250" s="9">
        <v>8</v>
      </c>
      <c r="C250" s="9" t="s">
        <v>105</v>
      </c>
      <c r="D250" s="9" t="s">
        <v>16</v>
      </c>
      <c r="E250" s="9" t="s">
        <v>529</v>
      </c>
      <c r="F250" s="9" t="s">
        <v>530</v>
      </c>
      <c r="G250" s="3">
        <v>52.743000000000002</v>
      </c>
      <c r="H250" s="3">
        <f>IFERROR(INDEX('Tagging key'!D:D, MATCH(F250,'Tagging key'!C:C,0)),"")</f>
        <v>61.2</v>
      </c>
      <c r="I250" s="3">
        <f>IFERROR(INDEX('Tagging key'!E:E, MATCH(F250,'Tagging key'!C:C,0)),"")</f>
        <v>64.47</v>
      </c>
      <c r="J250" s="3">
        <f>IFERROR(INDEX('Tagging key'!F:F, MATCH(F250,'Tagging key'!C:C,0)),"")</f>
        <v>22.3</v>
      </c>
      <c r="K250" s="3">
        <v>52.273000000000003</v>
      </c>
      <c r="L250" s="3">
        <v>64.83</v>
      </c>
      <c r="M250" s="3">
        <v>65.41</v>
      </c>
      <c r="N250" s="3">
        <v>23.91</v>
      </c>
      <c r="O250" s="3"/>
      <c r="P250" s="22">
        <v>45877</v>
      </c>
      <c r="Q250" s="22">
        <v>45877</v>
      </c>
      <c r="R250" s="3"/>
    </row>
    <row r="251" spans="1:19" hidden="1" x14ac:dyDescent="0.25">
      <c r="A251" s="8">
        <v>7</v>
      </c>
      <c r="B251" s="8">
        <v>9</v>
      </c>
      <c r="C251" s="8" t="s">
        <v>105</v>
      </c>
      <c r="D251" s="8" t="s">
        <v>16</v>
      </c>
      <c r="E251" s="8" t="s">
        <v>531</v>
      </c>
      <c r="F251" s="8" t="s">
        <v>532</v>
      </c>
      <c r="G251" s="3">
        <v>33.264000000000003</v>
      </c>
      <c r="H251" s="3">
        <f>IFERROR(INDEX('Tagging key'!D:D, MATCH(F251,'Tagging key'!C:C,0)),"")</f>
        <v>76.53</v>
      </c>
      <c r="I251" s="3">
        <f>IFERROR(INDEX('Tagging key'!E:E, MATCH(F251,'Tagging key'!C:C,0)),"")</f>
        <v>47.91</v>
      </c>
      <c r="J251" s="3">
        <f>IFERROR(INDEX('Tagging key'!F:F, MATCH(F251,'Tagging key'!C:C,0)),"")</f>
        <v>17.82</v>
      </c>
      <c r="K251" s="3">
        <v>32.576999999999998</v>
      </c>
      <c r="L251" s="3">
        <v>76.11</v>
      </c>
      <c r="M251" s="3">
        <v>49.14</v>
      </c>
      <c r="N251" s="3">
        <v>16.559999999999999</v>
      </c>
      <c r="O251" s="3"/>
      <c r="P251" s="22">
        <v>45877</v>
      </c>
      <c r="Q251" s="22">
        <v>45877</v>
      </c>
      <c r="R251" s="3"/>
    </row>
    <row r="252" spans="1:19" hidden="1" x14ac:dyDescent="0.25">
      <c r="A252" s="8">
        <v>7</v>
      </c>
      <c r="B252" s="8">
        <v>9</v>
      </c>
      <c r="C252" s="8" t="s">
        <v>105</v>
      </c>
      <c r="D252" s="8" t="s">
        <v>16</v>
      </c>
      <c r="E252" s="8" t="s">
        <v>533</v>
      </c>
      <c r="F252" s="8" t="s">
        <v>534</v>
      </c>
      <c r="G252" s="3">
        <v>30.553999999999998</v>
      </c>
      <c r="H252" s="3">
        <f>IFERROR(INDEX('Tagging key'!D:D, MATCH(F252,'Tagging key'!C:C,0)),"")</f>
        <v>62.95</v>
      </c>
      <c r="I252" s="3">
        <f>IFERROR(INDEX('Tagging key'!E:E, MATCH(F252,'Tagging key'!C:C,0)),"")</f>
        <v>50.7</v>
      </c>
      <c r="J252" s="3">
        <f>IFERROR(INDEX('Tagging key'!F:F, MATCH(F252,'Tagging key'!C:C,0)),"")</f>
        <v>19</v>
      </c>
      <c r="K252" s="3">
        <v>30.113</v>
      </c>
      <c r="L252" s="3">
        <v>66.37</v>
      </c>
      <c r="M252" s="3">
        <v>44.33</v>
      </c>
      <c r="N252" s="3">
        <v>21.8</v>
      </c>
      <c r="O252" s="3"/>
      <c r="P252" s="22">
        <v>45886</v>
      </c>
      <c r="Q252" s="22">
        <v>45886</v>
      </c>
      <c r="R252" s="3">
        <v>18.739000000000001</v>
      </c>
    </row>
    <row r="253" spans="1:19" hidden="1" x14ac:dyDescent="0.25">
      <c r="A253" s="8">
        <v>7</v>
      </c>
      <c r="B253" s="8">
        <v>9</v>
      </c>
      <c r="C253" s="8" t="s">
        <v>105</v>
      </c>
      <c r="D253" s="8" t="s">
        <v>16</v>
      </c>
      <c r="E253" s="8" t="s">
        <v>477</v>
      </c>
      <c r="F253" s="8" t="s">
        <v>535</v>
      </c>
      <c r="G253" s="3">
        <v>37.090000000000003</v>
      </c>
      <c r="H253" s="3">
        <f>IFERROR(INDEX('Tagging key'!D:D, MATCH(F253,'Tagging key'!C:C,0)),"")</f>
        <v>67.650000000000006</v>
      </c>
      <c r="I253" s="3">
        <f>IFERROR(INDEX('Tagging key'!E:E, MATCH(F253,'Tagging key'!C:C,0)),"")</f>
        <v>49.78</v>
      </c>
      <c r="J253" s="3">
        <f>IFERROR(INDEX('Tagging key'!F:F, MATCH(F253,'Tagging key'!C:C,0)),"")</f>
        <v>18.12</v>
      </c>
      <c r="K253" s="3">
        <v>36.374000000000002</v>
      </c>
      <c r="L253" s="3">
        <v>69.67</v>
      </c>
      <c r="M253" s="3">
        <v>48</v>
      </c>
      <c r="N253" s="3">
        <v>19.14</v>
      </c>
      <c r="O253" s="3"/>
      <c r="P253" s="22">
        <v>45879</v>
      </c>
      <c r="Q253" s="22">
        <v>45879</v>
      </c>
      <c r="R253" s="3"/>
    </row>
    <row r="254" spans="1:19" x14ac:dyDescent="0.25">
      <c r="A254" s="8">
        <v>7</v>
      </c>
      <c r="B254" s="8">
        <v>9</v>
      </c>
      <c r="C254" s="8" t="s">
        <v>105</v>
      </c>
      <c r="D254" s="8" t="s">
        <v>16</v>
      </c>
      <c r="E254" s="8" t="s">
        <v>536</v>
      </c>
      <c r="F254" s="8" t="s">
        <v>537</v>
      </c>
      <c r="G254" s="3">
        <v>38.972000000000001</v>
      </c>
      <c r="H254" s="3">
        <f>IFERROR(INDEX('Tagging key'!D:D, MATCH(F254,'Tagging key'!C:C,0)),"")</f>
        <v>77.87</v>
      </c>
      <c r="I254" s="3">
        <f>IFERROR(INDEX('Tagging key'!E:E, MATCH(F254,'Tagging key'!C:C,0)),"")</f>
        <v>46.75</v>
      </c>
      <c r="J254" s="3">
        <f>IFERROR(INDEX('Tagging key'!F:F, MATCH(F254,'Tagging key'!C:C,0)),"")</f>
        <v>15.61</v>
      </c>
      <c r="K254" s="3">
        <v>38.433</v>
      </c>
      <c r="L254" s="3">
        <v>79.319999999999993</v>
      </c>
      <c r="M254" s="3">
        <v>46.51</v>
      </c>
      <c r="N254" s="3">
        <v>17.600000000000001</v>
      </c>
      <c r="O254" s="3"/>
      <c r="P254" s="22">
        <v>45882</v>
      </c>
      <c r="Q254" s="22">
        <v>45882</v>
      </c>
      <c r="R254" s="3">
        <v>26.658000000000001</v>
      </c>
    </row>
    <row r="255" spans="1:19" x14ac:dyDescent="0.25">
      <c r="A255" s="9">
        <v>8</v>
      </c>
      <c r="B255" s="9">
        <v>1</v>
      </c>
      <c r="C255" s="9" t="s">
        <v>15</v>
      </c>
      <c r="D255" s="9" t="s">
        <v>16</v>
      </c>
      <c r="E255" s="9" t="s">
        <v>538</v>
      </c>
      <c r="F255" s="9" t="s">
        <v>539</v>
      </c>
      <c r="G255" s="3">
        <v>21.347999999999999</v>
      </c>
      <c r="H255" s="3">
        <f>IFERROR(INDEX('Tagging key'!D:D, MATCH(F255,'Tagging key'!C:C,0)),"")</f>
        <v>61.52</v>
      </c>
      <c r="I255" s="3">
        <f>IFERROR(INDEX('Tagging key'!E:E, MATCH(F255,'Tagging key'!C:C,0)),"")</f>
        <v>45.06</v>
      </c>
      <c r="J255" s="3">
        <f>IFERROR(INDEX('Tagging key'!F:F, MATCH(F255,'Tagging key'!C:C,0)),"")</f>
        <v>13.19</v>
      </c>
      <c r="K255" s="3">
        <v>21.013000000000002</v>
      </c>
      <c r="L255" s="3">
        <v>61.74</v>
      </c>
      <c r="M255" s="3">
        <v>44.53</v>
      </c>
      <c r="N255" s="3">
        <v>14.43</v>
      </c>
      <c r="O255" s="3"/>
      <c r="P255" s="22">
        <v>45882</v>
      </c>
      <c r="Q255" s="22">
        <v>45882</v>
      </c>
      <c r="R255" s="3">
        <v>11.753</v>
      </c>
    </row>
    <row r="256" spans="1:19" hidden="1" x14ac:dyDescent="0.25">
      <c r="A256" s="9">
        <v>8</v>
      </c>
      <c r="B256" s="9">
        <v>1</v>
      </c>
      <c r="C256" s="9" t="s">
        <v>15</v>
      </c>
      <c r="D256" s="9" t="s">
        <v>16</v>
      </c>
      <c r="E256" s="9" t="s">
        <v>540</v>
      </c>
      <c r="F256" s="9" t="s">
        <v>541</v>
      </c>
      <c r="G256" s="24">
        <v>23.382999999999999</v>
      </c>
      <c r="H256" s="3">
        <f>IFERROR(INDEX('Tagging key'!D:D, MATCH(F256,'Tagging key'!C:C,0)),"")</f>
        <v>60.08</v>
      </c>
      <c r="I256" s="3">
        <f>IFERROR(INDEX('Tagging key'!E:E, MATCH(F256,'Tagging key'!C:C,0)),"")</f>
        <v>43.32</v>
      </c>
      <c r="J256" s="3">
        <f>IFERROR(INDEX('Tagging key'!F:F, MATCH(F256,'Tagging key'!C:C,0)),"")</f>
        <v>14.18</v>
      </c>
      <c r="K256" s="3">
        <v>23.178999999999998</v>
      </c>
      <c r="L256" s="3">
        <v>60.11</v>
      </c>
      <c r="M256" s="3">
        <v>42.24</v>
      </c>
      <c r="N256" s="3">
        <v>15.07</v>
      </c>
      <c r="O256" s="3"/>
      <c r="P256" s="22">
        <v>45877</v>
      </c>
      <c r="Q256" s="22">
        <v>45877</v>
      </c>
      <c r="R256" s="3"/>
    </row>
    <row r="257" spans="1:18" hidden="1" x14ac:dyDescent="0.25">
      <c r="A257" s="9">
        <v>8</v>
      </c>
      <c r="B257" s="9">
        <v>1</v>
      </c>
      <c r="C257" s="9" t="s">
        <v>15</v>
      </c>
      <c r="D257" s="9" t="s">
        <v>16</v>
      </c>
      <c r="E257" s="9" t="s">
        <v>542</v>
      </c>
      <c r="F257" s="9" t="s">
        <v>543</v>
      </c>
      <c r="G257" s="3">
        <v>40.536999999999999</v>
      </c>
      <c r="H257" s="3">
        <f>IFERROR(INDEX('Tagging key'!D:D, MATCH(F257,'Tagging key'!C:C,0)),"")</f>
        <v>80.14</v>
      </c>
      <c r="I257" s="3">
        <f>IFERROR(INDEX('Tagging key'!E:E, MATCH(F257,'Tagging key'!C:C,0)),"")</f>
        <v>50.61</v>
      </c>
      <c r="J257" s="3">
        <f>IFERROR(INDEX('Tagging key'!F:F, MATCH(F257,'Tagging key'!C:C,0)),"")</f>
        <v>20.72</v>
      </c>
      <c r="K257" s="3">
        <v>40.087000000000003</v>
      </c>
      <c r="L257" s="3">
        <v>75.209999999999994</v>
      </c>
      <c r="M257" s="3">
        <v>50.54</v>
      </c>
      <c r="N257" s="3">
        <v>18.27</v>
      </c>
      <c r="O257" s="3"/>
      <c r="P257" s="22">
        <v>45879</v>
      </c>
      <c r="Q257" s="22">
        <v>45879</v>
      </c>
      <c r="R257" s="3"/>
    </row>
    <row r="258" spans="1:18" hidden="1" x14ac:dyDescent="0.25">
      <c r="A258" s="9">
        <v>8</v>
      </c>
      <c r="B258" s="9">
        <v>1</v>
      </c>
      <c r="C258" s="9" t="s">
        <v>15</v>
      </c>
      <c r="D258" s="9" t="s">
        <v>16</v>
      </c>
      <c r="E258" s="9" t="s">
        <v>544</v>
      </c>
      <c r="F258" s="9" t="s">
        <v>545</v>
      </c>
      <c r="G258" s="3">
        <v>36.674999999999997</v>
      </c>
      <c r="H258" s="3">
        <f>IFERROR(INDEX('Tagging key'!D:D, MATCH(F258,'Tagging key'!C:C,0)),"")</f>
        <v>65.099999999999994</v>
      </c>
      <c r="I258" s="3">
        <f>IFERROR(INDEX('Tagging key'!E:E, MATCH(F258,'Tagging key'!C:C,0)),"")</f>
        <v>49.86</v>
      </c>
      <c r="J258" s="3">
        <f>IFERROR(INDEX('Tagging key'!F:F, MATCH(F258,'Tagging key'!C:C,0)),"")</f>
        <v>17.190000000000001</v>
      </c>
      <c r="K258" s="3">
        <v>36.531999999999996</v>
      </c>
      <c r="L258" s="3">
        <v>66.14</v>
      </c>
      <c r="M258" s="3">
        <v>47.17</v>
      </c>
      <c r="N258" s="3">
        <v>19.77</v>
      </c>
      <c r="O258" s="3"/>
      <c r="P258" s="22">
        <v>45886</v>
      </c>
      <c r="Q258" s="22">
        <v>45886</v>
      </c>
      <c r="R258" s="3">
        <v>26.306000000000001</v>
      </c>
    </row>
    <row r="259" spans="1:18" hidden="1" x14ac:dyDescent="0.25">
      <c r="A259" s="8">
        <v>8</v>
      </c>
      <c r="B259" s="8">
        <v>2</v>
      </c>
      <c r="C259" s="8" t="s">
        <v>15</v>
      </c>
      <c r="D259" s="8" t="s">
        <v>16</v>
      </c>
      <c r="E259" s="8" t="s">
        <v>546</v>
      </c>
      <c r="F259" s="8" t="s">
        <v>547</v>
      </c>
      <c r="G259" s="3">
        <v>27.382000000000001</v>
      </c>
      <c r="H259" s="3">
        <f>IFERROR(INDEX('Tagging key'!D:D, MATCH(F259,'Tagging key'!C:C,0)),"")</f>
        <v>64.099999999999994</v>
      </c>
      <c r="I259" s="3">
        <f>IFERROR(INDEX('Tagging key'!E:E, MATCH(F259,'Tagging key'!C:C,0)),"")</f>
        <v>46.85</v>
      </c>
      <c r="J259" s="3">
        <f>IFERROR(INDEX('Tagging key'!F:F, MATCH(F259,'Tagging key'!C:C,0)),"")</f>
        <v>16.18</v>
      </c>
      <c r="K259" s="3">
        <v>27.094000000000001</v>
      </c>
      <c r="L259" s="3">
        <v>65.400000000000006</v>
      </c>
      <c r="M259" s="3">
        <v>44.85</v>
      </c>
      <c r="N259" s="3">
        <v>15.77</v>
      </c>
      <c r="O259" s="3"/>
      <c r="P259" s="22">
        <v>45877</v>
      </c>
      <c r="Q259" s="22">
        <v>45877</v>
      </c>
      <c r="R259" s="3"/>
    </row>
    <row r="260" spans="1:18" hidden="1" x14ac:dyDescent="0.25">
      <c r="A260" s="8">
        <v>8</v>
      </c>
      <c r="B260" s="8">
        <v>2</v>
      </c>
      <c r="C260" s="8" t="s">
        <v>15</v>
      </c>
      <c r="D260" s="8" t="s">
        <v>16</v>
      </c>
      <c r="E260" s="8" t="s">
        <v>198</v>
      </c>
      <c r="F260" s="8" t="s">
        <v>548</v>
      </c>
      <c r="G260" s="3">
        <v>21.754999999999999</v>
      </c>
      <c r="H260" s="3">
        <f>IFERROR(INDEX('Tagging key'!D:D, MATCH(F260,'Tagging key'!C:C,0)),"")</f>
        <v>62.25</v>
      </c>
      <c r="I260" s="3">
        <f>IFERROR(INDEX('Tagging key'!E:E, MATCH(F260,'Tagging key'!C:C,0)),"")</f>
        <v>48.1</v>
      </c>
      <c r="J260" s="3">
        <f>IFERROR(INDEX('Tagging key'!F:F, MATCH(F260,'Tagging key'!C:C,0)),"")</f>
        <v>14.02</v>
      </c>
      <c r="K260" s="3">
        <v>21.484999999999999</v>
      </c>
      <c r="L260" s="3">
        <v>62.31</v>
      </c>
      <c r="M260" s="3">
        <v>46.47</v>
      </c>
      <c r="N260" s="3">
        <v>16.02</v>
      </c>
      <c r="O260" s="3"/>
      <c r="P260" s="22">
        <v>45886</v>
      </c>
      <c r="Q260" s="22">
        <v>45886</v>
      </c>
      <c r="R260" s="3">
        <v>13.492000000000001</v>
      </c>
    </row>
    <row r="261" spans="1:18" x14ac:dyDescent="0.25">
      <c r="A261" s="8">
        <v>8</v>
      </c>
      <c r="B261" s="8">
        <v>2</v>
      </c>
      <c r="C261" s="8" t="s">
        <v>15</v>
      </c>
      <c r="D261" s="8" t="s">
        <v>16</v>
      </c>
      <c r="E261" s="8" t="s">
        <v>165</v>
      </c>
      <c r="F261" s="8" t="s">
        <v>549</v>
      </c>
      <c r="G261" s="3">
        <v>25.15</v>
      </c>
      <c r="H261" s="3">
        <f>IFERROR(INDEX('Tagging key'!D:D, MATCH(F261,'Tagging key'!C:C,0)),"")</f>
        <v>64.33</v>
      </c>
      <c r="I261" s="3">
        <f>IFERROR(INDEX('Tagging key'!E:E, MATCH(F261,'Tagging key'!C:C,0)),"")</f>
        <v>44.72</v>
      </c>
      <c r="J261" s="3">
        <f>IFERROR(INDEX('Tagging key'!F:F, MATCH(F261,'Tagging key'!C:C,0)),"")</f>
        <v>15.96</v>
      </c>
      <c r="K261" s="3">
        <v>24.972000000000001</v>
      </c>
      <c r="L261" s="3">
        <v>64.400000000000006</v>
      </c>
      <c r="M261" s="3">
        <v>44.58</v>
      </c>
      <c r="N261" s="3">
        <v>17.8</v>
      </c>
      <c r="O261" s="3"/>
      <c r="P261" s="22">
        <v>45882</v>
      </c>
      <c r="Q261" s="22">
        <v>45882</v>
      </c>
      <c r="R261" s="3">
        <v>16.826000000000001</v>
      </c>
    </row>
    <row r="262" spans="1:18" hidden="1" x14ac:dyDescent="0.25">
      <c r="A262" s="8">
        <v>8</v>
      </c>
      <c r="B262" s="8">
        <v>2</v>
      </c>
      <c r="C262" s="8" t="s">
        <v>15</v>
      </c>
      <c r="D262" s="8" t="s">
        <v>16</v>
      </c>
      <c r="E262" s="8" t="s">
        <v>174</v>
      </c>
      <c r="F262" s="8" t="s">
        <v>550</v>
      </c>
      <c r="G262" s="3">
        <v>34.61</v>
      </c>
      <c r="H262" s="3">
        <f>IFERROR(INDEX('Tagging key'!D:D, MATCH(F262,'Tagging key'!C:C,0)),"")</f>
        <v>70.930000000000007</v>
      </c>
      <c r="I262" s="3">
        <f>IFERROR(INDEX('Tagging key'!E:E, MATCH(F262,'Tagging key'!C:C,0)),"")</f>
        <v>42.89</v>
      </c>
      <c r="J262" s="3">
        <f>IFERROR(INDEX('Tagging key'!F:F, MATCH(F262,'Tagging key'!C:C,0)),"")</f>
        <v>15.49</v>
      </c>
      <c r="K262" s="3">
        <v>34.326000000000001</v>
      </c>
      <c r="L262" s="3">
        <v>70.459999999999994</v>
      </c>
      <c r="M262" s="3">
        <v>42.88</v>
      </c>
      <c r="N262" s="3">
        <v>13.98</v>
      </c>
      <c r="O262" s="3"/>
      <c r="P262" s="22">
        <v>45879</v>
      </c>
      <c r="Q262" s="22">
        <v>45879</v>
      </c>
      <c r="R262" s="3"/>
    </row>
    <row r="263" spans="1:18" hidden="1" x14ac:dyDescent="0.25">
      <c r="A263" s="9">
        <v>8</v>
      </c>
      <c r="B263" s="9">
        <v>3</v>
      </c>
      <c r="C263" s="9" t="s">
        <v>15</v>
      </c>
      <c r="D263" s="9" t="s">
        <v>16</v>
      </c>
      <c r="E263" s="9" t="s">
        <v>177</v>
      </c>
      <c r="F263" s="9" t="s">
        <v>551</v>
      </c>
      <c r="G263" s="3">
        <v>21.495000000000001</v>
      </c>
      <c r="H263" s="3">
        <f>IFERROR(INDEX('Tagging key'!D:D, MATCH(F263,'Tagging key'!C:C,0)),"")</f>
        <v>72.36</v>
      </c>
      <c r="I263" s="3">
        <f>IFERROR(INDEX('Tagging key'!E:E, MATCH(F263,'Tagging key'!C:C,0)),"")</f>
        <v>36.770000000000003</v>
      </c>
      <c r="J263" s="3">
        <f>IFERROR(INDEX('Tagging key'!F:F, MATCH(F263,'Tagging key'!C:C,0)),"")</f>
        <v>13.07</v>
      </c>
      <c r="K263" s="3">
        <v>21.393999999999998</v>
      </c>
      <c r="L263" s="3">
        <v>72.739999999999995</v>
      </c>
      <c r="M263" s="3">
        <v>38.25</v>
      </c>
      <c r="N263" s="3">
        <v>15.83</v>
      </c>
      <c r="O263" s="3"/>
      <c r="P263" s="22">
        <v>45877</v>
      </c>
      <c r="Q263" s="22">
        <v>45877</v>
      </c>
      <c r="R263" s="3"/>
    </row>
    <row r="264" spans="1:18" hidden="1" x14ac:dyDescent="0.25">
      <c r="A264" s="9">
        <v>8</v>
      </c>
      <c r="B264" s="9">
        <v>3</v>
      </c>
      <c r="C264" s="9" t="s">
        <v>15</v>
      </c>
      <c r="D264" s="9" t="s">
        <v>16</v>
      </c>
      <c r="E264" s="9" t="s">
        <v>552</v>
      </c>
      <c r="F264" s="9" t="s">
        <v>553</v>
      </c>
      <c r="G264" s="3">
        <v>22.536999999999999</v>
      </c>
      <c r="H264" s="3">
        <f>IFERROR(INDEX('Tagging key'!D:D, MATCH(F264,'Tagging key'!C:C,0)),"")</f>
        <v>54.1</v>
      </c>
      <c r="I264" s="3">
        <f>IFERROR(INDEX('Tagging key'!E:E, MATCH(F264,'Tagging key'!C:C,0)),"")</f>
        <v>38.96</v>
      </c>
      <c r="J264" s="3">
        <f>IFERROR(INDEX('Tagging key'!F:F, MATCH(F264,'Tagging key'!C:C,0)),"")</f>
        <v>18.64</v>
      </c>
      <c r="K264" s="3">
        <v>22.495000000000001</v>
      </c>
      <c r="L264" s="3">
        <v>54.33</v>
      </c>
      <c r="M264" s="3">
        <v>38.630000000000003</v>
      </c>
      <c r="N264" s="3">
        <v>18.23</v>
      </c>
      <c r="O264" s="3"/>
      <c r="P264" s="22">
        <v>45886</v>
      </c>
      <c r="Q264" s="22">
        <v>45886</v>
      </c>
      <c r="R264" s="3">
        <v>14.11</v>
      </c>
    </row>
    <row r="265" spans="1:18" hidden="1" x14ac:dyDescent="0.25">
      <c r="A265" s="9">
        <v>8</v>
      </c>
      <c r="B265" s="9">
        <v>3</v>
      </c>
      <c r="C265" s="9" t="s">
        <v>15</v>
      </c>
      <c r="D265" s="9" t="s">
        <v>16</v>
      </c>
      <c r="E265" s="9" t="s">
        <v>554</v>
      </c>
      <c r="F265" s="9" t="s">
        <v>555</v>
      </c>
      <c r="G265" s="3">
        <v>97.855999999999995</v>
      </c>
      <c r="H265" s="3">
        <f>IFERROR(INDEX('Tagging key'!D:D, MATCH(F265,'Tagging key'!C:C,0)),"")</f>
        <v>85.27</v>
      </c>
      <c r="I265" s="3">
        <f>IFERROR(INDEX('Tagging key'!E:E, MATCH(F265,'Tagging key'!C:C,0)),"")</f>
        <v>61.19</v>
      </c>
      <c r="J265" s="3">
        <f>IFERROR(INDEX('Tagging key'!F:F, MATCH(F265,'Tagging key'!C:C,0)),"")</f>
        <v>22.81</v>
      </c>
      <c r="K265" s="3">
        <v>96.944000000000003</v>
      </c>
      <c r="L265" s="3">
        <v>85.89</v>
      </c>
      <c r="M265" s="3">
        <v>58.24</v>
      </c>
      <c r="N265" s="3">
        <v>29.66</v>
      </c>
      <c r="O265" s="3"/>
      <c r="P265" s="22">
        <v>45879</v>
      </c>
      <c r="Q265" s="22">
        <v>45879</v>
      </c>
      <c r="R265" s="3"/>
    </row>
    <row r="266" spans="1:18" x14ac:dyDescent="0.25">
      <c r="A266" s="9">
        <v>8</v>
      </c>
      <c r="B266" s="9">
        <v>3</v>
      </c>
      <c r="C266" s="9" t="s">
        <v>15</v>
      </c>
      <c r="D266" s="9" t="s">
        <v>16</v>
      </c>
      <c r="E266" s="9" t="s">
        <v>556</v>
      </c>
      <c r="F266" s="9" t="s">
        <v>557</v>
      </c>
      <c r="G266" s="3">
        <v>33.481000000000002</v>
      </c>
      <c r="H266" s="3">
        <f>IFERROR(INDEX('Tagging key'!D:D, MATCH(F266,'Tagging key'!C:C,0)),"")</f>
        <v>79.13</v>
      </c>
      <c r="I266" s="3">
        <f>IFERROR(INDEX('Tagging key'!E:E, MATCH(F266,'Tagging key'!C:C,0)),"")</f>
        <v>39.08</v>
      </c>
      <c r="J266" s="3">
        <f>IFERROR(INDEX('Tagging key'!F:F, MATCH(F266,'Tagging key'!C:C,0)),"")</f>
        <v>17.12</v>
      </c>
      <c r="K266" s="3">
        <v>32.438000000000002</v>
      </c>
      <c r="L266" s="3">
        <v>79.14</v>
      </c>
      <c r="M266" s="3">
        <v>40.520000000000003</v>
      </c>
      <c r="N266" s="3">
        <v>18.21</v>
      </c>
      <c r="O266" s="3"/>
      <c r="P266" s="22">
        <v>45882</v>
      </c>
      <c r="Q266" s="22">
        <v>45882</v>
      </c>
      <c r="R266" s="3"/>
    </row>
    <row r="267" spans="1:18" x14ac:dyDescent="0.25">
      <c r="A267" s="13">
        <v>8</v>
      </c>
      <c r="B267" s="13">
        <v>4</v>
      </c>
      <c r="C267" s="13" t="s">
        <v>15</v>
      </c>
      <c r="D267" s="13" t="s">
        <v>72</v>
      </c>
      <c r="E267" s="13" t="s">
        <v>558</v>
      </c>
      <c r="F267" s="13" t="str">
        <f>LEFT(D267,1)&amp;"_"&amp;E267</f>
        <v>S_G40</v>
      </c>
      <c r="G267" s="3">
        <v>67.173000000000002</v>
      </c>
      <c r="H267" s="3">
        <f>IFERROR(INDEX('Tagging key'!D:D, MATCH(F267,'Tagging key'!C:C,0)),"")</f>
        <v>78.7</v>
      </c>
      <c r="I267" s="3">
        <f>IFERROR(INDEX('Tagging key'!E:E, MATCH(F267,'Tagging key'!C:C,0)),"")</f>
        <v>80.680000000000007</v>
      </c>
      <c r="J267" s="3">
        <f>IFERROR(INDEX('Tagging key'!F:F, MATCH(F267,'Tagging key'!C:C,0)),"")</f>
        <v>20.100000000000001</v>
      </c>
      <c r="K267" s="3">
        <v>60.929000000000002</v>
      </c>
      <c r="L267" s="3">
        <v>80.08</v>
      </c>
      <c r="M267" s="3">
        <v>81.88</v>
      </c>
      <c r="N267" s="3">
        <v>21.11</v>
      </c>
      <c r="O267" s="3"/>
      <c r="P267" s="22">
        <v>45882</v>
      </c>
      <c r="Q267" s="22">
        <v>45882</v>
      </c>
      <c r="R267" s="3">
        <v>31.568000000000001</v>
      </c>
    </row>
    <row r="268" spans="1:18" hidden="1" x14ac:dyDescent="0.25">
      <c r="A268" s="13">
        <v>8</v>
      </c>
      <c r="B268" s="13">
        <v>4</v>
      </c>
      <c r="C268" s="13" t="s">
        <v>15</v>
      </c>
      <c r="D268" s="13" t="s">
        <v>72</v>
      </c>
      <c r="E268" s="13" t="s">
        <v>559</v>
      </c>
      <c r="F268" s="13" t="str">
        <f t="shared" ref="F268:F278" si="0">LEFT(D268,1)&amp;"_"&amp;E268</f>
        <v>S_G80</v>
      </c>
      <c r="G268" s="3">
        <v>54.710999999999999</v>
      </c>
      <c r="H268" s="3">
        <f>IFERROR(INDEX('Tagging key'!D:D, MATCH(F268,'Tagging key'!C:C,0)),"")</f>
        <v>73</v>
      </c>
      <c r="I268" s="3">
        <f>IFERROR(INDEX('Tagging key'!E:E, MATCH(F268,'Tagging key'!C:C,0)),"")</f>
        <v>78</v>
      </c>
      <c r="J268" s="3">
        <f>IFERROR(INDEX('Tagging key'!F:F, MATCH(F268,'Tagging key'!C:C,0)),"")</f>
        <v>20</v>
      </c>
      <c r="K268" s="3">
        <v>52.314</v>
      </c>
      <c r="L268" s="3">
        <v>73.83</v>
      </c>
      <c r="M268" s="3">
        <v>79.03</v>
      </c>
      <c r="N268" s="3">
        <v>20.83</v>
      </c>
      <c r="O268" s="3"/>
      <c r="P268" s="22">
        <v>45886</v>
      </c>
      <c r="Q268" s="22">
        <v>45886</v>
      </c>
      <c r="R268" s="3"/>
    </row>
    <row r="269" spans="1:18" hidden="1" x14ac:dyDescent="0.25">
      <c r="A269" s="13">
        <v>8</v>
      </c>
      <c r="B269" s="13">
        <v>4</v>
      </c>
      <c r="C269" s="13" t="s">
        <v>15</v>
      </c>
      <c r="D269" s="13" t="s">
        <v>72</v>
      </c>
      <c r="E269" s="13" t="s">
        <v>560</v>
      </c>
      <c r="F269" s="13" t="str">
        <f t="shared" si="0"/>
        <v>S_Y20</v>
      </c>
      <c r="G269" s="3">
        <v>56.363999999999997</v>
      </c>
      <c r="H269" s="3">
        <f>IFERROR(INDEX('Tagging key'!D:D, MATCH(F269,'Tagging key'!C:C,0)),"")</f>
        <v>71</v>
      </c>
      <c r="I269" s="3">
        <f>IFERROR(INDEX('Tagging key'!E:E, MATCH(F269,'Tagging key'!C:C,0)),"")</f>
        <v>76</v>
      </c>
      <c r="J269" s="3">
        <f>IFERROR(INDEX('Tagging key'!F:F, MATCH(F269,'Tagging key'!C:C,0)),"")</f>
        <v>20</v>
      </c>
      <c r="K269" s="3">
        <v>51.499000000000002</v>
      </c>
      <c r="L269" s="3">
        <v>71.239999999999995</v>
      </c>
      <c r="M269" s="3">
        <v>77.63</v>
      </c>
      <c r="N269" s="3">
        <v>21.09</v>
      </c>
      <c r="O269" s="3"/>
      <c r="P269" s="22">
        <v>45879</v>
      </c>
      <c r="Q269" s="22">
        <v>45879</v>
      </c>
      <c r="R269" s="3"/>
    </row>
    <row r="270" spans="1:18" hidden="1" x14ac:dyDescent="0.25">
      <c r="A270" s="13">
        <v>8</v>
      </c>
      <c r="B270" s="13">
        <v>4</v>
      </c>
      <c r="C270" s="13" t="s">
        <v>15</v>
      </c>
      <c r="D270" s="13" t="s">
        <v>72</v>
      </c>
      <c r="E270" s="13" t="s">
        <v>561</v>
      </c>
      <c r="F270" s="13" t="str">
        <f t="shared" si="0"/>
        <v>S_Y88</v>
      </c>
      <c r="G270" s="3">
        <v>62.44</v>
      </c>
      <c r="H270" s="3">
        <f>IFERROR(INDEX('Tagging key'!D:D, MATCH(F270,'Tagging key'!C:C,0)),"")</f>
        <v>72</v>
      </c>
      <c r="I270" s="3">
        <f>IFERROR(INDEX('Tagging key'!E:E, MATCH(F270,'Tagging key'!C:C,0)),"")</f>
        <v>76</v>
      </c>
      <c r="J270" s="3">
        <f>IFERROR(INDEX('Tagging key'!F:F, MATCH(F270,'Tagging key'!C:C,0)),"")</f>
        <v>18</v>
      </c>
      <c r="K270" s="3">
        <v>57.292999999999999</v>
      </c>
      <c r="L270" s="3">
        <v>73.8</v>
      </c>
      <c r="M270" s="3">
        <v>76.7</v>
      </c>
      <c r="N270" s="3">
        <v>23.04</v>
      </c>
      <c r="O270" s="3"/>
      <c r="P270" s="22">
        <v>45877</v>
      </c>
      <c r="Q270" s="22">
        <v>45877</v>
      </c>
      <c r="R270" s="3"/>
    </row>
    <row r="271" spans="1:18" x14ac:dyDescent="0.25">
      <c r="A271" s="14">
        <v>8</v>
      </c>
      <c r="B271" s="14">
        <v>5</v>
      </c>
      <c r="C271" s="14" t="s">
        <v>15</v>
      </c>
      <c r="D271" s="14" t="s">
        <v>72</v>
      </c>
      <c r="E271" s="14" t="s">
        <v>562</v>
      </c>
      <c r="F271" s="14" t="str">
        <f t="shared" si="0"/>
        <v>S_W54</v>
      </c>
      <c r="G271" s="3">
        <v>51.198999999999998</v>
      </c>
      <c r="H271" s="3">
        <f>IFERROR(INDEX('Tagging key'!D:D, MATCH(F271,'Tagging key'!C:C,0)),"")</f>
        <v>74</v>
      </c>
      <c r="I271" s="3">
        <f>IFERROR(INDEX('Tagging key'!E:E, MATCH(F271,'Tagging key'!C:C,0)),"")</f>
        <v>77</v>
      </c>
      <c r="J271" s="3">
        <f>IFERROR(INDEX('Tagging key'!F:F, MATCH(F271,'Tagging key'!C:C,0)),"")</f>
        <v>19</v>
      </c>
      <c r="K271" s="3">
        <v>49.399000000000001</v>
      </c>
      <c r="L271" s="3">
        <v>73.87</v>
      </c>
      <c r="M271" s="3">
        <v>77.89</v>
      </c>
      <c r="N271" s="3">
        <v>20.66</v>
      </c>
      <c r="O271" s="3"/>
      <c r="P271" s="22">
        <v>45882</v>
      </c>
      <c r="Q271" s="22">
        <v>45882</v>
      </c>
      <c r="R271" s="3"/>
    </row>
    <row r="272" spans="1:18" hidden="1" x14ac:dyDescent="0.25">
      <c r="A272" s="14">
        <v>8</v>
      </c>
      <c r="B272" s="14">
        <v>5</v>
      </c>
      <c r="C272" s="14" t="s">
        <v>15</v>
      </c>
      <c r="D272" s="14" t="s">
        <v>72</v>
      </c>
      <c r="E272" s="14" t="s">
        <v>563</v>
      </c>
      <c r="F272" s="14" t="str">
        <f t="shared" si="0"/>
        <v>S_G96</v>
      </c>
      <c r="G272" s="3">
        <v>43.817</v>
      </c>
      <c r="H272" s="3">
        <f>IFERROR(INDEX('Tagging key'!D:D, MATCH(F272,'Tagging key'!C:C,0)),"")</f>
        <v>68</v>
      </c>
      <c r="I272" s="3">
        <f>IFERROR(INDEX('Tagging key'!E:E, MATCH(F272,'Tagging key'!C:C,0)),"")</f>
        <v>72</v>
      </c>
      <c r="J272" s="3">
        <f>IFERROR(INDEX('Tagging key'!F:F, MATCH(F272,'Tagging key'!C:C,0)),"")</f>
        <v>18</v>
      </c>
      <c r="K272" s="3">
        <v>41.034999999999997</v>
      </c>
      <c r="L272" s="3">
        <v>69.400000000000006</v>
      </c>
      <c r="M272" s="3">
        <v>73.59</v>
      </c>
      <c r="N272" s="3">
        <v>19.59</v>
      </c>
      <c r="O272" s="3"/>
      <c r="P272" s="22">
        <v>45877</v>
      </c>
      <c r="Q272" s="22">
        <v>45877</v>
      </c>
      <c r="R272" s="3"/>
    </row>
    <row r="273" spans="1:18" hidden="1" x14ac:dyDescent="0.25">
      <c r="A273" s="14">
        <v>8</v>
      </c>
      <c r="B273" s="14">
        <v>5</v>
      </c>
      <c r="C273" s="14" t="s">
        <v>15</v>
      </c>
      <c r="D273" s="14" t="s">
        <v>72</v>
      </c>
      <c r="E273" s="14" t="s">
        <v>564</v>
      </c>
      <c r="F273" s="14" t="str">
        <f t="shared" si="0"/>
        <v>S_G41</v>
      </c>
      <c r="G273" s="3">
        <v>49.975999999999999</v>
      </c>
      <c r="H273" s="3">
        <f>IFERROR(INDEX('Tagging key'!D:D, MATCH(F273,'Tagging key'!C:C,0)),"")</f>
        <v>73.84</v>
      </c>
      <c r="I273" s="3">
        <f>IFERROR(INDEX('Tagging key'!E:E, MATCH(F273,'Tagging key'!C:C,0)),"")</f>
        <v>73.260000000000005</v>
      </c>
      <c r="J273" s="3">
        <f>IFERROR(INDEX('Tagging key'!F:F, MATCH(F273,'Tagging key'!C:C,0)),"")</f>
        <v>18.27</v>
      </c>
      <c r="K273" s="3">
        <v>46.542999999999999</v>
      </c>
      <c r="L273" s="3">
        <v>72.760000000000005</v>
      </c>
      <c r="M273" s="3">
        <v>75.62</v>
      </c>
      <c r="N273" s="3">
        <v>20.059999999999999</v>
      </c>
      <c r="O273" s="3"/>
      <c r="P273" s="22">
        <v>45886</v>
      </c>
      <c r="Q273" s="22">
        <v>45886</v>
      </c>
      <c r="R273" s="3"/>
    </row>
    <row r="274" spans="1:18" hidden="1" x14ac:dyDescent="0.25">
      <c r="A274" s="14">
        <v>8</v>
      </c>
      <c r="B274" s="14">
        <v>5</v>
      </c>
      <c r="C274" s="14" t="s">
        <v>15</v>
      </c>
      <c r="D274" s="14" t="s">
        <v>72</v>
      </c>
      <c r="E274" s="14" t="s">
        <v>565</v>
      </c>
      <c r="F274" s="14" t="str">
        <f t="shared" si="0"/>
        <v>S_Y3</v>
      </c>
      <c r="G274" s="3">
        <v>52.408999999999999</v>
      </c>
      <c r="H274" s="3">
        <f>IFERROR(INDEX('Tagging key'!D:D, MATCH(F274,'Tagging key'!C:C,0)),"")</f>
        <v>72</v>
      </c>
      <c r="I274" s="3">
        <f>IFERROR(INDEX('Tagging key'!E:E, MATCH(F274,'Tagging key'!C:C,0)),"")</f>
        <v>75.5</v>
      </c>
      <c r="J274" s="3">
        <f>IFERROR(INDEX('Tagging key'!F:F, MATCH(F274,'Tagging key'!C:C,0)),"")</f>
        <v>21</v>
      </c>
      <c r="K274" s="3">
        <v>50.970999999999997</v>
      </c>
      <c r="L274" s="3">
        <v>74.400000000000006</v>
      </c>
      <c r="M274" s="3">
        <v>78.739999999999995</v>
      </c>
      <c r="N274" s="3">
        <v>20.95</v>
      </c>
      <c r="O274" s="3"/>
      <c r="P274" s="22">
        <v>45879</v>
      </c>
      <c r="Q274" s="22">
        <v>45879</v>
      </c>
      <c r="R274" s="3"/>
    </row>
    <row r="275" spans="1:18" x14ac:dyDescent="0.25">
      <c r="A275" s="13">
        <v>8</v>
      </c>
      <c r="B275" s="13">
        <v>6</v>
      </c>
      <c r="C275" s="13" t="s">
        <v>15</v>
      </c>
      <c r="D275" s="13" t="s">
        <v>72</v>
      </c>
      <c r="E275" s="13" t="s">
        <v>566</v>
      </c>
      <c r="F275" s="13" t="str">
        <f t="shared" si="0"/>
        <v>S_Y39</v>
      </c>
      <c r="G275" s="3">
        <v>56.716999999999999</v>
      </c>
      <c r="H275" s="3">
        <f>IFERROR(INDEX('Tagging key'!D:D, MATCH(F275,'Tagging key'!C:C,0)),"")</f>
        <v>71</v>
      </c>
      <c r="I275" s="3">
        <f>IFERROR(INDEX('Tagging key'!E:E, MATCH(F275,'Tagging key'!C:C,0)),"")</f>
        <v>77</v>
      </c>
      <c r="J275" s="3">
        <f>IFERROR(INDEX('Tagging key'!F:F, MATCH(F275,'Tagging key'!C:C,0)),"")</f>
        <v>19</v>
      </c>
      <c r="K275" s="3">
        <v>54.473999999999997</v>
      </c>
      <c r="L275" s="3">
        <v>73.73</v>
      </c>
      <c r="M275" s="3">
        <v>79.95</v>
      </c>
      <c r="N275" s="3">
        <v>21.46</v>
      </c>
      <c r="O275" s="3"/>
      <c r="P275" s="22">
        <v>45882</v>
      </c>
      <c r="Q275" s="22">
        <v>45882</v>
      </c>
      <c r="R275" s="3">
        <v>24.457999999999998</v>
      </c>
    </row>
    <row r="276" spans="1:18" hidden="1" x14ac:dyDescent="0.25">
      <c r="A276" s="13">
        <v>8</v>
      </c>
      <c r="B276" s="13">
        <v>6</v>
      </c>
      <c r="C276" s="13" t="s">
        <v>15</v>
      </c>
      <c r="D276" s="13" t="s">
        <v>72</v>
      </c>
      <c r="E276" s="13" t="s">
        <v>567</v>
      </c>
      <c r="F276" s="13" t="str">
        <f t="shared" si="0"/>
        <v>S_W81</v>
      </c>
      <c r="G276" s="3">
        <v>71.281999999999996</v>
      </c>
      <c r="H276" s="3">
        <f>IFERROR(INDEX('Tagging key'!D:D, MATCH(F276,'Tagging key'!C:C,0)),"")</f>
        <v>78</v>
      </c>
      <c r="I276" s="3">
        <f>IFERROR(INDEX('Tagging key'!E:E, MATCH(F276,'Tagging key'!C:C,0)),"")</f>
        <v>82</v>
      </c>
      <c r="J276" s="3">
        <f>IFERROR(INDEX('Tagging key'!F:F, MATCH(F276,'Tagging key'!C:C,0)),"")</f>
        <v>24</v>
      </c>
      <c r="K276" s="3">
        <v>68.367000000000004</v>
      </c>
      <c r="L276" s="3">
        <v>77.98</v>
      </c>
      <c r="M276" s="3">
        <v>82.49</v>
      </c>
      <c r="N276" s="3">
        <v>23.57</v>
      </c>
      <c r="O276" s="3"/>
      <c r="P276" s="22">
        <v>45886</v>
      </c>
      <c r="Q276" s="22">
        <v>45886</v>
      </c>
      <c r="R276" s="3">
        <v>36.597000000000001</v>
      </c>
    </row>
    <row r="277" spans="1:18" hidden="1" x14ac:dyDescent="0.25">
      <c r="A277" s="13">
        <v>8</v>
      </c>
      <c r="B277" s="13">
        <v>6</v>
      </c>
      <c r="C277" s="13" t="s">
        <v>15</v>
      </c>
      <c r="D277" s="13" t="s">
        <v>72</v>
      </c>
      <c r="E277" s="13" t="s">
        <v>568</v>
      </c>
      <c r="F277" s="13" t="str">
        <f t="shared" si="0"/>
        <v>S_G2</v>
      </c>
      <c r="G277" s="3">
        <v>66.616</v>
      </c>
      <c r="H277" s="3">
        <f>IFERROR(INDEX('Tagging key'!D:D, MATCH(F277,'Tagging key'!C:C,0)),"")</f>
        <v>78.92</v>
      </c>
      <c r="I277" s="3">
        <f>IFERROR(INDEX('Tagging key'!E:E, MATCH(F277,'Tagging key'!C:C,0)),"")</f>
        <v>82.43</v>
      </c>
      <c r="J277" s="3">
        <f>IFERROR(INDEX('Tagging key'!F:F, MATCH(F277,'Tagging key'!C:C,0)),"")</f>
        <v>22.73</v>
      </c>
      <c r="K277" s="3">
        <v>66.158000000000001</v>
      </c>
      <c r="L277" s="3">
        <v>79.86</v>
      </c>
      <c r="M277" s="3">
        <v>83.61</v>
      </c>
      <c r="N277" s="3">
        <v>23.39</v>
      </c>
      <c r="O277" s="3"/>
      <c r="P277" s="22">
        <v>45877</v>
      </c>
      <c r="Q277" s="22">
        <v>45877</v>
      </c>
      <c r="R277" s="3"/>
    </row>
    <row r="278" spans="1:18" hidden="1" x14ac:dyDescent="0.25">
      <c r="A278" s="13">
        <v>8</v>
      </c>
      <c r="B278" s="13">
        <v>6</v>
      </c>
      <c r="C278" s="13" t="s">
        <v>15</v>
      </c>
      <c r="D278" s="13" t="s">
        <v>72</v>
      </c>
      <c r="E278" s="13" t="s">
        <v>436</v>
      </c>
      <c r="F278" s="13" t="str">
        <f t="shared" si="0"/>
        <v>S_G10</v>
      </c>
      <c r="G278" s="3">
        <v>66.17</v>
      </c>
      <c r="H278" s="3">
        <f>IFERROR(INDEX('Tagging key'!D:D, MATCH(F278,'Tagging key'!C:C,0)),"")</f>
        <v>75.290000000000006</v>
      </c>
      <c r="I278" s="3">
        <f>IFERROR(INDEX('Tagging key'!E:E, MATCH(F278,'Tagging key'!C:C,0)),"")</f>
        <v>79.06</v>
      </c>
      <c r="J278" s="3">
        <f>IFERROR(INDEX('Tagging key'!F:F, MATCH(F278,'Tagging key'!C:C,0)),"")</f>
        <v>21.17</v>
      </c>
      <c r="K278" s="3">
        <v>63.143000000000001</v>
      </c>
      <c r="L278" s="3">
        <v>76.209999999999994</v>
      </c>
      <c r="M278" s="3">
        <v>79.58</v>
      </c>
      <c r="N278" s="3">
        <v>22.84</v>
      </c>
      <c r="O278" s="3"/>
      <c r="P278" s="22">
        <v>45879</v>
      </c>
      <c r="Q278" s="22">
        <v>45879</v>
      </c>
      <c r="R278" s="3"/>
    </row>
    <row r="279" spans="1:18" hidden="1" x14ac:dyDescent="0.25">
      <c r="A279" s="11">
        <v>8</v>
      </c>
      <c r="B279" s="11">
        <v>7</v>
      </c>
      <c r="C279" s="11" t="s">
        <v>15</v>
      </c>
      <c r="D279" s="11" t="s">
        <v>46</v>
      </c>
      <c r="E279" s="11" t="s">
        <v>209</v>
      </c>
      <c r="F279" s="11" t="s">
        <v>569</v>
      </c>
      <c r="G279" s="3">
        <v>56.667999999999999</v>
      </c>
      <c r="H279" s="3">
        <f>IFERROR(INDEX('Tagging key'!D:D, MATCH(F279,'Tagging key'!C:C,0)),"")</f>
        <v>84.89</v>
      </c>
      <c r="I279" s="3">
        <f>IFERROR(INDEX('Tagging key'!E:E, MATCH(F279,'Tagging key'!C:C,0)),"")</f>
        <v>42.79</v>
      </c>
      <c r="J279" s="3">
        <f>IFERROR(INDEX('Tagging key'!F:F, MATCH(F279,'Tagging key'!C:C,0)),"")</f>
        <v>28.77</v>
      </c>
      <c r="K279" s="3">
        <v>57.643999999999998</v>
      </c>
      <c r="L279" s="3">
        <v>85.03</v>
      </c>
      <c r="M279" s="3">
        <v>41.4</v>
      </c>
      <c r="N279" s="3">
        <v>29.91</v>
      </c>
      <c r="O279" s="3"/>
      <c r="P279" s="22">
        <v>45886</v>
      </c>
      <c r="Q279" s="22">
        <v>45886</v>
      </c>
      <c r="R279" s="3"/>
    </row>
    <row r="280" spans="1:18" hidden="1" x14ac:dyDescent="0.25">
      <c r="A280" s="11">
        <v>8</v>
      </c>
      <c r="B280" s="11">
        <v>7</v>
      </c>
      <c r="C280" s="11" t="s">
        <v>15</v>
      </c>
      <c r="D280" s="11" t="s">
        <v>46</v>
      </c>
      <c r="E280" s="11" t="s">
        <v>444</v>
      </c>
      <c r="F280" s="11" t="s">
        <v>570</v>
      </c>
      <c r="G280" s="3">
        <v>36.070999999999998</v>
      </c>
      <c r="H280" s="3">
        <f>IFERROR(INDEX('Tagging key'!D:D, MATCH(F280,'Tagging key'!C:C,0)),"")</f>
        <v>70</v>
      </c>
      <c r="I280" s="3">
        <f>IFERROR(INDEX('Tagging key'!E:E, MATCH(F280,'Tagging key'!C:C,0)),"")</f>
        <v>37</v>
      </c>
      <c r="J280" s="3">
        <f>IFERROR(INDEX('Tagging key'!F:F, MATCH(F280,'Tagging key'!C:C,0)),"")</f>
        <v>45</v>
      </c>
      <c r="K280" s="3">
        <v>36.430999999999997</v>
      </c>
      <c r="L280" s="3">
        <v>69.84</v>
      </c>
      <c r="M280" s="3">
        <v>37.729999999999997</v>
      </c>
      <c r="N280" s="3">
        <v>25.61</v>
      </c>
      <c r="O280" s="3"/>
      <c r="P280" s="22">
        <v>45877</v>
      </c>
      <c r="Q280" s="22">
        <v>45877</v>
      </c>
      <c r="R280" s="3"/>
    </row>
    <row r="281" spans="1:18" hidden="1" x14ac:dyDescent="0.25">
      <c r="A281" s="11">
        <v>8</v>
      </c>
      <c r="B281" s="11">
        <v>7</v>
      </c>
      <c r="C281" s="11" t="s">
        <v>15</v>
      </c>
      <c r="D281" s="11" t="s">
        <v>46</v>
      </c>
      <c r="E281" s="11" t="s">
        <v>571</v>
      </c>
      <c r="F281" s="11" t="s">
        <v>572</v>
      </c>
      <c r="G281" s="3">
        <v>80.546999999999997</v>
      </c>
      <c r="H281" s="3">
        <f>IFERROR(INDEX('Tagging key'!D:D, MATCH(F281,'Tagging key'!C:C,0)),"")</f>
        <v>83</v>
      </c>
      <c r="I281" s="3">
        <f>IFERROR(INDEX('Tagging key'!E:E, MATCH(F281,'Tagging key'!C:C,0)),"")</f>
        <v>42</v>
      </c>
      <c r="J281" s="3">
        <f>IFERROR(INDEX('Tagging key'!F:F, MATCH(F281,'Tagging key'!C:C,0)),"")</f>
        <v>35</v>
      </c>
      <c r="K281" s="3">
        <v>81.153000000000006</v>
      </c>
      <c r="L281" s="3">
        <v>87.43</v>
      </c>
      <c r="M281" s="3">
        <v>42.56</v>
      </c>
      <c r="N281" s="3">
        <v>36.340000000000003</v>
      </c>
      <c r="O281" s="3"/>
      <c r="P281" s="22">
        <v>45879</v>
      </c>
      <c r="Q281" s="22">
        <v>45879</v>
      </c>
      <c r="R281" s="3"/>
    </row>
    <row r="282" spans="1:18" x14ac:dyDescent="0.25">
      <c r="A282" s="11">
        <v>8</v>
      </c>
      <c r="B282" s="11">
        <v>7</v>
      </c>
      <c r="C282" s="11" t="s">
        <v>15</v>
      </c>
      <c r="D282" s="11" t="s">
        <v>46</v>
      </c>
      <c r="E282" s="11" t="s">
        <v>573</v>
      </c>
      <c r="F282" s="11" t="s">
        <v>574</v>
      </c>
      <c r="G282" s="3">
        <v>29.105</v>
      </c>
      <c r="H282" s="3">
        <f>IFERROR(INDEX('Tagging key'!D:D, MATCH(F282,'Tagging key'!C:C,0)),"")</f>
        <v>65.56</v>
      </c>
      <c r="I282" s="3">
        <f>IFERROR(INDEX('Tagging key'!E:E, MATCH(F282,'Tagging key'!C:C,0)),"")</f>
        <v>37.89</v>
      </c>
      <c r="J282" s="3">
        <f>IFERROR(INDEX('Tagging key'!F:F, MATCH(F282,'Tagging key'!C:C,0)),"")</f>
        <v>23.88</v>
      </c>
      <c r="K282" s="3">
        <v>29.893000000000001</v>
      </c>
      <c r="L282" s="3">
        <v>66.11</v>
      </c>
      <c r="M282" s="3">
        <v>35.68</v>
      </c>
      <c r="N282" s="3">
        <v>23.64</v>
      </c>
      <c r="O282" s="3"/>
      <c r="P282" s="22">
        <v>45882</v>
      </c>
      <c r="Q282" s="22">
        <v>45882</v>
      </c>
      <c r="R282" s="3">
        <v>9.7859999999999996</v>
      </c>
    </row>
    <row r="283" spans="1:18" hidden="1" x14ac:dyDescent="0.25">
      <c r="A283" s="12">
        <v>8</v>
      </c>
      <c r="B283" s="12">
        <v>8</v>
      </c>
      <c r="C283" s="12" t="s">
        <v>15</v>
      </c>
      <c r="D283" s="12" t="s">
        <v>46</v>
      </c>
      <c r="E283" s="12" t="s">
        <v>372</v>
      </c>
      <c r="F283" s="12" t="s">
        <v>575</v>
      </c>
      <c r="G283" s="3">
        <v>50.386000000000003</v>
      </c>
      <c r="H283" s="3">
        <f>IFERROR(INDEX('Tagging key'!D:D, MATCH(F283,'Tagging key'!C:C,0)),"")</f>
        <v>80.44</v>
      </c>
      <c r="I283" s="3">
        <f>IFERROR(INDEX('Tagging key'!E:E, MATCH(F283,'Tagging key'!C:C,0)),"")</f>
        <v>40.79</v>
      </c>
      <c r="J283" s="3">
        <f>IFERROR(INDEX('Tagging key'!F:F, MATCH(F283,'Tagging key'!C:C,0)),"")</f>
        <v>29.71</v>
      </c>
      <c r="K283" s="3">
        <v>51.067999999999998</v>
      </c>
      <c r="L283" s="3">
        <v>80.39</v>
      </c>
      <c r="M283" s="3">
        <v>39.130000000000003</v>
      </c>
      <c r="N283" s="3">
        <v>29.78</v>
      </c>
      <c r="O283" s="3"/>
      <c r="P283" s="22">
        <v>45886</v>
      </c>
      <c r="Q283" s="22">
        <v>45886</v>
      </c>
      <c r="R283" s="3"/>
    </row>
    <row r="284" spans="1:18" hidden="1" x14ac:dyDescent="0.25">
      <c r="A284" s="12">
        <v>8</v>
      </c>
      <c r="B284" s="12">
        <v>8</v>
      </c>
      <c r="C284" s="12" t="s">
        <v>15</v>
      </c>
      <c r="D284" s="12" t="s">
        <v>46</v>
      </c>
      <c r="E284" s="12" t="s">
        <v>576</v>
      </c>
      <c r="F284" s="12" t="s">
        <v>577</v>
      </c>
      <c r="G284" s="3">
        <v>44.235999999999997</v>
      </c>
      <c r="H284" s="3">
        <f>IFERROR(INDEX('Tagging key'!D:D, MATCH(F284,'Tagging key'!C:C,0)),"")</f>
        <v>79</v>
      </c>
      <c r="I284" s="3">
        <f>IFERROR(INDEX('Tagging key'!E:E, MATCH(F284,'Tagging key'!C:C,0)),"")</f>
        <v>43</v>
      </c>
      <c r="J284" s="3">
        <f>IFERROR(INDEX('Tagging key'!F:F, MATCH(F284,'Tagging key'!C:C,0)),"")</f>
        <v>25</v>
      </c>
      <c r="K284" s="3">
        <v>44.777000000000001</v>
      </c>
      <c r="L284" s="3">
        <v>79.58</v>
      </c>
      <c r="M284" s="3">
        <v>43.86</v>
      </c>
      <c r="N284" s="3">
        <v>27.6</v>
      </c>
      <c r="O284" s="3"/>
      <c r="P284" s="22">
        <v>45879</v>
      </c>
      <c r="Q284" s="22">
        <v>45879</v>
      </c>
      <c r="R284" s="3"/>
    </row>
    <row r="285" spans="1:18" x14ac:dyDescent="0.25">
      <c r="A285" s="12">
        <v>8</v>
      </c>
      <c r="B285" s="12">
        <v>8</v>
      </c>
      <c r="C285" s="12" t="s">
        <v>15</v>
      </c>
      <c r="D285" s="12" t="s">
        <v>46</v>
      </c>
      <c r="E285" s="12" t="s">
        <v>578</v>
      </c>
      <c r="F285" s="12" t="s">
        <v>579</v>
      </c>
      <c r="G285" s="3">
        <v>60.429000000000002</v>
      </c>
      <c r="H285" s="3">
        <f>IFERROR(INDEX('Tagging key'!D:D, MATCH(F285,'Tagging key'!C:C,0)),"")</f>
        <v>86</v>
      </c>
      <c r="I285" s="3">
        <f>IFERROR(INDEX('Tagging key'!E:E, MATCH(F285,'Tagging key'!C:C,0)),"")</f>
        <v>44</v>
      </c>
      <c r="J285" s="3">
        <f>IFERROR(INDEX('Tagging key'!F:F, MATCH(F285,'Tagging key'!C:C,0)),"")</f>
        <v>30</v>
      </c>
      <c r="K285" s="3">
        <v>61.871000000000002</v>
      </c>
      <c r="L285" s="3">
        <v>86.99</v>
      </c>
      <c r="M285" s="3">
        <v>44.84</v>
      </c>
      <c r="N285" s="3">
        <v>31.37</v>
      </c>
      <c r="O285" s="3"/>
      <c r="P285" s="22">
        <v>45882</v>
      </c>
      <c r="Q285" s="22">
        <v>45882</v>
      </c>
      <c r="R285" s="3">
        <v>18.613</v>
      </c>
    </row>
    <row r="286" spans="1:18" hidden="1" x14ac:dyDescent="0.25">
      <c r="A286" s="12">
        <v>8</v>
      </c>
      <c r="B286" s="12">
        <v>8</v>
      </c>
      <c r="C286" s="12" t="s">
        <v>15</v>
      </c>
      <c r="D286" s="12" t="s">
        <v>46</v>
      </c>
      <c r="E286" s="12" t="s">
        <v>580</v>
      </c>
      <c r="F286" s="12" t="s">
        <v>581</v>
      </c>
      <c r="G286" s="3">
        <v>57.820999999999998</v>
      </c>
      <c r="H286" s="3">
        <f>IFERROR(INDEX('Tagging key'!D:D, MATCH(F286,'Tagging key'!C:C,0)),"")</f>
        <v>85</v>
      </c>
      <c r="I286" s="3">
        <f>IFERROR(INDEX('Tagging key'!E:E, MATCH(F286,'Tagging key'!C:C,0)),"")</f>
        <v>38</v>
      </c>
      <c r="J286" s="3">
        <f>IFERROR(INDEX('Tagging key'!F:F, MATCH(F286,'Tagging key'!C:C,0)),"")</f>
        <v>30</v>
      </c>
      <c r="K286" s="3">
        <v>58.119</v>
      </c>
      <c r="L286" s="3">
        <v>86.63</v>
      </c>
      <c r="M286" s="3">
        <v>39.520000000000003</v>
      </c>
      <c r="N286" s="3">
        <v>29.55</v>
      </c>
      <c r="O286" s="3"/>
      <c r="P286" s="22">
        <v>45877</v>
      </c>
      <c r="Q286" s="22">
        <v>45877</v>
      </c>
      <c r="R286" s="3"/>
    </row>
    <row r="287" spans="1:18" x14ac:dyDescent="0.25">
      <c r="A287" s="11">
        <v>8</v>
      </c>
      <c r="B287" s="11">
        <v>9</v>
      </c>
      <c r="C287" s="11" t="s">
        <v>15</v>
      </c>
      <c r="D287" s="11" t="s">
        <v>46</v>
      </c>
      <c r="E287" s="11" t="s">
        <v>582</v>
      </c>
      <c r="F287" s="11" t="s">
        <v>583</v>
      </c>
      <c r="G287" s="3">
        <v>46.094999999999999</v>
      </c>
      <c r="H287" s="3">
        <f>IFERROR(INDEX('Tagging key'!D:D, MATCH(F287,'Tagging key'!C:C,0)),"")</f>
        <v>78</v>
      </c>
      <c r="I287" s="3">
        <f>IFERROR(INDEX('Tagging key'!E:E, MATCH(F287,'Tagging key'!C:C,0)),"")</f>
        <v>34</v>
      </c>
      <c r="J287" s="3">
        <f>IFERROR(INDEX('Tagging key'!F:F, MATCH(F287,'Tagging key'!C:C,0)),"")</f>
        <v>29</v>
      </c>
      <c r="K287" s="3">
        <v>47.006999999999998</v>
      </c>
      <c r="L287" s="3">
        <v>79.180000000000007</v>
      </c>
      <c r="M287" s="3">
        <v>36.74</v>
      </c>
      <c r="N287" s="3">
        <v>29.93</v>
      </c>
      <c r="O287" s="3"/>
      <c r="P287" s="22">
        <v>45882</v>
      </c>
      <c r="Q287" s="22">
        <v>45882</v>
      </c>
      <c r="R287" s="3">
        <v>7.8639999999999999</v>
      </c>
    </row>
    <row r="288" spans="1:18" hidden="1" x14ac:dyDescent="0.25">
      <c r="A288" s="11">
        <v>8</v>
      </c>
      <c r="B288" s="11">
        <v>9</v>
      </c>
      <c r="C288" s="11" t="s">
        <v>15</v>
      </c>
      <c r="D288" s="11" t="s">
        <v>46</v>
      </c>
      <c r="E288" s="11" t="s">
        <v>584</v>
      </c>
      <c r="F288" s="11" t="s">
        <v>585</v>
      </c>
      <c r="G288" s="3">
        <v>52.642000000000003</v>
      </c>
      <c r="H288" s="3">
        <f>IFERROR(INDEX('Tagging key'!D:D, MATCH(F288,'Tagging key'!C:C,0)),"")</f>
        <v>81.75</v>
      </c>
      <c r="I288" s="3">
        <f>IFERROR(INDEX('Tagging key'!E:E, MATCH(F288,'Tagging key'!C:C,0)),"")</f>
        <v>47.33</v>
      </c>
      <c r="J288" s="3">
        <f>IFERROR(INDEX('Tagging key'!F:F, MATCH(F288,'Tagging key'!C:C,0)),"")</f>
        <v>30.07</v>
      </c>
      <c r="K288" s="3">
        <v>52.869</v>
      </c>
      <c r="L288" s="3">
        <v>81.2</v>
      </c>
      <c r="M288" s="3">
        <v>39.840000000000003</v>
      </c>
      <c r="N288" s="3">
        <v>30.33</v>
      </c>
      <c r="O288" s="3"/>
      <c r="P288" s="22">
        <v>45886</v>
      </c>
      <c r="Q288" s="22">
        <v>45886</v>
      </c>
      <c r="R288" s="3"/>
    </row>
    <row r="289" spans="1:21" hidden="1" x14ac:dyDescent="0.25">
      <c r="A289" s="11">
        <v>8</v>
      </c>
      <c r="B289" s="11">
        <v>9</v>
      </c>
      <c r="C289" s="11" t="s">
        <v>15</v>
      </c>
      <c r="D289" s="11" t="s">
        <v>46</v>
      </c>
      <c r="E289" s="11" t="s">
        <v>90</v>
      </c>
      <c r="F289" s="11" t="s">
        <v>586</v>
      </c>
      <c r="G289" s="3">
        <v>30.716999999999999</v>
      </c>
      <c r="H289" s="3">
        <f>IFERROR(INDEX('Tagging key'!D:D, MATCH(F289,'Tagging key'!C:C,0)),"")</f>
        <v>69</v>
      </c>
      <c r="I289" s="3">
        <f>IFERROR(INDEX('Tagging key'!E:E, MATCH(F289,'Tagging key'!C:C,0)),"")</f>
        <v>32</v>
      </c>
      <c r="J289" s="3">
        <f>IFERROR(INDEX('Tagging key'!F:F, MATCH(F289,'Tagging key'!C:C,0)),"")</f>
        <v>24</v>
      </c>
      <c r="K289" s="3">
        <v>30.96</v>
      </c>
      <c r="L289" s="3">
        <v>68.87</v>
      </c>
      <c r="M289" s="3">
        <v>32.880000000000003</v>
      </c>
      <c r="N289" s="3">
        <v>24.45</v>
      </c>
      <c r="O289" s="3"/>
      <c r="P289" s="22">
        <v>45877</v>
      </c>
      <c r="Q289" s="22">
        <v>45877</v>
      </c>
      <c r="R289" s="3"/>
    </row>
    <row r="290" spans="1:21" hidden="1" x14ac:dyDescent="0.25">
      <c r="A290" s="11">
        <v>8</v>
      </c>
      <c r="B290" s="11">
        <v>9</v>
      </c>
      <c r="C290" s="11" t="s">
        <v>15</v>
      </c>
      <c r="D290" s="11" t="s">
        <v>46</v>
      </c>
      <c r="E290" s="11" t="s">
        <v>587</v>
      </c>
      <c r="F290" s="11" t="s">
        <v>588</v>
      </c>
      <c r="G290" s="3">
        <v>32.851999999999997</v>
      </c>
      <c r="H290" s="3">
        <f>IFERROR(INDEX('Tagging key'!D:D, MATCH(F290,'Tagging key'!C:C,0)),"")</f>
        <v>73.86</v>
      </c>
      <c r="I290" s="3">
        <f>IFERROR(INDEX('Tagging key'!E:E, MATCH(F290,'Tagging key'!C:C,0)),"")</f>
        <v>37.020000000000003</v>
      </c>
      <c r="J290" s="3">
        <f>IFERROR(INDEX('Tagging key'!F:F, MATCH(F290,'Tagging key'!C:C,0)),"")</f>
        <v>24.96</v>
      </c>
      <c r="K290" s="3">
        <v>33.932000000000002</v>
      </c>
      <c r="L290" s="3">
        <v>74.459999999999994</v>
      </c>
      <c r="M290" s="3">
        <v>34.409999999999997</v>
      </c>
      <c r="N290" s="3">
        <v>26.39</v>
      </c>
      <c r="O290" s="3"/>
      <c r="P290" s="22">
        <v>45879</v>
      </c>
      <c r="Q290" s="22">
        <v>45879</v>
      </c>
      <c r="R290" s="3"/>
    </row>
    <row r="291" spans="1:21" hidden="1" x14ac:dyDescent="0.25">
      <c r="A291" s="13">
        <v>9</v>
      </c>
      <c r="B291" s="13">
        <v>1</v>
      </c>
      <c r="C291" s="13" t="s">
        <v>105</v>
      </c>
      <c r="D291" s="13" t="s">
        <v>72</v>
      </c>
      <c r="E291" s="13" t="s">
        <v>32</v>
      </c>
      <c r="F291" s="13" t="str">
        <f>LEFT(D291,1)&amp;"_"&amp;E291</f>
        <v>S_B5</v>
      </c>
      <c r="G291" s="3">
        <v>54.2</v>
      </c>
      <c r="H291" s="3" t="str">
        <f>IFERROR(INDEX('Tagging key'!D:D, MATCH(F291,'Tagging key'!C:C,0)),"")</f>
        <v/>
      </c>
      <c r="I291" s="3" t="str">
        <f>IFERROR(INDEX('Tagging key'!E:E, MATCH(F291,'Tagging key'!C:C,0)),"")</f>
        <v/>
      </c>
      <c r="J291" s="3" t="str">
        <f>IFERROR(INDEX('Tagging key'!F:F, MATCH(F291,'Tagging key'!C:C,0)),"")</f>
        <v/>
      </c>
      <c r="K291" s="3">
        <v>56.279000000000003</v>
      </c>
      <c r="L291" s="3">
        <v>78.38</v>
      </c>
      <c r="M291" s="3">
        <v>75.39</v>
      </c>
      <c r="N291" s="3">
        <v>21.87</v>
      </c>
      <c r="O291" s="3"/>
      <c r="P291" s="22">
        <v>45877</v>
      </c>
      <c r="Q291" s="22">
        <v>45877</v>
      </c>
      <c r="R291" s="3"/>
      <c r="S291" t="s">
        <v>589</v>
      </c>
      <c r="T291" t="s">
        <v>590</v>
      </c>
    </row>
    <row r="292" spans="1:21" hidden="1" x14ac:dyDescent="0.25">
      <c r="A292" s="13">
        <v>9</v>
      </c>
      <c r="B292" s="13">
        <v>1</v>
      </c>
      <c r="C292" s="13" t="s">
        <v>105</v>
      </c>
      <c r="D292" s="13" t="s">
        <v>72</v>
      </c>
      <c r="E292" s="13" t="s">
        <v>118</v>
      </c>
      <c r="F292" s="13" t="str">
        <f t="shared" ref="F292:F302" si="1">LEFT(D292,1)&amp;"_"&amp;E292</f>
        <v>S_B8</v>
      </c>
      <c r="G292" s="3">
        <v>43.15</v>
      </c>
      <c r="H292" s="3" t="str">
        <f>IFERROR(INDEX('Tagging key'!D:D, MATCH(F292,'Tagging key'!C:C,0)),"")</f>
        <v/>
      </c>
      <c r="I292" s="3" t="str">
        <f>IFERROR(INDEX('Tagging key'!E:E, MATCH(F292,'Tagging key'!C:C,0)),"")</f>
        <v/>
      </c>
      <c r="J292" s="3" t="str">
        <f>IFERROR(INDEX('Tagging key'!F:F, MATCH(F292,'Tagging key'!C:C,0)),"")</f>
        <v/>
      </c>
      <c r="K292" s="3">
        <v>54.127000000000002</v>
      </c>
      <c r="L292" s="3">
        <v>75.67</v>
      </c>
      <c r="M292" s="3">
        <v>79.83</v>
      </c>
      <c r="N292" s="3">
        <v>21.44</v>
      </c>
      <c r="O292" s="3"/>
      <c r="P292" s="22">
        <v>45879</v>
      </c>
      <c r="Q292" s="22">
        <v>45879</v>
      </c>
      <c r="R292" s="3"/>
      <c r="S292" t="s">
        <v>591</v>
      </c>
      <c r="T292" t="s">
        <v>592</v>
      </c>
    </row>
    <row r="293" spans="1:21" x14ac:dyDescent="0.25">
      <c r="A293" s="19">
        <v>9</v>
      </c>
      <c r="B293" s="19">
        <v>1</v>
      </c>
      <c r="C293" s="19" t="s">
        <v>105</v>
      </c>
      <c r="D293" s="19" t="s">
        <v>72</v>
      </c>
      <c r="E293" s="19" t="s">
        <v>440</v>
      </c>
      <c r="F293" s="19" t="str">
        <f t="shared" si="1"/>
        <v>S_B6</v>
      </c>
      <c r="G293" s="19">
        <v>57.5</v>
      </c>
      <c r="H293" s="19" t="str">
        <f>IFERROR(INDEX('Tagging key'!D:D, MATCH(F293,'Tagging key'!C:C,0)),"")</f>
        <v/>
      </c>
      <c r="I293" s="19" t="str">
        <f>IFERROR(INDEX('Tagging key'!E:E, MATCH(F293,'Tagging key'!C:C,0)),"")</f>
        <v/>
      </c>
      <c r="J293" s="19" t="str">
        <f>IFERROR(INDEX('Tagging key'!F:F, MATCH(F293,'Tagging key'!C:C,0)),"")</f>
        <v/>
      </c>
      <c r="K293" s="19"/>
      <c r="L293" s="19"/>
      <c r="M293" s="19"/>
      <c r="N293" s="19"/>
      <c r="O293" s="19"/>
      <c r="P293" s="19"/>
      <c r="Q293" s="19"/>
      <c r="R293" s="19"/>
      <c r="S293" t="s">
        <v>593</v>
      </c>
      <c r="T293" t="s">
        <v>594</v>
      </c>
      <c r="U293" t="s">
        <v>519</v>
      </c>
    </row>
    <row r="294" spans="1:21" x14ac:dyDescent="0.25">
      <c r="A294" s="19">
        <v>9</v>
      </c>
      <c r="B294" s="19">
        <v>1</v>
      </c>
      <c r="C294" s="19" t="s">
        <v>105</v>
      </c>
      <c r="D294" s="19" t="s">
        <v>72</v>
      </c>
      <c r="E294" s="19" t="s">
        <v>529</v>
      </c>
      <c r="F294" s="19" t="str">
        <f t="shared" si="1"/>
        <v>S_B7</v>
      </c>
      <c r="G294" s="19">
        <v>61.79</v>
      </c>
      <c r="H294" s="19" t="str">
        <f>IFERROR(INDEX('Tagging key'!D:D, MATCH(F294,'Tagging key'!C:C,0)),"")</f>
        <v/>
      </c>
      <c r="I294" s="19" t="str">
        <f>IFERROR(INDEX('Tagging key'!E:E, MATCH(F294,'Tagging key'!C:C,0)),"")</f>
        <v/>
      </c>
      <c r="J294" s="19" t="str">
        <f>IFERROR(INDEX('Tagging key'!F:F, MATCH(F294,'Tagging key'!C:C,0)),"")</f>
        <v/>
      </c>
      <c r="K294" s="19"/>
      <c r="L294" s="19"/>
      <c r="M294" s="19"/>
      <c r="N294" s="19"/>
      <c r="O294" s="19"/>
      <c r="P294" s="19"/>
      <c r="Q294" s="19"/>
      <c r="R294" s="19"/>
      <c r="S294" t="s">
        <v>595</v>
      </c>
      <c r="T294" t="s">
        <v>596</v>
      </c>
      <c r="U294" t="s">
        <v>383</v>
      </c>
    </row>
    <row r="295" spans="1:21" x14ac:dyDescent="0.25">
      <c r="A295" s="14">
        <v>9</v>
      </c>
      <c r="B295" s="14">
        <v>2</v>
      </c>
      <c r="C295" s="14" t="s">
        <v>105</v>
      </c>
      <c r="D295" s="14" t="s">
        <v>72</v>
      </c>
      <c r="E295" s="14" t="s">
        <v>597</v>
      </c>
      <c r="F295" s="14" t="str">
        <f t="shared" si="1"/>
        <v>S_B9</v>
      </c>
      <c r="G295" s="3"/>
      <c r="H295" s="3" t="str">
        <f>IFERROR(INDEX('Tagging key'!D:D, MATCH(F295,'Tagging key'!C:C,0)),"")</f>
        <v/>
      </c>
      <c r="I295" s="3" t="str">
        <f>IFERROR(INDEX('Tagging key'!E:E, MATCH(F295,'Tagging key'!C:C,0)),"")</f>
        <v/>
      </c>
      <c r="J295" s="3" t="str">
        <f>IFERROR(INDEX('Tagging key'!F:F, MATCH(F295,'Tagging key'!C:C,0)),"")</f>
        <v/>
      </c>
      <c r="K295" s="3">
        <v>61.814</v>
      </c>
      <c r="L295" s="3">
        <v>80.05</v>
      </c>
      <c r="M295" s="3">
        <v>78.239999999999995</v>
      </c>
      <c r="N295" s="3">
        <v>21.8</v>
      </c>
      <c r="O295" s="3"/>
      <c r="P295" s="22">
        <v>45882</v>
      </c>
      <c r="Q295" s="22">
        <v>45882</v>
      </c>
      <c r="R295" s="3">
        <v>31.565999999999999</v>
      </c>
      <c r="S295" t="s">
        <v>598</v>
      </c>
    </row>
    <row r="296" spans="1:21" hidden="1" x14ac:dyDescent="0.25">
      <c r="A296" s="14">
        <v>9</v>
      </c>
      <c r="B296" s="14">
        <v>2</v>
      </c>
      <c r="C296" s="14" t="s">
        <v>105</v>
      </c>
      <c r="D296" s="14" t="s">
        <v>72</v>
      </c>
      <c r="E296" s="14" t="s">
        <v>599</v>
      </c>
      <c r="F296" s="14" t="str">
        <f t="shared" si="1"/>
        <v>S_B11</v>
      </c>
      <c r="G296" s="3"/>
      <c r="H296" s="3" t="str">
        <f>IFERROR(INDEX('Tagging key'!D:D, MATCH(F296,'Tagging key'!C:C,0)),"")</f>
        <v/>
      </c>
      <c r="I296" s="3" t="str">
        <f>IFERROR(INDEX('Tagging key'!E:E, MATCH(F296,'Tagging key'!C:C,0)),"")</f>
        <v/>
      </c>
      <c r="J296" s="3" t="str">
        <f>IFERROR(INDEX('Tagging key'!F:F, MATCH(F296,'Tagging key'!C:C,0)),"")</f>
        <v/>
      </c>
      <c r="K296" s="3">
        <v>69.885000000000005</v>
      </c>
      <c r="L296" s="3">
        <v>79.900000000000006</v>
      </c>
      <c r="M296" s="3">
        <v>83.9</v>
      </c>
      <c r="N296" s="3">
        <v>23.8</v>
      </c>
      <c r="O296" s="3"/>
      <c r="P296" s="22">
        <v>45879</v>
      </c>
      <c r="Q296" s="22">
        <v>45879</v>
      </c>
      <c r="R296" s="3"/>
      <c r="S296" t="s">
        <v>600</v>
      </c>
    </row>
    <row r="297" spans="1:21" hidden="1" x14ac:dyDescent="0.25">
      <c r="A297" s="14">
        <v>9</v>
      </c>
      <c r="B297" s="14">
        <v>2</v>
      </c>
      <c r="C297" s="14" t="s">
        <v>105</v>
      </c>
      <c r="D297" s="14" t="s">
        <v>72</v>
      </c>
      <c r="E297" s="14" t="s">
        <v>374</v>
      </c>
      <c r="F297" s="14" t="str">
        <f>LEFT(D297,1)&amp;"_"&amp;E297</f>
        <v>S_B12</v>
      </c>
      <c r="G297" s="3"/>
      <c r="H297" s="3" t="str">
        <f>IFERROR(INDEX('Tagging key'!D:D, MATCH(F297,'Tagging key'!C:C,0)),"")</f>
        <v/>
      </c>
      <c r="I297" s="3" t="str">
        <f>IFERROR(INDEX('Tagging key'!E:E, MATCH(F297,'Tagging key'!C:C,0)),"")</f>
        <v/>
      </c>
      <c r="J297" s="3" t="str">
        <f>IFERROR(INDEX('Tagging key'!F:F, MATCH(F297,'Tagging key'!C:C,0)),"")</f>
        <v/>
      </c>
      <c r="K297" s="3">
        <v>45.719000000000001</v>
      </c>
      <c r="L297" s="3">
        <v>74.08</v>
      </c>
      <c r="M297" s="3">
        <v>75.56</v>
      </c>
      <c r="N297" s="3">
        <v>18.989999999999998</v>
      </c>
      <c r="O297" s="3"/>
      <c r="P297" s="22">
        <v>45877</v>
      </c>
      <c r="Q297" s="22">
        <v>45877</v>
      </c>
      <c r="R297" s="3"/>
      <c r="S297" t="s">
        <v>601</v>
      </c>
    </row>
    <row r="298" spans="1:21" hidden="1" x14ac:dyDescent="0.25">
      <c r="A298" s="14">
        <v>9</v>
      </c>
      <c r="B298" s="14">
        <v>2</v>
      </c>
      <c r="C298" s="14" t="s">
        <v>105</v>
      </c>
      <c r="D298" s="14" t="s">
        <v>72</v>
      </c>
      <c r="E298" s="14" t="s">
        <v>602</v>
      </c>
      <c r="F298" s="14" t="str">
        <f t="shared" si="1"/>
        <v>S_B10</v>
      </c>
      <c r="G298" s="3"/>
      <c r="H298" s="3" t="str">
        <f>IFERROR(INDEX('Tagging key'!D:D, MATCH(F298,'Tagging key'!C:C,0)),"")</f>
        <v/>
      </c>
      <c r="I298" s="3" t="str">
        <f>IFERROR(INDEX('Tagging key'!E:E, MATCH(F298,'Tagging key'!C:C,0)),"")</f>
        <v/>
      </c>
      <c r="J298" s="3" t="str">
        <f>IFERROR(INDEX('Tagging key'!F:F, MATCH(F298,'Tagging key'!C:C,0)),"")</f>
        <v/>
      </c>
      <c r="K298" s="3">
        <v>42.497</v>
      </c>
      <c r="L298" s="3">
        <v>73.16</v>
      </c>
      <c r="M298" s="3">
        <v>75.39</v>
      </c>
      <c r="N298" s="3">
        <v>20.61</v>
      </c>
      <c r="O298" s="3"/>
      <c r="P298" s="22">
        <v>45886</v>
      </c>
      <c r="Q298" s="22">
        <v>45886</v>
      </c>
      <c r="R298" s="3">
        <v>18.785</v>
      </c>
      <c r="S298" t="s">
        <v>603</v>
      </c>
    </row>
    <row r="299" spans="1:21" x14ac:dyDescent="0.25">
      <c r="A299" s="19">
        <v>9</v>
      </c>
      <c r="B299" s="19">
        <v>3</v>
      </c>
      <c r="C299" s="19" t="s">
        <v>105</v>
      </c>
      <c r="D299" s="19" t="s">
        <v>72</v>
      </c>
      <c r="E299" s="19" t="s">
        <v>604</v>
      </c>
      <c r="F299" s="19" t="str">
        <f t="shared" si="1"/>
        <v>S_Y45</v>
      </c>
      <c r="G299" s="19">
        <v>60.746000000000002</v>
      </c>
      <c r="H299" s="19">
        <f>IFERROR(INDEX('Tagging key'!D:D, MATCH(F299,'Tagging key'!C:C,0)),"")</f>
        <v>74</v>
      </c>
      <c r="I299" s="19">
        <f>IFERROR(INDEX('Tagging key'!E:E, MATCH(F299,'Tagging key'!C:C,0)),"")</f>
        <v>79</v>
      </c>
      <c r="J299" s="19">
        <f>IFERROR(INDEX('Tagging key'!F:F, MATCH(F299,'Tagging key'!C:C,0)),"")</f>
        <v>20</v>
      </c>
      <c r="K299" s="19"/>
      <c r="L299" s="19"/>
      <c r="M299" s="19"/>
      <c r="N299" s="19"/>
      <c r="O299" s="19"/>
      <c r="P299" s="27"/>
      <c r="Q299" s="27"/>
      <c r="R299" s="19"/>
      <c r="S299" t="s">
        <v>605</v>
      </c>
    </row>
    <row r="300" spans="1:21" x14ac:dyDescent="0.25">
      <c r="A300" s="13">
        <v>9</v>
      </c>
      <c r="B300" s="13">
        <v>3</v>
      </c>
      <c r="C300" s="13" t="s">
        <v>105</v>
      </c>
      <c r="D300" s="13" t="s">
        <v>72</v>
      </c>
      <c r="E300" s="13" t="s">
        <v>459</v>
      </c>
      <c r="F300" s="13" t="str">
        <f t="shared" si="1"/>
        <v>S_B13</v>
      </c>
      <c r="G300" s="3"/>
      <c r="H300" s="3" t="str">
        <f>IFERROR(INDEX('Tagging key'!D:D, MATCH(F300,'Tagging key'!C:C,0)),"")</f>
        <v/>
      </c>
      <c r="I300" s="3" t="str">
        <f>IFERROR(INDEX('Tagging key'!E:E, MATCH(F300,'Tagging key'!C:C,0)),"")</f>
        <v/>
      </c>
      <c r="J300" s="3" t="str">
        <f>IFERROR(INDEX('Tagging key'!F:F, MATCH(F300,'Tagging key'!C:C,0)),"")</f>
        <v/>
      </c>
      <c r="K300" s="3">
        <v>44.987000000000002</v>
      </c>
      <c r="L300" s="3">
        <v>70.8</v>
      </c>
      <c r="M300" s="3">
        <v>72.709999999999994</v>
      </c>
      <c r="N300" s="3">
        <v>19.2</v>
      </c>
      <c r="O300" s="3"/>
      <c r="P300" s="22">
        <v>45882</v>
      </c>
      <c r="Q300" s="22">
        <v>45882</v>
      </c>
      <c r="R300" s="3">
        <v>22.928000000000001</v>
      </c>
      <c r="S300" t="s">
        <v>606</v>
      </c>
    </row>
    <row r="301" spans="1:21" hidden="1" x14ac:dyDescent="0.25">
      <c r="A301" s="13">
        <v>9</v>
      </c>
      <c r="B301" s="13">
        <v>3</v>
      </c>
      <c r="C301" s="13" t="s">
        <v>105</v>
      </c>
      <c r="D301" s="13" t="s">
        <v>72</v>
      </c>
      <c r="E301" s="13" t="s">
        <v>174</v>
      </c>
      <c r="F301" s="13" t="str">
        <f t="shared" si="1"/>
        <v>S_B16</v>
      </c>
      <c r="G301" s="3"/>
      <c r="I301" s="3" t="str">
        <f>IFERROR(INDEX('Tagging key'!E:E, MATCH(F301,'Tagging key'!C:C,0)),"")</f>
        <v/>
      </c>
      <c r="J301" s="3" t="str">
        <f>IFERROR(INDEX('Tagging key'!F:F, MATCH(F301,'Tagging key'!C:C,0)),"")</f>
        <v/>
      </c>
      <c r="K301" s="3">
        <v>46.036999999999999</v>
      </c>
      <c r="L301" s="3">
        <v>72.94</v>
      </c>
      <c r="M301" s="3">
        <v>74.099999999999994</v>
      </c>
      <c r="N301" s="3">
        <v>19.920000000000002</v>
      </c>
      <c r="O301" s="3"/>
      <c r="P301" s="22">
        <v>45877</v>
      </c>
      <c r="Q301" s="22">
        <v>45877</v>
      </c>
      <c r="R301" s="3"/>
      <c r="S301" t="s">
        <v>607</v>
      </c>
    </row>
    <row r="302" spans="1:21" hidden="1" x14ac:dyDescent="0.25">
      <c r="A302" s="13">
        <v>9</v>
      </c>
      <c r="B302" s="13">
        <v>3</v>
      </c>
      <c r="C302" s="13" t="s">
        <v>105</v>
      </c>
      <c r="D302" s="13" t="s">
        <v>72</v>
      </c>
      <c r="E302" s="13" t="s">
        <v>608</v>
      </c>
      <c r="F302" s="13" t="str">
        <f t="shared" si="1"/>
        <v>S_B14</v>
      </c>
      <c r="G302" s="3"/>
      <c r="H302" s="3" t="str">
        <f>IFERROR(INDEX('Tagging key'!D:D, MATCH(F302,'Tagging key'!C:C,0)),"")</f>
        <v/>
      </c>
      <c r="I302" s="3" t="str">
        <f>IFERROR(INDEX('Tagging key'!E:E, MATCH(F302,'Tagging key'!C:C,0)),"")</f>
        <v/>
      </c>
      <c r="J302" s="3" t="str">
        <f>IFERROR(INDEX('Tagging key'!F:F, MATCH(F302,'Tagging key'!C:C,0)),"")</f>
        <v/>
      </c>
      <c r="K302" s="3">
        <v>45.654000000000003</v>
      </c>
      <c r="L302" s="3">
        <v>71.62</v>
      </c>
      <c r="M302" s="3">
        <v>72.099999999999994</v>
      </c>
      <c r="N302" s="3">
        <v>19.75</v>
      </c>
      <c r="O302" s="3"/>
      <c r="P302" s="22">
        <v>45879</v>
      </c>
      <c r="Q302" s="22">
        <v>45879</v>
      </c>
      <c r="R302" s="3"/>
      <c r="S302" t="s">
        <v>609</v>
      </c>
    </row>
    <row r="303" spans="1:21" x14ac:dyDescent="0.25">
      <c r="A303" s="8">
        <v>9</v>
      </c>
      <c r="B303" s="8">
        <v>4</v>
      </c>
      <c r="C303" s="8" t="s">
        <v>105</v>
      </c>
      <c r="D303" s="8" t="s">
        <v>16</v>
      </c>
      <c r="E303" s="8" t="s">
        <v>610</v>
      </c>
      <c r="F303" s="8" t="s">
        <v>611</v>
      </c>
      <c r="G303" s="3">
        <v>37.390999999999998</v>
      </c>
      <c r="H303" s="3">
        <f>IFERROR(INDEX('Tagging key'!D:D, MATCH(F303,'Tagging key'!C:C,0)),"")</f>
        <v>71.72</v>
      </c>
      <c r="I303" s="3">
        <f>IFERROR(INDEX('Tagging key'!E:E, MATCH(F303,'Tagging key'!C:C,0)),"")</f>
        <v>47.83</v>
      </c>
      <c r="J303" s="3">
        <f>IFERROR(INDEX('Tagging key'!F:F, MATCH(F303,'Tagging key'!C:C,0)),"")</f>
        <v>19.809999999999999</v>
      </c>
      <c r="K303" s="3">
        <v>37.003</v>
      </c>
      <c r="L303" s="3">
        <v>71.75</v>
      </c>
      <c r="M303" s="3">
        <v>48.61</v>
      </c>
      <c r="N303" s="3">
        <v>21.11</v>
      </c>
      <c r="O303" s="3"/>
      <c r="P303" s="22">
        <v>45882</v>
      </c>
      <c r="Q303" s="22">
        <v>45882</v>
      </c>
      <c r="R303" s="3">
        <v>23.305</v>
      </c>
    </row>
    <row r="304" spans="1:21" hidden="1" x14ac:dyDescent="0.25">
      <c r="A304" s="8">
        <v>9</v>
      </c>
      <c r="B304" s="8">
        <v>4</v>
      </c>
      <c r="C304" s="8" t="s">
        <v>105</v>
      </c>
      <c r="D304" s="8" t="s">
        <v>16</v>
      </c>
      <c r="E304" s="8" t="s">
        <v>612</v>
      </c>
      <c r="F304" s="8" t="s">
        <v>613</v>
      </c>
      <c r="G304" s="3">
        <v>41.468000000000004</v>
      </c>
      <c r="H304" s="3">
        <f>IFERROR(INDEX('Tagging key'!D:D, MATCH(F304,'Tagging key'!C:C,0)),"")</f>
        <v>80.84</v>
      </c>
      <c r="I304" s="3">
        <f>IFERROR(INDEX('Tagging key'!E:E, MATCH(F304,'Tagging key'!C:C,0)),"")</f>
        <v>55.76</v>
      </c>
      <c r="J304" s="3">
        <f>IFERROR(INDEX('Tagging key'!F:F, MATCH(F304,'Tagging key'!C:C,0)),"")</f>
        <v>19.059999999999999</v>
      </c>
      <c r="K304" s="3">
        <v>41.372999999999998</v>
      </c>
      <c r="L304" s="3">
        <v>83.28</v>
      </c>
      <c r="M304" s="3">
        <v>48.64</v>
      </c>
      <c r="N304" s="3">
        <v>19.649999999999999</v>
      </c>
      <c r="O304" s="3"/>
      <c r="P304" s="22">
        <v>45879</v>
      </c>
      <c r="Q304" s="22">
        <v>45879</v>
      </c>
      <c r="R304" s="3"/>
    </row>
    <row r="305" spans="1:18" hidden="1" x14ac:dyDescent="0.25">
      <c r="A305" s="8">
        <v>9</v>
      </c>
      <c r="B305" s="8">
        <v>4</v>
      </c>
      <c r="C305" s="8" t="s">
        <v>105</v>
      </c>
      <c r="D305" s="8" t="s">
        <v>16</v>
      </c>
      <c r="E305" s="8" t="s">
        <v>584</v>
      </c>
      <c r="F305" s="8" t="s">
        <v>614</v>
      </c>
      <c r="G305" s="3">
        <v>37.481000000000002</v>
      </c>
      <c r="H305" s="3">
        <f>IFERROR(INDEX('Tagging key'!D:D, MATCH(F305,'Tagging key'!C:C,0)),"")</f>
        <v>72.739999999999995</v>
      </c>
      <c r="I305" s="3">
        <f>IFERROR(INDEX('Tagging key'!E:E, MATCH(F305,'Tagging key'!C:C,0)),"")</f>
        <v>49.28</v>
      </c>
      <c r="J305" s="3">
        <f>IFERROR(INDEX('Tagging key'!F:F, MATCH(F305,'Tagging key'!C:C,0)),"")</f>
        <v>18.03</v>
      </c>
      <c r="K305" s="3">
        <v>36.959000000000003</v>
      </c>
      <c r="L305" s="3">
        <v>73.23</v>
      </c>
      <c r="M305" s="3">
        <v>48.34</v>
      </c>
      <c r="N305" s="3">
        <v>18.7</v>
      </c>
      <c r="O305" s="3"/>
      <c r="P305" s="22">
        <v>45877</v>
      </c>
      <c r="Q305" s="22">
        <v>45877</v>
      </c>
      <c r="R305" s="3"/>
    </row>
    <row r="306" spans="1:18" hidden="1" x14ac:dyDescent="0.25">
      <c r="A306" s="8">
        <v>9</v>
      </c>
      <c r="B306" s="8">
        <v>4</v>
      </c>
      <c r="C306" s="8" t="s">
        <v>105</v>
      </c>
      <c r="D306" s="8" t="s">
        <v>16</v>
      </c>
      <c r="E306" s="8" t="s">
        <v>380</v>
      </c>
      <c r="F306" s="8" t="s">
        <v>615</v>
      </c>
      <c r="G306" s="3">
        <v>27.699000000000002</v>
      </c>
      <c r="H306" s="3">
        <f>IFERROR(INDEX('Tagging key'!D:D, MATCH(F306,'Tagging key'!C:C,0)),"")</f>
        <v>55.69</v>
      </c>
      <c r="I306" s="3">
        <f>IFERROR(INDEX('Tagging key'!E:E, MATCH(F306,'Tagging key'!C:C,0)),"")</f>
        <v>57.71</v>
      </c>
      <c r="J306" s="3">
        <f>IFERROR(INDEX('Tagging key'!F:F, MATCH(F306,'Tagging key'!C:C,0)),"")</f>
        <v>16.57</v>
      </c>
      <c r="K306" s="3">
        <v>27.478000000000002</v>
      </c>
      <c r="L306" s="3">
        <v>63.81</v>
      </c>
      <c r="M306" s="3">
        <v>43.75</v>
      </c>
      <c r="N306" s="3">
        <v>18.02</v>
      </c>
      <c r="O306" s="3"/>
      <c r="P306" s="22">
        <v>45886</v>
      </c>
      <c r="Q306" s="22">
        <v>45886</v>
      </c>
      <c r="R306" s="3"/>
    </row>
    <row r="307" spans="1:18" hidden="1" x14ac:dyDescent="0.25">
      <c r="A307" s="9">
        <v>9</v>
      </c>
      <c r="B307" s="9">
        <v>5</v>
      </c>
      <c r="C307" s="9" t="s">
        <v>105</v>
      </c>
      <c r="D307" s="9" t="s">
        <v>16</v>
      </c>
      <c r="E307" s="9" t="s">
        <v>616</v>
      </c>
      <c r="F307" s="9" t="s">
        <v>617</v>
      </c>
      <c r="G307" s="3">
        <v>46.917999999999999</v>
      </c>
      <c r="H307" s="3">
        <f>IFERROR(INDEX('Tagging key'!D:D, MATCH(F307,'Tagging key'!C:C,0)),"")</f>
        <v>66.34</v>
      </c>
      <c r="I307" s="3">
        <f>IFERROR(INDEX('Tagging key'!E:E, MATCH(F307,'Tagging key'!C:C,0)),"")</f>
        <v>55.4</v>
      </c>
      <c r="J307" s="3">
        <f>IFERROR(INDEX('Tagging key'!F:F, MATCH(F307,'Tagging key'!C:C,0)),"")</f>
        <v>19.25</v>
      </c>
      <c r="K307" s="3">
        <v>46.265999999999998</v>
      </c>
      <c r="L307" s="3">
        <v>70.23</v>
      </c>
      <c r="M307" s="3">
        <v>51.52</v>
      </c>
      <c r="N307" s="3">
        <v>26.48</v>
      </c>
      <c r="O307" s="3"/>
      <c r="P307" s="22">
        <v>45886</v>
      </c>
      <c r="Q307" s="22">
        <v>45886</v>
      </c>
      <c r="R307" s="3">
        <v>30.013000000000002</v>
      </c>
    </row>
    <row r="308" spans="1:18" hidden="1" x14ac:dyDescent="0.25">
      <c r="A308" s="9">
        <v>9</v>
      </c>
      <c r="B308" s="9">
        <v>5</v>
      </c>
      <c r="C308" s="9" t="s">
        <v>105</v>
      </c>
      <c r="D308" s="9" t="s">
        <v>16</v>
      </c>
      <c r="E308" s="9" t="s">
        <v>618</v>
      </c>
      <c r="F308" s="9" t="s">
        <v>619</v>
      </c>
      <c r="G308" s="3">
        <v>27.571999999999999</v>
      </c>
      <c r="H308" s="3">
        <f>IFERROR(INDEX('Tagging key'!D:D, MATCH(F308,'Tagging key'!C:C,0)),"")</f>
        <v>57.3</v>
      </c>
      <c r="I308" s="3">
        <f>IFERROR(INDEX('Tagging key'!E:E, MATCH(F308,'Tagging key'!C:C,0)),"")</f>
        <v>43.72</v>
      </c>
      <c r="J308" s="3">
        <f>IFERROR(INDEX('Tagging key'!F:F, MATCH(F308,'Tagging key'!C:C,0)),"")</f>
        <v>16.12</v>
      </c>
      <c r="K308" s="3">
        <v>27.196000000000002</v>
      </c>
      <c r="L308" s="3">
        <v>57.81</v>
      </c>
      <c r="M308" s="3">
        <v>43.95</v>
      </c>
      <c r="N308" s="3">
        <v>17.32</v>
      </c>
      <c r="O308" s="3"/>
      <c r="P308" s="22">
        <v>45877</v>
      </c>
      <c r="Q308" s="22">
        <v>45877</v>
      </c>
      <c r="R308" s="3"/>
    </row>
    <row r="309" spans="1:18" hidden="1" x14ac:dyDescent="0.25">
      <c r="A309" s="9">
        <v>9</v>
      </c>
      <c r="B309" s="9">
        <v>5</v>
      </c>
      <c r="C309" s="9" t="s">
        <v>105</v>
      </c>
      <c r="D309" s="9" t="s">
        <v>16</v>
      </c>
      <c r="E309" s="9" t="s">
        <v>620</v>
      </c>
      <c r="F309" s="9" t="s">
        <v>621</v>
      </c>
      <c r="G309" s="3">
        <v>26.664999999999999</v>
      </c>
      <c r="H309" s="3">
        <f>IFERROR(INDEX('Tagging key'!D:D, MATCH(F309,'Tagging key'!C:C,0)),"")</f>
        <v>56.83</v>
      </c>
      <c r="I309" s="3">
        <f>IFERROR(INDEX('Tagging key'!E:E, MATCH(F309,'Tagging key'!C:C,0)),"")</f>
        <v>48.25</v>
      </c>
      <c r="J309" s="3">
        <f>IFERROR(INDEX('Tagging key'!F:F, MATCH(F309,'Tagging key'!C:C,0)),"")</f>
        <v>17.47</v>
      </c>
      <c r="K309" s="3">
        <v>26.288</v>
      </c>
      <c r="L309" s="3">
        <v>59.12</v>
      </c>
      <c r="M309" s="3">
        <v>45.14</v>
      </c>
      <c r="N309" s="3">
        <v>23.64</v>
      </c>
      <c r="O309" s="3"/>
      <c r="P309" s="22">
        <v>45879</v>
      </c>
      <c r="Q309" s="22">
        <v>45879</v>
      </c>
      <c r="R309" s="3"/>
    </row>
    <row r="310" spans="1:18" x14ac:dyDescent="0.25">
      <c r="A310" s="9">
        <v>9</v>
      </c>
      <c r="B310" s="9">
        <v>5</v>
      </c>
      <c r="C310" s="9" t="s">
        <v>105</v>
      </c>
      <c r="D310" s="9" t="s">
        <v>16</v>
      </c>
      <c r="E310" s="9" t="s">
        <v>622</v>
      </c>
      <c r="F310" s="9" t="s">
        <v>623</v>
      </c>
      <c r="G310" s="3">
        <v>37.146999999999998</v>
      </c>
      <c r="H310" s="3">
        <f>IFERROR(INDEX('Tagging key'!D:D, MATCH(F310,'Tagging key'!C:C,0)),"")</f>
        <v>67.5</v>
      </c>
      <c r="I310" s="3">
        <f>IFERROR(INDEX('Tagging key'!E:E, MATCH(F310,'Tagging key'!C:C,0)),"")</f>
        <v>54.58</v>
      </c>
      <c r="J310" s="3">
        <f>IFERROR(INDEX('Tagging key'!F:F, MATCH(F310,'Tagging key'!C:C,0)),"")</f>
        <v>20.440000000000001</v>
      </c>
      <c r="K310" s="3">
        <v>36.651000000000003</v>
      </c>
      <c r="L310" s="3">
        <v>68.11</v>
      </c>
      <c r="M310" s="3">
        <v>54.62</v>
      </c>
      <c r="N310" s="3">
        <v>19.170000000000002</v>
      </c>
      <c r="O310" s="3"/>
      <c r="P310" s="22">
        <v>45882</v>
      </c>
      <c r="Q310" s="22">
        <v>45882</v>
      </c>
      <c r="R310" s="3">
        <v>23.574999999999999</v>
      </c>
    </row>
    <row r="311" spans="1:18" x14ac:dyDescent="0.25">
      <c r="A311" s="8">
        <v>9</v>
      </c>
      <c r="B311" s="8">
        <v>6</v>
      </c>
      <c r="C311" s="8" t="s">
        <v>105</v>
      </c>
      <c r="D311" s="8" t="s">
        <v>16</v>
      </c>
      <c r="E311" s="8" t="s">
        <v>624</v>
      </c>
      <c r="F311" s="8" t="s">
        <v>625</v>
      </c>
      <c r="G311" s="3">
        <v>25.731999999999999</v>
      </c>
      <c r="H311" s="3">
        <f>IFERROR(INDEX('Tagging key'!D:D, MATCH(F311,'Tagging key'!C:C,0)),"")</f>
        <v>70.430000000000007</v>
      </c>
      <c r="I311" s="3">
        <f>IFERROR(INDEX('Tagging key'!E:E, MATCH(F311,'Tagging key'!C:C,0)),"")</f>
        <v>45.56</v>
      </c>
      <c r="J311" s="3">
        <f>IFERROR(INDEX('Tagging key'!F:F, MATCH(F311,'Tagging key'!C:C,0)),"")</f>
        <v>13.72</v>
      </c>
      <c r="K311" s="3">
        <v>25.516999999999999</v>
      </c>
      <c r="L311" s="3">
        <v>70.28</v>
      </c>
      <c r="M311" s="3">
        <v>44.77</v>
      </c>
      <c r="N311" s="3">
        <v>15.25</v>
      </c>
      <c r="O311" s="3"/>
      <c r="P311" s="22">
        <v>45882</v>
      </c>
      <c r="Q311" s="22">
        <v>45882</v>
      </c>
      <c r="R311" s="3">
        <v>16.474</v>
      </c>
    </row>
    <row r="312" spans="1:18" hidden="1" x14ac:dyDescent="0.25">
      <c r="A312" s="8">
        <v>9</v>
      </c>
      <c r="B312" s="8">
        <v>6</v>
      </c>
      <c r="C312" s="8" t="s">
        <v>105</v>
      </c>
      <c r="D312" s="8" t="s">
        <v>16</v>
      </c>
      <c r="E312" s="8" t="s">
        <v>626</v>
      </c>
      <c r="F312" s="8" t="s">
        <v>627</v>
      </c>
      <c r="G312" s="3">
        <v>22.327000000000002</v>
      </c>
      <c r="H312" s="3">
        <f>IFERROR(INDEX('Tagging key'!D:D, MATCH(F312,'Tagging key'!C:C,0)),"")</f>
        <v>59.54</v>
      </c>
      <c r="I312" s="3">
        <f>IFERROR(INDEX('Tagging key'!E:E, MATCH(F312,'Tagging key'!C:C,0)),"")</f>
        <v>42.86</v>
      </c>
      <c r="J312" s="3">
        <f>IFERROR(INDEX('Tagging key'!F:F, MATCH(F312,'Tagging key'!C:C,0)),"")</f>
        <v>15.87</v>
      </c>
      <c r="K312" s="3">
        <v>22.114999999999998</v>
      </c>
      <c r="L312" s="3">
        <v>60.52</v>
      </c>
      <c r="M312" s="3">
        <v>40.14</v>
      </c>
      <c r="N312" s="3">
        <v>16.46</v>
      </c>
      <c r="O312" s="3"/>
      <c r="P312" s="22">
        <v>45886</v>
      </c>
      <c r="Q312" s="22">
        <v>45886</v>
      </c>
      <c r="R312" s="3"/>
    </row>
    <row r="313" spans="1:18" hidden="1" x14ac:dyDescent="0.25">
      <c r="A313" s="8">
        <v>9</v>
      </c>
      <c r="B313" s="8">
        <v>6</v>
      </c>
      <c r="C313" s="8" t="s">
        <v>105</v>
      </c>
      <c r="D313" s="8" t="s">
        <v>16</v>
      </c>
      <c r="E313" s="8" t="s">
        <v>628</v>
      </c>
      <c r="F313" s="8" t="s">
        <v>629</v>
      </c>
      <c r="G313" s="3">
        <v>39.051000000000002</v>
      </c>
      <c r="H313" s="3">
        <f>IFERROR(INDEX('Tagging key'!D:D, MATCH(F313,'Tagging key'!C:C,0)),"")</f>
        <v>67.09</v>
      </c>
      <c r="I313" s="3">
        <f>IFERROR(INDEX('Tagging key'!E:E, MATCH(F313,'Tagging key'!C:C,0)),"")</f>
        <v>46.43</v>
      </c>
      <c r="J313" s="3">
        <f>IFERROR(INDEX('Tagging key'!F:F, MATCH(F313,'Tagging key'!C:C,0)),"")</f>
        <v>17.45</v>
      </c>
      <c r="K313" s="3">
        <v>38.904000000000003</v>
      </c>
      <c r="L313" s="3">
        <v>67.98</v>
      </c>
      <c r="M313" s="3">
        <v>45.37</v>
      </c>
      <c r="N313" s="3">
        <v>19.100000000000001</v>
      </c>
      <c r="O313" s="3"/>
      <c r="P313" s="22">
        <v>45879</v>
      </c>
      <c r="Q313" s="22">
        <v>45879</v>
      </c>
      <c r="R313" s="3"/>
    </row>
    <row r="314" spans="1:18" hidden="1" x14ac:dyDescent="0.25">
      <c r="A314" s="8">
        <v>9</v>
      </c>
      <c r="B314" s="8">
        <v>6</v>
      </c>
      <c r="C314" s="8" t="s">
        <v>105</v>
      </c>
      <c r="D314" s="8" t="s">
        <v>16</v>
      </c>
      <c r="E314" s="8" t="s">
        <v>429</v>
      </c>
      <c r="F314" s="8" t="s">
        <v>630</v>
      </c>
      <c r="G314" s="3">
        <v>26.646000000000001</v>
      </c>
      <c r="H314" s="3">
        <f>IFERROR(INDEX('Tagging key'!D:D, MATCH(F314,'Tagging key'!C:C,0)),"")</f>
        <v>67.97</v>
      </c>
      <c r="I314" s="3">
        <f>IFERROR(INDEX('Tagging key'!E:E, MATCH(F314,'Tagging key'!C:C,0)),"")</f>
        <v>44.12</v>
      </c>
      <c r="J314" s="3">
        <f>IFERROR(INDEX('Tagging key'!F:F, MATCH(F314,'Tagging key'!C:C,0)),"")</f>
        <v>19.170000000000002</v>
      </c>
      <c r="K314" s="3">
        <v>26.207000000000001</v>
      </c>
      <c r="L314" s="3">
        <v>67.849999999999994</v>
      </c>
      <c r="M314" s="3">
        <v>43.4</v>
      </c>
      <c r="N314" s="3">
        <v>18.86</v>
      </c>
      <c r="O314" s="3"/>
      <c r="P314" s="22">
        <v>45877</v>
      </c>
      <c r="Q314" s="22">
        <v>45877</v>
      </c>
      <c r="R314" s="3"/>
    </row>
    <row r="315" spans="1:18" hidden="1" x14ac:dyDescent="0.25">
      <c r="A315" s="11">
        <v>9</v>
      </c>
      <c r="B315" s="11">
        <v>7</v>
      </c>
      <c r="C315" s="11" t="s">
        <v>105</v>
      </c>
      <c r="D315" s="11" t="s">
        <v>46</v>
      </c>
      <c r="E315" s="11" t="s">
        <v>536</v>
      </c>
      <c r="F315" s="11" t="s">
        <v>631</v>
      </c>
      <c r="G315" s="3">
        <v>28.905000000000001</v>
      </c>
      <c r="H315" s="3">
        <f>IFERROR(INDEX('Tagging key'!D:D, MATCH(F315,'Tagging key'!C:C,0)),"")</f>
        <v>66</v>
      </c>
      <c r="I315" s="3">
        <f>IFERROR(INDEX('Tagging key'!E:E, MATCH(F315,'Tagging key'!C:C,0)),"")</f>
        <v>33</v>
      </c>
      <c r="J315" s="3">
        <f>IFERROR(INDEX('Tagging key'!F:F, MATCH(F315,'Tagging key'!C:C,0)),"")</f>
        <v>24</v>
      </c>
      <c r="K315" s="3">
        <v>29.36</v>
      </c>
      <c r="L315" s="3">
        <v>67.790000000000006</v>
      </c>
      <c r="M315" s="3">
        <v>33.31</v>
      </c>
      <c r="N315" s="3">
        <v>24.9</v>
      </c>
      <c r="O315" s="3"/>
      <c r="P315" s="22">
        <v>45879</v>
      </c>
      <c r="Q315" s="22">
        <v>45879</v>
      </c>
      <c r="R315" s="3"/>
    </row>
    <row r="316" spans="1:18" x14ac:dyDescent="0.25">
      <c r="A316" s="11">
        <v>9</v>
      </c>
      <c r="B316" s="11">
        <v>7</v>
      </c>
      <c r="C316" s="11" t="s">
        <v>105</v>
      </c>
      <c r="D316" s="11" t="s">
        <v>46</v>
      </c>
      <c r="E316" s="11" t="s">
        <v>632</v>
      </c>
      <c r="F316" s="11" t="s">
        <v>633</v>
      </c>
      <c r="G316" s="24">
        <v>63.938000000000002</v>
      </c>
      <c r="H316" s="3">
        <f>IFERROR(INDEX('Tagging key'!D:D, MATCH(F316,'Tagging key'!C:C,0)),"")</f>
        <v>84</v>
      </c>
      <c r="I316" s="3">
        <f>IFERROR(INDEX('Tagging key'!E:E, MATCH(F316,'Tagging key'!C:C,0)),"")</f>
        <v>41</v>
      </c>
      <c r="J316" s="3">
        <f>IFERROR(INDEX('Tagging key'!F:F, MATCH(F316,'Tagging key'!C:C,0)),"")</f>
        <v>33</v>
      </c>
      <c r="K316" s="3">
        <v>64.911000000000001</v>
      </c>
      <c r="L316" s="3">
        <v>87.36</v>
      </c>
      <c r="M316" s="3">
        <v>41.8</v>
      </c>
      <c r="N316" s="3">
        <v>34.549999999999997</v>
      </c>
      <c r="O316" s="3"/>
      <c r="P316" s="22">
        <v>45882</v>
      </c>
      <c r="Q316" s="22">
        <v>45882</v>
      </c>
      <c r="R316" s="3">
        <v>20.001000000000001</v>
      </c>
    </row>
    <row r="317" spans="1:18" hidden="1" x14ac:dyDescent="0.25">
      <c r="A317" s="11">
        <v>9</v>
      </c>
      <c r="B317" s="11">
        <v>7</v>
      </c>
      <c r="C317" s="11" t="s">
        <v>105</v>
      </c>
      <c r="D317" s="11" t="s">
        <v>46</v>
      </c>
      <c r="E317" s="11" t="s">
        <v>520</v>
      </c>
      <c r="F317" s="11" t="s">
        <v>634</v>
      </c>
      <c r="G317" s="3">
        <v>53.905000000000001</v>
      </c>
      <c r="H317" s="3">
        <f>IFERROR(INDEX('Tagging key'!D:D, MATCH(F317,'Tagging key'!C:C,0)),"")</f>
        <v>80.3</v>
      </c>
      <c r="I317" s="3">
        <f>IFERROR(INDEX('Tagging key'!E:E, MATCH(F317,'Tagging key'!C:C,0)),"")</f>
        <v>45.61</v>
      </c>
      <c r="J317" s="3">
        <f>IFERROR(INDEX('Tagging key'!F:F, MATCH(F317,'Tagging key'!C:C,0)),"")</f>
        <v>30.32</v>
      </c>
      <c r="K317" s="3">
        <v>54.475999999999999</v>
      </c>
      <c r="L317" s="3">
        <v>80.56</v>
      </c>
      <c r="M317" s="3">
        <v>41.16</v>
      </c>
      <c r="N317" s="3">
        <v>29.91</v>
      </c>
      <c r="O317" s="3"/>
      <c r="P317" s="22">
        <v>45886</v>
      </c>
      <c r="Q317" s="22">
        <v>45886</v>
      </c>
      <c r="R317" s="3"/>
    </row>
    <row r="318" spans="1:18" hidden="1" x14ac:dyDescent="0.25">
      <c r="A318" s="11">
        <v>9</v>
      </c>
      <c r="B318" s="11">
        <v>7</v>
      </c>
      <c r="C318" s="11" t="s">
        <v>105</v>
      </c>
      <c r="D318" s="11" t="s">
        <v>46</v>
      </c>
      <c r="E318" s="11" t="s">
        <v>312</v>
      </c>
      <c r="F318" s="11" t="s">
        <v>635</v>
      </c>
      <c r="G318" s="3">
        <v>36.896000000000001</v>
      </c>
      <c r="H318" s="3">
        <f>IFERROR(INDEX('Tagging key'!D:D, MATCH(F318,'Tagging key'!C:C,0)),"")</f>
        <v>71</v>
      </c>
      <c r="I318" s="3">
        <f>IFERROR(INDEX('Tagging key'!E:E, MATCH(F318,'Tagging key'!C:C,0)),"")</f>
        <v>38</v>
      </c>
      <c r="J318" s="3">
        <f>IFERROR(INDEX('Tagging key'!F:F, MATCH(F318,'Tagging key'!C:C,0)),"")</f>
        <v>27</v>
      </c>
      <c r="K318" s="3">
        <v>37.670999999999999</v>
      </c>
      <c r="L318" s="3">
        <v>71.13</v>
      </c>
      <c r="M318" s="3">
        <v>39.33</v>
      </c>
      <c r="N318" s="3">
        <v>28.22</v>
      </c>
      <c r="O318" s="3"/>
      <c r="P318" s="22">
        <v>45877</v>
      </c>
      <c r="Q318" s="22">
        <v>45877</v>
      </c>
      <c r="R318" s="3"/>
    </row>
    <row r="319" spans="1:18" hidden="1" x14ac:dyDescent="0.25">
      <c r="A319" s="12">
        <v>9</v>
      </c>
      <c r="B319" s="12">
        <v>8</v>
      </c>
      <c r="C319" s="12" t="s">
        <v>105</v>
      </c>
      <c r="D319" s="12" t="s">
        <v>46</v>
      </c>
      <c r="E319" s="12" t="s">
        <v>636</v>
      </c>
      <c r="F319" s="12" t="s">
        <v>637</v>
      </c>
      <c r="G319" s="3">
        <v>54.722000000000001</v>
      </c>
      <c r="H319" s="3">
        <f>IFERROR(INDEX('Tagging key'!D:D, MATCH(F319,'Tagging key'!C:C,0)),"")</f>
        <v>83.03</v>
      </c>
      <c r="I319" s="3">
        <f>IFERROR(INDEX('Tagging key'!E:E, MATCH(F319,'Tagging key'!C:C,0)),"")</f>
        <v>45.64</v>
      </c>
      <c r="J319" s="3">
        <f>IFERROR(INDEX('Tagging key'!F:F, MATCH(F319,'Tagging key'!C:C,0)),"")</f>
        <v>30.02</v>
      </c>
      <c r="K319" s="3">
        <v>54.62</v>
      </c>
      <c r="L319" s="3">
        <v>82.99</v>
      </c>
      <c r="M319" s="3">
        <v>41.57</v>
      </c>
      <c r="N319" s="3">
        <v>30.1</v>
      </c>
      <c r="O319" s="3"/>
      <c r="P319" s="22">
        <v>45877</v>
      </c>
      <c r="Q319" s="22">
        <v>45877</v>
      </c>
      <c r="R319" s="3"/>
    </row>
    <row r="320" spans="1:18" x14ac:dyDescent="0.25">
      <c r="A320" s="12">
        <v>9</v>
      </c>
      <c r="B320" s="12">
        <v>8</v>
      </c>
      <c r="C320" s="12" t="s">
        <v>105</v>
      </c>
      <c r="D320" s="12" t="s">
        <v>46</v>
      </c>
      <c r="E320" s="12" t="s">
        <v>638</v>
      </c>
      <c r="F320" s="12" t="s">
        <v>639</v>
      </c>
      <c r="G320" s="3">
        <v>49.627000000000002</v>
      </c>
      <c r="H320" s="3">
        <f>IFERROR(INDEX('Tagging key'!D:D, MATCH(F320,'Tagging key'!C:C,0)),"")</f>
        <v>79.599999999999994</v>
      </c>
      <c r="I320" s="3">
        <f>IFERROR(INDEX('Tagging key'!E:E, MATCH(F320,'Tagging key'!C:C,0)),"")</f>
        <v>45.04</v>
      </c>
      <c r="J320" s="3">
        <f>IFERROR(INDEX('Tagging key'!F:F, MATCH(F320,'Tagging key'!C:C,0)),"")</f>
        <v>29.52</v>
      </c>
      <c r="K320" s="3">
        <v>50.085000000000001</v>
      </c>
      <c r="L320" s="3">
        <v>79.180000000000007</v>
      </c>
      <c r="M320" s="3">
        <v>40.42</v>
      </c>
      <c r="N320" s="3">
        <v>29.57</v>
      </c>
      <c r="O320" s="3"/>
      <c r="P320" s="22">
        <v>45882</v>
      </c>
      <c r="Q320" s="22">
        <v>45882</v>
      </c>
      <c r="R320" s="3">
        <v>18.029</v>
      </c>
    </row>
    <row r="321" spans="1:19" hidden="1" x14ac:dyDescent="0.25">
      <c r="A321" s="12">
        <v>9</v>
      </c>
      <c r="B321" s="12">
        <v>8</v>
      </c>
      <c r="C321" s="12" t="s">
        <v>105</v>
      </c>
      <c r="D321" s="12" t="s">
        <v>46</v>
      </c>
      <c r="E321" s="12" t="s">
        <v>640</v>
      </c>
      <c r="F321" s="12" t="s">
        <v>641</v>
      </c>
      <c r="G321" s="3">
        <v>71.852000000000004</v>
      </c>
      <c r="H321" s="3">
        <f>IFERROR(INDEX('Tagging key'!D:D, MATCH(F321,'Tagging key'!C:C,0)),"")</f>
        <v>92.44</v>
      </c>
      <c r="I321" s="3">
        <f>IFERROR(INDEX('Tagging key'!E:E, MATCH(F321,'Tagging key'!C:C,0)),"")</f>
        <v>45.97</v>
      </c>
      <c r="J321" s="3">
        <f>IFERROR(INDEX('Tagging key'!F:F, MATCH(F321,'Tagging key'!C:C,0)),"")</f>
        <v>33.61</v>
      </c>
      <c r="K321" s="3">
        <v>72.185000000000002</v>
      </c>
      <c r="L321" s="3">
        <v>91.87</v>
      </c>
      <c r="M321" s="3">
        <v>44.21</v>
      </c>
      <c r="N321" s="3">
        <v>33.799999999999997</v>
      </c>
      <c r="O321" s="3"/>
      <c r="P321" s="22">
        <v>45886</v>
      </c>
      <c r="Q321" s="22">
        <v>45886</v>
      </c>
      <c r="R321" s="3"/>
    </row>
    <row r="322" spans="1:19" hidden="1" x14ac:dyDescent="0.25">
      <c r="A322" s="12">
        <v>9</v>
      </c>
      <c r="B322" s="12">
        <v>8</v>
      </c>
      <c r="C322" s="12" t="s">
        <v>105</v>
      </c>
      <c r="D322" s="12" t="s">
        <v>46</v>
      </c>
      <c r="E322" s="12" t="s">
        <v>366</v>
      </c>
      <c r="F322" s="12" t="s">
        <v>642</v>
      </c>
      <c r="G322" s="3">
        <v>31.241</v>
      </c>
      <c r="H322" s="3">
        <f>IFERROR(INDEX('Tagging key'!D:D, MATCH(F322,'Tagging key'!C:C,0)),"")</f>
        <v>68.459999999999994</v>
      </c>
      <c r="I322" s="3">
        <f>IFERROR(INDEX('Tagging key'!E:E, MATCH(F322,'Tagging key'!C:C,0)),"")</f>
        <v>38.31</v>
      </c>
      <c r="J322" s="3">
        <f>IFERROR(INDEX('Tagging key'!F:F, MATCH(F322,'Tagging key'!C:C,0)),"")</f>
        <v>24.27</v>
      </c>
      <c r="K322">
        <v>31.463000000000001</v>
      </c>
      <c r="L322" s="3">
        <v>68.58</v>
      </c>
      <c r="M322" s="3">
        <v>35.33</v>
      </c>
      <c r="N322" s="3">
        <v>24.53</v>
      </c>
      <c r="O322" s="3"/>
      <c r="P322" s="22">
        <v>45879</v>
      </c>
      <c r="Q322" s="22">
        <v>45879</v>
      </c>
      <c r="R322" s="3"/>
    </row>
    <row r="323" spans="1:19" hidden="1" x14ac:dyDescent="0.25">
      <c r="A323" s="11">
        <v>9</v>
      </c>
      <c r="B323" s="11">
        <v>9</v>
      </c>
      <c r="C323" s="11" t="s">
        <v>105</v>
      </c>
      <c r="D323" s="11" t="s">
        <v>46</v>
      </c>
      <c r="E323" s="11" t="s">
        <v>643</v>
      </c>
      <c r="F323" s="11" t="s">
        <v>644</v>
      </c>
      <c r="G323" s="3">
        <v>50.975000000000001</v>
      </c>
      <c r="H323" s="3">
        <f>IFERROR(INDEX('Tagging key'!D:D, MATCH(F323,'Tagging key'!C:C,0)),"")</f>
        <v>81</v>
      </c>
      <c r="I323" s="3">
        <f>IFERROR(INDEX('Tagging key'!E:E, MATCH(F323,'Tagging key'!C:C,0)),"")</f>
        <v>37</v>
      </c>
      <c r="J323" s="3">
        <f>IFERROR(INDEX('Tagging key'!F:F, MATCH(F323,'Tagging key'!C:C,0)),"")</f>
        <v>30</v>
      </c>
      <c r="K323" s="3">
        <v>51.323999999999998</v>
      </c>
      <c r="L323" s="3">
        <v>83.78</v>
      </c>
      <c r="M323" s="3">
        <v>37.83</v>
      </c>
      <c r="N323" s="3">
        <v>29.68</v>
      </c>
      <c r="O323" s="3"/>
      <c r="P323" s="22">
        <v>45879</v>
      </c>
      <c r="Q323" s="22">
        <v>45879</v>
      </c>
      <c r="R323" s="3"/>
    </row>
    <row r="324" spans="1:19" x14ac:dyDescent="0.25">
      <c r="A324" s="11">
        <v>9</v>
      </c>
      <c r="B324" s="11">
        <v>9</v>
      </c>
      <c r="C324" s="11" t="s">
        <v>105</v>
      </c>
      <c r="D324" s="11" t="s">
        <v>46</v>
      </c>
      <c r="E324" s="11" t="s">
        <v>462</v>
      </c>
      <c r="F324" s="11" t="s">
        <v>645</v>
      </c>
      <c r="G324" s="3">
        <v>48.731999999999999</v>
      </c>
      <c r="H324" s="3">
        <f>IFERROR(INDEX('Tagging key'!D:D, MATCH(F324,'Tagging key'!C:C,0)),"")</f>
        <v>81</v>
      </c>
      <c r="I324" s="3">
        <f>IFERROR(INDEX('Tagging key'!E:E, MATCH(F324,'Tagging key'!C:C,0)),"")</f>
        <v>40</v>
      </c>
      <c r="J324" s="3">
        <f>IFERROR(INDEX('Tagging key'!F:F, MATCH(F324,'Tagging key'!C:C,0)),"")</f>
        <v>28</v>
      </c>
      <c r="K324" s="3">
        <v>49.274999999999999</v>
      </c>
      <c r="L324" s="3">
        <v>82.43</v>
      </c>
      <c r="M324" s="3">
        <v>39.14</v>
      </c>
      <c r="N324" s="3">
        <v>28.4</v>
      </c>
      <c r="O324" s="3"/>
      <c r="P324" s="22">
        <v>45882</v>
      </c>
      <c r="Q324" s="22">
        <v>45882</v>
      </c>
      <c r="R324" s="3">
        <v>17.568999999999999</v>
      </c>
    </row>
    <row r="325" spans="1:19" hidden="1" x14ac:dyDescent="0.25">
      <c r="A325" s="11">
        <v>9</v>
      </c>
      <c r="B325" s="11">
        <v>9</v>
      </c>
      <c r="C325" s="11" t="s">
        <v>105</v>
      </c>
      <c r="D325" s="11" t="s">
        <v>46</v>
      </c>
      <c r="E325" s="11" t="s">
        <v>646</v>
      </c>
      <c r="F325" s="11" t="s">
        <v>647</v>
      </c>
      <c r="G325" s="3">
        <v>67.664000000000001</v>
      </c>
      <c r="H325" s="3">
        <f>IFERROR(INDEX('Tagging key'!D:D, MATCH(F325,'Tagging key'!C:C,0)),"")</f>
        <v>87</v>
      </c>
      <c r="I325" s="3">
        <f>IFERROR(INDEX('Tagging key'!E:E, MATCH(F325,'Tagging key'!C:C,0)),"")</f>
        <v>43</v>
      </c>
      <c r="J325" s="3">
        <f>IFERROR(INDEX('Tagging key'!F:F, MATCH(F325,'Tagging key'!C:C,0)),"")</f>
        <v>32</v>
      </c>
      <c r="K325" s="3">
        <v>68.558000000000007</v>
      </c>
      <c r="L325" s="3">
        <v>88.99</v>
      </c>
      <c r="M325" s="3">
        <v>43.27</v>
      </c>
      <c r="N325" s="3">
        <v>33.01</v>
      </c>
      <c r="O325" s="3"/>
      <c r="P325" s="22">
        <v>45886</v>
      </c>
      <c r="Q325" s="22">
        <v>45886</v>
      </c>
      <c r="R325" s="3">
        <v>22.954999999999998</v>
      </c>
    </row>
    <row r="326" spans="1:19" hidden="1" x14ac:dyDescent="0.25">
      <c r="A326" s="11">
        <v>9</v>
      </c>
      <c r="B326" s="11">
        <v>9</v>
      </c>
      <c r="C326" s="11" t="s">
        <v>105</v>
      </c>
      <c r="D326" s="11" t="s">
        <v>46</v>
      </c>
      <c r="E326" s="11" t="s">
        <v>505</v>
      </c>
      <c r="F326" s="11" t="s">
        <v>648</v>
      </c>
      <c r="G326" s="3">
        <v>32.402999999999999</v>
      </c>
      <c r="H326" s="3">
        <f>IFERROR(INDEX('Tagging key'!D:D, MATCH(F326,'Tagging key'!C:C,0)),"")</f>
        <v>69</v>
      </c>
      <c r="I326" s="3">
        <f>IFERROR(INDEX('Tagging key'!E:E, MATCH(F326,'Tagging key'!C:C,0)),"")</f>
        <v>35</v>
      </c>
      <c r="J326" s="3">
        <f>IFERROR(INDEX('Tagging key'!F:F, MATCH(F326,'Tagging key'!C:C,0)),"")</f>
        <v>26</v>
      </c>
      <c r="K326" s="3">
        <v>32.688000000000002</v>
      </c>
      <c r="L326" s="3">
        <v>69.989999999999995</v>
      </c>
      <c r="M326" s="3">
        <v>36.31</v>
      </c>
      <c r="N326" s="3">
        <v>27.5</v>
      </c>
      <c r="O326" s="3"/>
      <c r="P326" s="22">
        <v>45877</v>
      </c>
      <c r="Q326" s="22">
        <v>45877</v>
      </c>
      <c r="R326" s="3"/>
    </row>
    <row r="327" spans="1:19" hidden="1" x14ac:dyDescent="0.25">
      <c r="A327" s="12">
        <v>10</v>
      </c>
      <c r="B327" s="12">
        <v>1</v>
      </c>
      <c r="C327" s="12" t="s">
        <v>15</v>
      </c>
      <c r="D327" s="12" t="s">
        <v>46</v>
      </c>
      <c r="E327" s="12" t="s">
        <v>649</v>
      </c>
      <c r="F327" s="12" t="s">
        <v>650</v>
      </c>
      <c r="G327" s="3">
        <v>21.736999999999998</v>
      </c>
      <c r="H327" s="3">
        <f>IFERROR(INDEX('Tagging key'!D:D, MATCH(F327,'Tagging key'!C:C,0)),"")</f>
        <v>61.69</v>
      </c>
      <c r="I327" s="3">
        <f>IFERROR(INDEX('Tagging key'!E:E, MATCH(F327,'Tagging key'!C:C,0)),"")</f>
        <v>36.15</v>
      </c>
      <c r="J327" s="3">
        <f>IFERROR(INDEX('Tagging key'!F:F, MATCH(F327,'Tagging key'!C:C,0)),"")</f>
        <v>20.97</v>
      </c>
      <c r="K327" s="3">
        <v>22.765999999999998</v>
      </c>
      <c r="L327" s="3">
        <v>62.07</v>
      </c>
      <c r="M327" s="3">
        <v>34.74</v>
      </c>
      <c r="N327" s="3">
        <v>21.79</v>
      </c>
      <c r="O327" s="3"/>
      <c r="P327" s="22">
        <v>45886</v>
      </c>
      <c r="Q327" s="22">
        <v>45886</v>
      </c>
      <c r="R327" s="3"/>
    </row>
    <row r="328" spans="1:19" x14ac:dyDescent="0.25">
      <c r="A328" s="12">
        <v>10</v>
      </c>
      <c r="B328" s="12">
        <v>1</v>
      </c>
      <c r="C328" s="12" t="s">
        <v>15</v>
      </c>
      <c r="D328" s="12" t="s">
        <v>46</v>
      </c>
      <c r="E328" s="12" t="s">
        <v>94</v>
      </c>
      <c r="F328" s="12" t="s">
        <v>651</v>
      </c>
      <c r="G328" s="3">
        <v>29.454000000000001</v>
      </c>
      <c r="H328" s="3">
        <f>IFERROR(INDEX('Tagging key'!D:D, MATCH(F328,'Tagging key'!C:C,0)),"")</f>
        <v>68</v>
      </c>
      <c r="I328" s="3">
        <f>IFERROR(INDEX('Tagging key'!E:E, MATCH(F328,'Tagging key'!C:C,0)),"")</f>
        <v>32</v>
      </c>
      <c r="J328" s="3">
        <f>IFERROR(INDEX('Tagging key'!F:F, MATCH(F328,'Tagging key'!C:C,0)),"")</f>
        <v>23</v>
      </c>
      <c r="K328" s="3">
        <v>29.710999999999999</v>
      </c>
      <c r="L328" s="3">
        <v>68.73</v>
      </c>
      <c r="M328" s="3">
        <v>33.28</v>
      </c>
      <c r="N328" s="3">
        <v>23.71</v>
      </c>
      <c r="O328" s="3"/>
      <c r="P328" s="22">
        <v>45882</v>
      </c>
      <c r="Q328" s="22">
        <v>45882</v>
      </c>
      <c r="R328" s="3">
        <v>10.135999999999999</v>
      </c>
    </row>
    <row r="329" spans="1:19" hidden="1" x14ac:dyDescent="0.25">
      <c r="A329" s="12">
        <v>10</v>
      </c>
      <c r="B329" s="12">
        <v>1</v>
      </c>
      <c r="C329" s="12" t="s">
        <v>15</v>
      </c>
      <c r="D329" s="12" t="s">
        <v>46</v>
      </c>
      <c r="E329" s="12" t="s">
        <v>652</v>
      </c>
      <c r="F329" s="12" t="s">
        <v>653</v>
      </c>
      <c r="G329" s="3">
        <v>28.306000000000001</v>
      </c>
      <c r="H329" s="3">
        <f>IFERROR(INDEX('Tagging key'!D:D, MATCH(F329,'Tagging key'!C:C,0)),"")</f>
        <v>66.88</v>
      </c>
      <c r="I329" s="3">
        <f>IFERROR(INDEX('Tagging key'!E:E, MATCH(F329,'Tagging key'!C:C,0)),"")</f>
        <v>39.020000000000003</v>
      </c>
      <c r="J329" s="3">
        <f>IFERROR(INDEX('Tagging key'!F:F, MATCH(F329,'Tagging key'!C:C,0)),"")</f>
        <v>23.81</v>
      </c>
      <c r="K329" s="3">
        <v>29.657</v>
      </c>
      <c r="L329" s="3">
        <v>68.650000000000006</v>
      </c>
      <c r="M329" s="3">
        <v>37.72</v>
      </c>
      <c r="N329" s="3">
        <v>24.88</v>
      </c>
      <c r="O329" s="3"/>
      <c r="P329" s="22">
        <v>45879</v>
      </c>
      <c r="Q329" s="22">
        <v>45879</v>
      </c>
      <c r="R329" s="3"/>
    </row>
    <row r="330" spans="1:19" hidden="1" x14ac:dyDescent="0.25">
      <c r="A330" s="12">
        <v>10</v>
      </c>
      <c r="B330" s="12">
        <v>1</v>
      </c>
      <c r="C330" s="12" t="s">
        <v>15</v>
      </c>
      <c r="D330" s="12" t="s">
        <v>46</v>
      </c>
      <c r="E330" s="12" t="s">
        <v>654</v>
      </c>
      <c r="F330" s="12" t="s">
        <v>655</v>
      </c>
      <c r="G330" s="3">
        <v>72.212000000000003</v>
      </c>
      <c r="H330" s="3">
        <f>IFERROR(INDEX('Tagging key'!D:D, MATCH(F330,'Tagging key'!C:C,0)),"")</f>
        <v>89</v>
      </c>
      <c r="I330" s="3">
        <f>IFERROR(INDEX('Tagging key'!E:E, MATCH(F330,'Tagging key'!C:C,0)),"")</f>
        <v>43</v>
      </c>
      <c r="J330" s="3">
        <f>IFERROR(INDEX('Tagging key'!F:F, MATCH(F330,'Tagging key'!C:C,0)),"")</f>
        <v>34</v>
      </c>
      <c r="K330" s="3">
        <v>72.843999999999994</v>
      </c>
      <c r="L330" s="3">
        <v>90.74</v>
      </c>
      <c r="M330" s="3">
        <v>43.55</v>
      </c>
      <c r="N330" s="3">
        <v>34.44</v>
      </c>
      <c r="O330" s="3"/>
      <c r="P330" s="22">
        <v>45877</v>
      </c>
      <c r="Q330" s="22">
        <v>45877</v>
      </c>
      <c r="R330" s="3"/>
      <c r="S330" t="s">
        <v>656</v>
      </c>
    </row>
    <row r="331" spans="1:19" hidden="1" x14ac:dyDescent="0.25">
      <c r="A331" s="11">
        <v>10</v>
      </c>
      <c r="B331" s="11">
        <v>2</v>
      </c>
      <c r="C331" s="11" t="s">
        <v>15</v>
      </c>
      <c r="D331" s="11" t="s">
        <v>46</v>
      </c>
      <c r="E331" s="11" t="s">
        <v>657</v>
      </c>
      <c r="F331" s="11" t="s">
        <v>658</v>
      </c>
      <c r="G331" s="3">
        <v>33.252000000000002</v>
      </c>
      <c r="H331" s="3">
        <f>IFERROR(INDEX('Tagging key'!D:D, MATCH(F331,'Tagging key'!C:C,0)),"")</f>
        <v>72.73</v>
      </c>
      <c r="I331" s="3">
        <f>IFERROR(INDEX('Tagging key'!E:E, MATCH(F331,'Tagging key'!C:C,0)),"")</f>
        <v>39.020000000000003</v>
      </c>
      <c r="J331" s="3">
        <f>IFERROR(INDEX('Tagging key'!F:F, MATCH(F331,'Tagging key'!C:C,0)),"")</f>
        <v>25.51</v>
      </c>
      <c r="K331" s="3">
        <v>34.082000000000001</v>
      </c>
      <c r="L331" s="3">
        <v>73.63</v>
      </c>
      <c r="M331" s="3">
        <v>34.729999999999997</v>
      </c>
      <c r="N331" s="3">
        <v>26.35</v>
      </c>
      <c r="O331" s="3"/>
      <c r="P331" s="22">
        <v>45877</v>
      </c>
      <c r="Q331" s="22">
        <v>45877</v>
      </c>
      <c r="R331" s="3"/>
    </row>
    <row r="332" spans="1:19" x14ac:dyDescent="0.25">
      <c r="A332" s="11">
        <v>10</v>
      </c>
      <c r="B332" s="11">
        <v>2</v>
      </c>
      <c r="C332" s="11" t="s">
        <v>15</v>
      </c>
      <c r="D332" s="11" t="s">
        <v>46</v>
      </c>
      <c r="E332" s="11" t="s">
        <v>27</v>
      </c>
      <c r="F332" s="11" t="s">
        <v>659</v>
      </c>
      <c r="G332" s="3">
        <v>25.937000000000001</v>
      </c>
      <c r="H332" s="3">
        <f>IFERROR(INDEX('Tagging key'!D:D, MATCH(F332,'Tagging key'!C:C,0)),"")</f>
        <v>66.87</v>
      </c>
      <c r="I332" s="3">
        <f>IFERROR(INDEX('Tagging key'!E:E, MATCH(F332,'Tagging key'!C:C,0)),"")</f>
        <v>35.46</v>
      </c>
      <c r="J332" s="3">
        <f>IFERROR(INDEX('Tagging key'!F:F, MATCH(F332,'Tagging key'!C:C,0)),"")</f>
        <v>24.22</v>
      </c>
      <c r="K332" s="3">
        <v>26.423999999999999</v>
      </c>
      <c r="L332" s="3">
        <v>66.959999999999994</v>
      </c>
      <c r="M332" s="3">
        <v>32.69</v>
      </c>
      <c r="N332" s="3">
        <v>23.57</v>
      </c>
      <c r="O332" s="3"/>
      <c r="P332" s="22">
        <v>45882</v>
      </c>
      <c r="Q332" s="22">
        <v>45882</v>
      </c>
      <c r="R332" s="3">
        <v>24.268000000000001</v>
      </c>
    </row>
    <row r="333" spans="1:19" hidden="1" x14ac:dyDescent="0.25">
      <c r="A333" s="11">
        <v>10</v>
      </c>
      <c r="B333" s="11">
        <v>2</v>
      </c>
      <c r="C333" s="11" t="s">
        <v>15</v>
      </c>
      <c r="D333" s="11" t="s">
        <v>46</v>
      </c>
      <c r="E333" s="11" t="s">
        <v>660</v>
      </c>
      <c r="F333" s="11" t="s">
        <v>661</v>
      </c>
      <c r="G333" s="3">
        <v>45.357999999999997</v>
      </c>
      <c r="H333" s="3">
        <f>IFERROR(INDEX('Tagging key'!D:D, MATCH(F333,'Tagging key'!C:C,0)),"")</f>
        <v>80.33</v>
      </c>
      <c r="I333" s="3">
        <f>IFERROR(INDEX('Tagging key'!E:E, MATCH(F333,'Tagging key'!C:C,0)),"")</f>
        <v>38</v>
      </c>
      <c r="J333" s="3">
        <f>IFERROR(INDEX('Tagging key'!F:F, MATCH(F333,'Tagging key'!C:C,0)),"")</f>
        <v>28.94</v>
      </c>
      <c r="K333" s="3">
        <v>46.389000000000003</v>
      </c>
      <c r="L333" s="3">
        <v>80.260000000000005</v>
      </c>
      <c r="M333" s="3">
        <v>37.18</v>
      </c>
      <c r="N333" s="3">
        <v>28.79</v>
      </c>
      <c r="O333" s="3"/>
      <c r="P333" s="22">
        <v>45886</v>
      </c>
      <c r="Q333" s="22">
        <v>45886</v>
      </c>
      <c r="R333" s="3">
        <v>14.327</v>
      </c>
    </row>
    <row r="334" spans="1:19" hidden="1" x14ac:dyDescent="0.25">
      <c r="A334" s="11">
        <v>10</v>
      </c>
      <c r="B334" s="11">
        <v>2</v>
      </c>
      <c r="C334" s="11" t="s">
        <v>15</v>
      </c>
      <c r="D334" s="11" t="s">
        <v>46</v>
      </c>
      <c r="E334" s="11" t="s">
        <v>662</v>
      </c>
      <c r="F334" s="11" t="s">
        <v>663</v>
      </c>
      <c r="G334" s="3">
        <v>32.265000000000001</v>
      </c>
      <c r="H334" s="3">
        <f>IFERROR(INDEX('Tagging key'!D:D, MATCH(F334,'Tagging key'!C:C,0)),"")</f>
        <v>68.91</v>
      </c>
      <c r="I334" s="3">
        <f>IFERROR(INDEX('Tagging key'!E:E, MATCH(F334,'Tagging key'!C:C,0)),"")</f>
        <v>35.36</v>
      </c>
      <c r="J334" s="3">
        <f>IFERROR(INDEX('Tagging key'!F:F, MATCH(F334,'Tagging key'!C:C,0)),"")</f>
        <v>24.96</v>
      </c>
      <c r="K334" s="3">
        <v>33.334000000000003</v>
      </c>
      <c r="L334" s="3">
        <v>69.790000000000006</v>
      </c>
      <c r="M334" s="3">
        <v>34.93</v>
      </c>
      <c r="N334" s="3">
        <v>26.4</v>
      </c>
      <c r="O334" s="3"/>
      <c r="P334" s="22">
        <v>45879</v>
      </c>
      <c r="Q334" s="22">
        <v>45879</v>
      </c>
      <c r="R334" s="3"/>
    </row>
    <row r="335" spans="1:19" hidden="1" x14ac:dyDescent="0.25">
      <c r="A335" s="12">
        <v>10</v>
      </c>
      <c r="B335" s="12">
        <v>3</v>
      </c>
      <c r="C335" s="12" t="s">
        <v>15</v>
      </c>
      <c r="D335" s="12" t="s">
        <v>46</v>
      </c>
      <c r="E335" s="12" t="s">
        <v>664</v>
      </c>
      <c r="F335" s="12" t="s">
        <v>665</v>
      </c>
      <c r="G335" s="3">
        <v>28.975999999999999</v>
      </c>
      <c r="H335" s="3">
        <f>IFERROR(INDEX('Tagging key'!D:D, MATCH(F335,'Tagging key'!C:C,0)),"")</f>
        <v>65</v>
      </c>
      <c r="I335" s="3">
        <f>IFERROR(INDEX('Tagging key'!E:E, MATCH(F335,'Tagging key'!C:C,0)),"")</f>
        <v>34</v>
      </c>
      <c r="J335" s="3">
        <f>IFERROR(INDEX('Tagging key'!F:F, MATCH(F335,'Tagging key'!C:C,0)),"")</f>
        <v>23</v>
      </c>
      <c r="K335" s="3">
        <v>27.308</v>
      </c>
      <c r="L335" s="3">
        <v>65.95</v>
      </c>
      <c r="M335" s="3">
        <v>35.020000000000003</v>
      </c>
      <c r="N335" s="3">
        <v>23.54</v>
      </c>
      <c r="O335" s="3"/>
      <c r="P335" s="22">
        <v>45886</v>
      </c>
      <c r="Q335" s="22">
        <v>45886</v>
      </c>
      <c r="R335" s="3"/>
    </row>
    <row r="336" spans="1:19" x14ac:dyDescent="0.25">
      <c r="A336" s="12">
        <v>10</v>
      </c>
      <c r="B336" s="12">
        <v>3</v>
      </c>
      <c r="C336" s="12" t="s">
        <v>15</v>
      </c>
      <c r="D336" s="12" t="s">
        <v>46</v>
      </c>
      <c r="E336" s="12" t="s">
        <v>349</v>
      </c>
      <c r="F336" s="12" t="s">
        <v>666</v>
      </c>
      <c r="G336" s="3">
        <v>62.018999999999998</v>
      </c>
      <c r="H336" s="3">
        <f>IFERROR(INDEX('Tagging key'!D:D, MATCH(F336,'Tagging key'!C:C,0)),"")</f>
        <v>86</v>
      </c>
      <c r="I336" s="3">
        <f>IFERROR(INDEX('Tagging key'!E:E, MATCH(F336,'Tagging key'!C:C,0)),"")</f>
        <v>38</v>
      </c>
      <c r="J336" s="3">
        <f>IFERROR(INDEX('Tagging key'!F:F, MATCH(F336,'Tagging key'!C:C,0)),"")</f>
        <v>29</v>
      </c>
      <c r="K336" s="3">
        <v>62.628999999999998</v>
      </c>
      <c r="L336" s="3">
        <v>85.26</v>
      </c>
      <c r="M336" s="3">
        <v>38.72</v>
      </c>
      <c r="N336" s="3">
        <v>32.409999999999997</v>
      </c>
      <c r="O336" s="3"/>
      <c r="P336" s="22">
        <v>45882</v>
      </c>
      <c r="Q336" s="22">
        <v>45882</v>
      </c>
      <c r="R336" s="3">
        <v>24.187000000000001</v>
      </c>
    </row>
    <row r="337" spans="1:19" hidden="1" x14ac:dyDescent="0.25">
      <c r="A337" s="12">
        <v>10</v>
      </c>
      <c r="B337" s="12">
        <v>3</v>
      </c>
      <c r="C337" s="12" t="s">
        <v>15</v>
      </c>
      <c r="D337" s="12" t="s">
        <v>46</v>
      </c>
      <c r="E337" s="12" t="s">
        <v>493</v>
      </c>
      <c r="F337" s="12" t="s">
        <v>667</v>
      </c>
      <c r="G337" s="3">
        <v>31.385000000000002</v>
      </c>
      <c r="H337" s="3">
        <f>IFERROR(INDEX('Tagging key'!D:D, MATCH(F337,'Tagging key'!C:C,0)),"")</f>
        <v>69</v>
      </c>
      <c r="I337" s="3">
        <f>IFERROR(INDEX('Tagging key'!E:E, MATCH(F337,'Tagging key'!C:C,0)),"")</f>
        <v>36</v>
      </c>
      <c r="J337" s="3">
        <f>IFERROR(INDEX('Tagging key'!F:F, MATCH(F337,'Tagging key'!C:C,0)),"")</f>
        <v>24</v>
      </c>
      <c r="K337" s="3">
        <v>31.83</v>
      </c>
      <c r="L337" s="3">
        <v>70.33</v>
      </c>
      <c r="M337" s="3">
        <v>36.71</v>
      </c>
      <c r="N337" s="3">
        <v>25.2</v>
      </c>
      <c r="O337" s="3"/>
      <c r="P337" s="22">
        <v>45877</v>
      </c>
      <c r="Q337" s="22">
        <v>45877</v>
      </c>
      <c r="R337" s="3"/>
    </row>
    <row r="338" spans="1:19" hidden="1" x14ac:dyDescent="0.25">
      <c r="A338" s="12">
        <v>10</v>
      </c>
      <c r="B338" s="12">
        <v>3</v>
      </c>
      <c r="C338" s="12" t="s">
        <v>15</v>
      </c>
      <c r="D338" s="12" t="s">
        <v>46</v>
      </c>
      <c r="E338" s="12" t="s">
        <v>116</v>
      </c>
      <c r="F338" s="12" t="s">
        <v>668</v>
      </c>
      <c r="G338" s="3">
        <v>25.385999999999999</v>
      </c>
      <c r="H338" s="3">
        <f>IFERROR(INDEX('Tagging key'!D:D, MATCH(F338,'Tagging key'!C:C,0)),"")</f>
        <v>63.59</v>
      </c>
      <c r="I338" s="3">
        <f>IFERROR(INDEX('Tagging key'!E:E, MATCH(F338,'Tagging key'!C:C,0)),"")</f>
        <v>35.83</v>
      </c>
      <c r="J338" s="3">
        <f>IFERROR(INDEX('Tagging key'!F:F, MATCH(F338,'Tagging key'!C:C,0)),"")</f>
        <v>23.73</v>
      </c>
      <c r="K338" s="3">
        <v>25.78</v>
      </c>
      <c r="L338" s="3">
        <v>64.09</v>
      </c>
      <c r="M338" s="3">
        <v>35.03</v>
      </c>
      <c r="N338" s="3">
        <v>24.23</v>
      </c>
      <c r="O338" s="3"/>
      <c r="P338" s="22">
        <v>45879</v>
      </c>
      <c r="Q338" s="22">
        <v>45879</v>
      </c>
      <c r="R338" s="3"/>
    </row>
    <row r="339" spans="1:19" x14ac:dyDescent="0.25">
      <c r="A339" s="8">
        <v>10</v>
      </c>
      <c r="B339" s="8">
        <v>4</v>
      </c>
      <c r="C339" s="8" t="s">
        <v>15</v>
      </c>
      <c r="D339" s="8" t="s">
        <v>16</v>
      </c>
      <c r="E339" s="8" t="s">
        <v>188</v>
      </c>
      <c r="F339" s="8" t="s">
        <v>669</v>
      </c>
      <c r="G339" s="3">
        <v>30.524000000000001</v>
      </c>
      <c r="H339" s="3">
        <f>IFERROR(INDEX('Tagging key'!D:D, MATCH(F339,'Tagging key'!C:C,0)),"")</f>
        <v>75.58</v>
      </c>
      <c r="I339" s="3">
        <f>IFERROR(INDEX('Tagging key'!E:E, MATCH(F339,'Tagging key'!C:C,0)),"")</f>
        <v>48.31</v>
      </c>
      <c r="J339" s="3">
        <f>IFERROR(INDEX('Tagging key'!F:F, MATCH(F339,'Tagging key'!C:C,0)),"")</f>
        <v>19.899999999999999</v>
      </c>
      <c r="K339" s="3">
        <v>30.440999999999999</v>
      </c>
      <c r="L339" s="3">
        <v>76.430000000000007</v>
      </c>
      <c r="M339" s="3">
        <v>45.33</v>
      </c>
      <c r="N339" s="3">
        <v>17.91</v>
      </c>
      <c r="O339" s="3"/>
      <c r="P339" s="22">
        <v>45882</v>
      </c>
      <c r="Q339" s="22">
        <v>45882</v>
      </c>
      <c r="R339" s="3">
        <v>16.503</v>
      </c>
    </row>
    <row r="340" spans="1:19" hidden="1" x14ac:dyDescent="0.25">
      <c r="A340" s="8">
        <v>10</v>
      </c>
      <c r="B340" s="8">
        <v>4</v>
      </c>
      <c r="C340" s="8" t="s">
        <v>15</v>
      </c>
      <c r="D340" s="8" t="s">
        <v>16</v>
      </c>
      <c r="E340" s="8" t="s">
        <v>670</v>
      </c>
      <c r="F340" s="8" t="s">
        <v>671</v>
      </c>
      <c r="G340" s="3">
        <v>24.064</v>
      </c>
      <c r="H340" s="3">
        <f>IFERROR(INDEX('Tagging key'!D:D, MATCH(F340,'Tagging key'!C:C,0)),"")</f>
        <v>56.77</v>
      </c>
      <c r="I340" s="3">
        <f>IFERROR(INDEX('Tagging key'!E:E, MATCH(F340,'Tagging key'!C:C,0)),"")</f>
        <v>47.77</v>
      </c>
      <c r="J340" s="3">
        <f>IFERROR(INDEX('Tagging key'!F:F, MATCH(F340,'Tagging key'!C:C,0)),"")</f>
        <v>15.5</v>
      </c>
      <c r="K340" s="3">
        <v>23.931999999999999</v>
      </c>
      <c r="L340" s="3">
        <v>57.03</v>
      </c>
      <c r="M340" s="3">
        <v>43.06</v>
      </c>
      <c r="N340" s="3">
        <v>15.77</v>
      </c>
      <c r="O340" s="3"/>
      <c r="P340" s="22">
        <v>45886</v>
      </c>
      <c r="Q340" s="22">
        <v>45886</v>
      </c>
      <c r="R340" s="3">
        <v>15.752000000000001</v>
      </c>
    </row>
    <row r="341" spans="1:19" hidden="1" x14ac:dyDescent="0.25">
      <c r="A341" s="8">
        <v>10</v>
      </c>
      <c r="B341" s="8">
        <v>4</v>
      </c>
      <c r="C341" s="8" t="s">
        <v>15</v>
      </c>
      <c r="D341" s="8" t="s">
        <v>16</v>
      </c>
      <c r="E341" s="8" t="s">
        <v>672</v>
      </c>
      <c r="F341" s="8" t="s">
        <v>673</v>
      </c>
      <c r="G341" s="3">
        <v>17.408000000000001</v>
      </c>
      <c r="H341" s="3">
        <f>IFERROR(INDEX('Tagging key'!D:D, MATCH(F341,'Tagging key'!C:C,0)),"")</f>
        <v>73.319999999999993</v>
      </c>
      <c r="I341" s="3">
        <f>IFERROR(INDEX('Tagging key'!E:E, MATCH(F341,'Tagging key'!C:C,0)),"")</f>
        <v>35.659999999999997</v>
      </c>
      <c r="J341" s="3">
        <f>IFERROR(INDEX('Tagging key'!F:F, MATCH(F341,'Tagging key'!C:C,0)),"")</f>
        <v>11.67</v>
      </c>
      <c r="K341" s="3">
        <v>17.350000000000001</v>
      </c>
      <c r="L341" s="3">
        <v>73.510000000000005</v>
      </c>
      <c r="M341" s="3">
        <v>36.43</v>
      </c>
      <c r="N341" s="3">
        <v>13.96</v>
      </c>
      <c r="O341" s="3"/>
      <c r="P341" s="22">
        <v>45879</v>
      </c>
      <c r="Q341" s="22">
        <v>45879</v>
      </c>
      <c r="R341" s="3"/>
    </row>
    <row r="342" spans="1:19" hidden="1" x14ac:dyDescent="0.25">
      <c r="A342" s="8">
        <v>10</v>
      </c>
      <c r="B342" s="8">
        <v>4</v>
      </c>
      <c r="C342" s="8" t="s">
        <v>15</v>
      </c>
      <c r="D342" s="8" t="s">
        <v>16</v>
      </c>
      <c r="E342" s="8" t="s">
        <v>674</v>
      </c>
      <c r="F342" s="8" t="s">
        <v>675</v>
      </c>
      <c r="G342" s="3">
        <v>30.55</v>
      </c>
      <c r="H342" s="3">
        <f>IFERROR(INDEX('Tagging key'!D:D, MATCH(F342,'Tagging key'!C:C,0)),"")</f>
        <v>64.989999999999995</v>
      </c>
      <c r="I342" s="3">
        <f>IFERROR(INDEX('Tagging key'!E:E, MATCH(F342,'Tagging key'!C:C,0)),"")</f>
        <v>47.26</v>
      </c>
      <c r="J342" s="3">
        <f>IFERROR(INDEX('Tagging key'!F:F, MATCH(F342,'Tagging key'!C:C,0)),"")</f>
        <v>17.97</v>
      </c>
      <c r="K342" s="3">
        <v>30.273</v>
      </c>
      <c r="L342" s="3">
        <v>64.92</v>
      </c>
      <c r="M342" s="3">
        <v>48.85</v>
      </c>
      <c r="N342" s="3">
        <v>19.21</v>
      </c>
      <c r="O342" s="3"/>
      <c r="P342" s="22">
        <v>45877</v>
      </c>
      <c r="Q342" s="22">
        <v>45877</v>
      </c>
      <c r="R342" s="3"/>
    </row>
    <row r="343" spans="1:19" hidden="1" x14ac:dyDescent="0.25">
      <c r="A343" s="9">
        <v>10</v>
      </c>
      <c r="B343" s="9">
        <v>5</v>
      </c>
      <c r="C343" s="9" t="s">
        <v>15</v>
      </c>
      <c r="D343" s="9" t="s">
        <v>16</v>
      </c>
      <c r="E343" s="9" t="s">
        <v>636</v>
      </c>
      <c r="F343" s="9" t="s">
        <v>676</v>
      </c>
      <c r="G343" s="3">
        <v>30.559000000000001</v>
      </c>
      <c r="H343" s="3">
        <f>IFERROR(INDEX('Tagging key'!D:D, MATCH(F343,'Tagging key'!C:C,0)),"")</f>
        <v>68.34</v>
      </c>
      <c r="I343" s="3">
        <f>IFERROR(INDEX('Tagging key'!E:E, MATCH(F343,'Tagging key'!C:C,0)),"")</f>
        <v>44.08</v>
      </c>
      <c r="J343" s="3">
        <f>IFERROR(INDEX('Tagging key'!F:F, MATCH(F343,'Tagging key'!C:C,0)),"")</f>
        <v>17.2</v>
      </c>
      <c r="K343" s="3">
        <v>30.190999999999999</v>
      </c>
      <c r="L343" s="3">
        <v>68.84</v>
      </c>
      <c r="M343" s="3">
        <v>44.4</v>
      </c>
      <c r="N343" s="3">
        <v>18.25</v>
      </c>
      <c r="O343" s="3"/>
      <c r="P343" s="22">
        <v>45879</v>
      </c>
      <c r="Q343" s="22">
        <v>45879</v>
      </c>
      <c r="R343" s="3"/>
    </row>
    <row r="344" spans="1:19" x14ac:dyDescent="0.25">
      <c r="A344" s="9">
        <v>10</v>
      </c>
      <c r="B344" s="9">
        <v>5</v>
      </c>
      <c r="C344" s="9" t="s">
        <v>15</v>
      </c>
      <c r="D344" s="9" t="s">
        <v>16</v>
      </c>
      <c r="E344" s="9" t="s">
        <v>677</v>
      </c>
      <c r="F344" s="9" t="s">
        <v>678</v>
      </c>
      <c r="G344" s="3">
        <v>43.137</v>
      </c>
      <c r="H344" s="3">
        <f>IFERROR(INDEX('Tagging key'!D:D, MATCH(F344,'Tagging key'!C:C,0)),"")</f>
        <v>73.81</v>
      </c>
      <c r="I344" s="3">
        <f>IFERROR(INDEX('Tagging key'!E:E, MATCH(F344,'Tagging key'!C:C,0)),"")</f>
        <v>48.78</v>
      </c>
      <c r="J344" s="3">
        <f>IFERROR(INDEX('Tagging key'!F:F, MATCH(F344,'Tagging key'!C:C,0)),"")</f>
        <v>18.920000000000002</v>
      </c>
      <c r="K344" s="3">
        <v>42.677999999999997</v>
      </c>
      <c r="L344" s="3">
        <v>73.73</v>
      </c>
      <c r="M344" s="3">
        <v>47.5</v>
      </c>
      <c r="N344" s="3">
        <v>21.59</v>
      </c>
      <c r="O344" s="3"/>
      <c r="P344" s="22">
        <v>45882</v>
      </c>
      <c r="Q344" s="22">
        <v>45882</v>
      </c>
      <c r="R344" s="3">
        <v>26.245000000000001</v>
      </c>
    </row>
    <row r="345" spans="1:19" hidden="1" x14ac:dyDescent="0.25">
      <c r="A345" s="9">
        <v>10</v>
      </c>
      <c r="B345" s="9">
        <v>5</v>
      </c>
      <c r="C345" s="9" t="s">
        <v>15</v>
      </c>
      <c r="D345" s="9" t="s">
        <v>16</v>
      </c>
      <c r="E345" s="9" t="s">
        <v>679</v>
      </c>
      <c r="F345" s="9" t="s">
        <v>680</v>
      </c>
      <c r="G345" s="3">
        <v>28.52</v>
      </c>
      <c r="H345" s="3">
        <f>IFERROR(INDEX('Tagging key'!D:D, MATCH(F345,'Tagging key'!C:C,0)),"")</f>
        <v>64.510000000000005</v>
      </c>
      <c r="I345" s="3">
        <f>IFERROR(INDEX('Tagging key'!E:E, MATCH(F345,'Tagging key'!C:C,0)),"")</f>
        <v>40.29</v>
      </c>
      <c r="J345" s="3">
        <f>IFERROR(INDEX('Tagging key'!F:F, MATCH(F345,'Tagging key'!C:C,0)),"")</f>
        <v>16.57</v>
      </c>
      <c r="K345" s="3">
        <v>28.053000000000001</v>
      </c>
      <c r="L345">
        <v>67.37</v>
      </c>
      <c r="M345" s="3">
        <v>38.89</v>
      </c>
      <c r="N345" s="3">
        <v>19.170000000000002</v>
      </c>
      <c r="O345" s="3"/>
      <c r="P345" s="22">
        <v>45877</v>
      </c>
      <c r="Q345" s="22">
        <v>45877</v>
      </c>
      <c r="R345" s="3"/>
    </row>
    <row r="346" spans="1:19" hidden="1" x14ac:dyDescent="0.25">
      <c r="A346" s="9">
        <v>10</v>
      </c>
      <c r="B346" s="9">
        <v>5</v>
      </c>
      <c r="C346" s="9" t="s">
        <v>15</v>
      </c>
      <c r="D346" s="9" t="s">
        <v>16</v>
      </c>
      <c r="E346" s="9" t="s">
        <v>471</v>
      </c>
      <c r="F346" s="9" t="s">
        <v>681</v>
      </c>
      <c r="G346" s="3">
        <v>30.34</v>
      </c>
      <c r="H346" s="3">
        <f>IFERROR(INDEX('Tagging key'!D:D, MATCH(F346,'Tagging key'!C:C,0)),"")</f>
        <v>62.03</v>
      </c>
      <c r="I346" s="3">
        <f>IFERROR(INDEX('Tagging key'!E:E, MATCH(F346,'Tagging key'!C:C,0)),"")</f>
        <v>54.57</v>
      </c>
      <c r="J346" s="3">
        <f>IFERROR(INDEX('Tagging key'!F:F, MATCH(F346,'Tagging key'!C:C,0)),"")</f>
        <v>18.260000000000002</v>
      </c>
      <c r="K346" s="3">
        <v>29.943999999999999</v>
      </c>
      <c r="L346" s="3">
        <v>66.34</v>
      </c>
      <c r="M346" s="3">
        <v>43.74</v>
      </c>
      <c r="N346" s="3">
        <v>18.149999999999999</v>
      </c>
      <c r="O346" s="3"/>
      <c r="P346" s="22">
        <v>45886</v>
      </c>
      <c r="Q346" s="22">
        <v>45886</v>
      </c>
      <c r="R346" s="3">
        <v>18.081</v>
      </c>
    </row>
    <row r="347" spans="1:19" hidden="1" x14ac:dyDescent="0.25">
      <c r="A347" s="8">
        <v>10</v>
      </c>
      <c r="B347" s="8">
        <v>6</v>
      </c>
      <c r="C347" s="8" t="s">
        <v>15</v>
      </c>
      <c r="D347" s="8" t="s">
        <v>16</v>
      </c>
      <c r="E347" s="8" t="s">
        <v>682</v>
      </c>
      <c r="F347" s="8" t="s">
        <v>683</v>
      </c>
      <c r="G347" s="3">
        <v>29.91</v>
      </c>
      <c r="H347" s="3">
        <f>IFERROR(INDEX('Tagging key'!D:D, MATCH(F347,'Tagging key'!C:C,0)),"")</f>
        <v>65.95</v>
      </c>
      <c r="I347" s="3">
        <f>IFERROR(INDEX('Tagging key'!E:E, MATCH(F347,'Tagging key'!C:C,0)),"")</f>
        <v>43.64</v>
      </c>
      <c r="J347" s="3">
        <f>IFERROR(INDEX('Tagging key'!F:F, MATCH(F347,'Tagging key'!C:C,0)),"")</f>
        <v>16.13</v>
      </c>
      <c r="K347" s="3">
        <v>29.815999999999999</v>
      </c>
      <c r="L347" s="3">
        <v>66.8</v>
      </c>
      <c r="M347" s="3">
        <v>44.29</v>
      </c>
      <c r="N347" s="3">
        <v>17.309999999999999</v>
      </c>
      <c r="O347" s="3"/>
      <c r="P347" s="22">
        <v>45879</v>
      </c>
      <c r="Q347" s="22">
        <v>45879</v>
      </c>
      <c r="R347" s="3"/>
    </row>
    <row r="348" spans="1:19" x14ac:dyDescent="0.25">
      <c r="A348" s="8">
        <v>10</v>
      </c>
      <c r="B348" s="8">
        <v>6</v>
      </c>
      <c r="C348" s="8" t="s">
        <v>15</v>
      </c>
      <c r="D348" s="8" t="s">
        <v>16</v>
      </c>
      <c r="E348" s="8" t="s">
        <v>172</v>
      </c>
      <c r="F348" s="8" t="s">
        <v>684</v>
      </c>
      <c r="G348" s="3">
        <v>29.54</v>
      </c>
      <c r="H348" s="3">
        <f>IFERROR(INDEX('Tagging key'!D:D, MATCH(F348,'Tagging key'!C:C,0)),"")</f>
        <v>65.2</v>
      </c>
      <c r="I348" s="3">
        <f>IFERROR(INDEX('Tagging key'!E:E, MATCH(F348,'Tagging key'!C:C,0)),"")</f>
        <v>43.67</v>
      </c>
      <c r="J348" s="3">
        <f>IFERROR(INDEX('Tagging key'!F:F, MATCH(F348,'Tagging key'!C:C,0)),"")</f>
        <v>17.82</v>
      </c>
      <c r="K348" s="3">
        <v>29.463999999999999</v>
      </c>
      <c r="L348" s="3">
        <v>66.3</v>
      </c>
      <c r="M348" s="3">
        <v>43.72</v>
      </c>
      <c r="N348" s="3">
        <v>19.309999999999999</v>
      </c>
      <c r="O348" s="3"/>
      <c r="P348" s="22">
        <v>45882</v>
      </c>
      <c r="Q348" s="22">
        <v>45882</v>
      </c>
      <c r="R348" s="3">
        <v>19.722999999999999</v>
      </c>
    </row>
    <row r="349" spans="1:19" hidden="1" x14ac:dyDescent="0.25">
      <c r="A349" s="8">
        <v>10</v>
      </c>
      <c r="B349" s="8">
        <v>6</v>
      </c>
      <c r="C349" s="8" t="s">
        <v>15</v>
      </c>
      <c r="D349" s="8" t="s">
        <v>16</v>
      </c>
      <c r="E349" s="8" t="s">
        <v>685</v>
      </c>
      <c r="F349" s="8" t="s">
        <v>686</v>
      </c>
      <c r="G349" s="3">
        <v>27.093</v>
      </c>
      <c r="H349" s="3">
        <f>IFERROR(INDEX('Tagging key'!D:D, MATCH(F349,'Tagging key'!C:C,0)),"")</f>
        <v>74.739999999999995</v>
      </c>
      <c r="I349" s="3">
        <f>IFERROR(INDEX('Tagging key'!E:E, MATCH(F349,'Tagging key'!C:C,0)),"")</f>
        <v>45.17</v>
      </c>
      <c r="J349" s="3">
        <f>IFERROR(INDEX('Tagging key'!F:F, MATCH(F349,'Tagging key'!C:C,0)),"")</f>
        <v>13.85</v>
      </c>
      <c r="K349" s="3">
        <v>26.864999999999998</v>
      </c>
      <c r="L349" s="3">
        <v>73.8</v>
      </c>
      <c r="M349" s="3">
        <v>43.27</v>
      </c>
      <c r="N349" s="3">
        <v>16.489999999999998</v>
      </c>
      <c r="O349" s="3"/>
      <c r="P349" s="22">
        <v>45886</v>
      </c>
      <c r="Q349" s="22">
        <v>45886</v>
      </c>
      <c r="R349" s="3"/>
    </row>
    <row r="350" spans="1:19" hidden="1" x14ac:dyDescent="0.25">
      <c r="A350" s="8">
        <v>10</v>
      </c>
      <c r="B350" s="8">
        <v>6</v>
      </c>
      <c r="C350" s="8" t="s">
        <v>15</v>
      </c>
      <c r="D350" s="8" t="s">
        <v>16</v>
      </c>
      <c r="E350" s="8" t="s">
        <v>687</v>
      </c>
      <c r="F350" s="8" t="s">
        <v>688</v>
      </c>
      <c r="G350" s="3">
        <v>54.055999999999997</v>
      </c>
      <c r="H350" s="3">
        <f>IFERROR(INDEX('Tagging key'!D:D, MATCH(F350,'Tagging key'!C:C,0)),"")</f>
        <v>83.4</v>
      </c>
      <c r="I350" s="3">
        <f>IFERROR(INDEX('Tagging key'!E:E, MATCH(F350,'Tagging key'!C:C,0)),"")</f>
        <v>52.05</v>
      </c>
      <c r="J350" s="3">
        <f>IFERROR(INDEX('Tagging key'!F:F, MATCH(F350,'Tagging key'!C:C,0)),"")</f>
        <v>19.739999999999998</v>
      </c>
      <c r="K350" s="3">
        <v>53.780999999999999</v>
      </c>
      <c r="L350" s="3">
        <v>85.09</v>
      </c>
      <c r="M350" s="3">
        <v>49.67</v>
      </c>
      <c r="N350" s="3">
        <v>24.52</v>
      </c>
      <c r="O350" s="3"/>
      <c r="P350" s="22">
        <v>45877</v>
      </c>
      <c r="Q350" s="22">
        <v>45877</v>
      </c>
      <c r="R350" s="3"/>
    </row>
    <row r="351" spans="1:19" hidden="1" x14ac:dyDescent="0.25">
      <c r="A351" s="13">
        <v>10</v>
      </c>
      <c r="B351" s="13">
        <v>7</v>
      </c>
      <c r="C351" s="13" t="s">
        <v>15</v>
      </c>
      <c r="D351" s="13" t="s">
        <v>72</v>
      </c>
      <c r="E351" s="13" t="s">
        <v>689</v>
      </c>
      <c r="F351" s="13" t="str">
        <f>LEFT(D351,1)&amp;"_"&amp;E351</f>
        <v>S_G53B</v>
      </c>
      <c r="G351" s="3">
        <v>54.52</v>
      </c>
      <c r="H351" s="3">
        <f>IFERROR(INDEX('Tagging key'!D:D, MATCH(F351,'Tagging key'!C:C,0)),"")</f>
        <v>73.099999999999994</v>
      </c>
      <c r="I351" s="3">
        <f>IFERROR(INDEX('Tagging key'!E:E, MATCH(F351,'Tagging key'!C:C,0)),"")</f>
        <v>77.099999999999994</v>
      </c>
      <c r="J351" s="3">
        <f>IFERROR(INDEX('Tagging key'!F:F, MATCH(F351,'Tagging key'!C:C,0)),"")</f>
        <v>19.2</v>
      </c>
      <c r="K351" s="3">
        <v>50.978999999999999</v>
      </c>
      <c r="L351" s="3">
        <v>75.06</v>
      </c>
      <c r="M351" s="3">
        <v>77.989999999999995</v>
      </c>
      <c r="N351" s="3">
        <v>20.82</v>
      </c>
      <c r="O351" s="3"/>
      <c r="P351" s="22">
        <v>45879</v>
      </c>
      <c r="Q351" s="22">
        <v>45879</v>
      </c>
      <c r="R351" s="3"/>
      <c r="S351" t="s">
        <v>690</v>
      </c>
    </row>
    <row r="352" spans="1:19" x14ac:dyDescent="0.25">
      <c r="A352" s="19">
        <v>10</v>
      </c>
      <c r="B352" s="19">
        <v>7</v>
      </c>
      <c r="C352" s="19" t="s">
        <v>15</v>
      </c>
      <c r="D352" s="19" t="s">
        <v>72</v>
      </c>
      <c r="E352" s="19" t="s">
        <v>691</v>
      </c>
      <c r="F352" s="19" t="str">
        <f t="shared" ref="F352:F374" si="2">LEFT(D352,1)&amp;"_"&amp;E352</f>
        <v>S_Y6</v>
      </c>
      <c r="G352" s="19">
        <v>42.939</v>
      </c>
      <c r="H352" s="19">
        <f>IFERROR(INDEX('Tagging key'!D:D, MATCH(F352,'Tagging key'!C:C,0)),"")</f>
        <v>70</v>
      </c>
      <c r="I352" s="19">
        <f>IFERROR(INDEX('Tagging key'!E:E, MATCH(F352,'Tagging key'!C:C,0)),"")</f>
        <v>75</v>
      </c>
      <c r="J352" s="19">
        <f>IFERROR(INDEX('Tagging key'!F:F, MATCH(F352,'Tagging key'!C:C,0)),"")</f>
        <v>17</v>
      </c>
      <c r="K352" s="19"/>
      <c r="L352" s="19"/>
      <c r="M352" s="19"/>
      <c r="N352" s="19"/>
      <c r="O352" s="19"/>
      <c r="P352" s="19"/>
      <c r="Q352" s="19"/>
      <c r="R352" s="19"/>
      <c r="S352" s="20" t="s">
        <v>692</v>
      </c>
    </row>
    <row r="353" spans="1:19" x14ac:dyDescent="0.25">
      <c r="A353" s="13">
        <v>10</v>
      </c>
      <c r="B353" s="13">
        <v>7</v>
      </c>
      <c r="C353" s="13" t="s">
        <v>15</v>
      </c>
      <c r="D353" s="13" t="s">
        <v>72</v>
      </c>
      <c r="E353" s="13" t="s">
        <v>693</v>
      </c>
      <c r="F353" s="13" t="str">
        <f t="shared" si="2"/>
        <v>S_G56B</v>
      </c>
      <c r="G353" s="3">
        <v>45.12</v>
      </c>
      <c r="H353" s="3">
        <f>IFERROR(INDEX('Tagging key'!D:D, MATCH(F353,'Tagging key'!C:C,0)),"")</f>
        <v>69.099999999999994</v>
      </c>
      <c r="I353" s="3">
        <f>IFERROR(INDEX('Tagging key'!E:E, MATCH(F353,'Tagging key'!C:C,0)),"")</f>
        <v>70.7</v>
      </c>
      <c r="J353" s="3">
        <f>IFERROR(INDEX('Tagging key'!F:F, MATCH(F353,'Tagging key'!C:C,0)),"")</f>
        <v>17.100000000000001</v>
      </c>
      <c r="K353" s="3">
        <v>45.875999999999998</v>
      </c>
      <c r="L353" s="3">
        <v>71.569999999999993</v>
      </c>
      <c r="M353" s="3">
        <v>71.7</v>
      </c>
      <c r="N353" s="3">
        <v>19.559999999999999</v>
      </c>
      <c r="O353" s="3"/>
      <c r="P353" s="22">
        <v>45882</v>
      </c>
      <c r="Q353" s="22">
        <v>45882</v>
      </c>
      <c r="R353" s="3">
        <v>22.963999999999999</v>
      </c>
      <c r="S353" t="s">
        <v>694</v>
      </c>
    </row>
    <row r="354" spans="1:19" hidden="1" x14ac:dyDescent="0.25">
      <c r="A354" s="13">
        <v>10</v>
      </c>
      <c r="B354" s="13">
        <v>7</v>
      </c>
      <c r="C354" s="13" t="s">
        <v>15</v>
      </c>
      <c r="D354" s="13" t="s">
        <v>72</v>
      </c>
      <c r="E354" s="13" t="s">
        <v>695</v>
      </c>
      <c r="F354" s="13" t="str">
        <f t="shared" si="2"/>
        <v>S_G57B</v>
      </c>
      <c r="G354" s="3">
        <v>39.32</v>
      </c>
      <c r="H354" s="3">
        <f>IFERROR(INDEX('Tagging key'!D:D, MATCH(F354,'Tagging key'!C:C,0)),"")</f>
        <v>64.099999999999994</v>
      </c>
      <c r="I354" s="3">
        <f>IFERROR(INDEX('Tagging key'!E:E, MATCH(F354,'Tagging key'!C:C,0)),"")</f>
        <v>66.900000000000006</v>
      </c>
      <c r="J354" s="3">
        <f>IFERROR(INDEX('Tagging key'!F:F, MATCH(F354,'Tagging key'!C:C,0)),"")</f>
        <v>18</v>
      </c>
      <c r="K354" s="3">
        <v>35.734000000000002</v>
      </c>
      <c r="L354" s="3">
        <v>65.66</v>
      </c>
      <c r="M354" s="3">
        <v>68.739999999999995</v>
      </c>
      <c r="N354" s="3">
        <v>19.329999999999998</v>
      </c>
      <c r="O354" s="3"/>
      <c r="P354" s="22">
        <v>45877</v>
      </c>
      <c r="Q354" s="22">
        <v>45877</v>
      </c>
      <c r="R354" s="3"/>
      <c r="S354" t="s">
        <v>696</v>
      </c>
    </row>
    <row r="355" spans="1:19" hidden="1" x14ac:dyDescent="0.25">
      <c r="A355" s="14">
        <v>10</v>
      </c>
      <c r="B355" s="14">
        <v>8</v>
      </c>
      <c r="C355" s="14" t="s">
        <v>15</v>
      </c>
      <c r="D355" s="14" t="s">
        <v>72</v>
      </c>
      <c r="E355" s="14" t="s">
        <v>697</v>
      </c>
      <c r="F355" s="14" t="str">
        <f t="shared" si="2"/>
        <v>S_Y78</v>
      </c>
      <c r="G355" s="3">
        <v>41.902999999999999</v>
      </c>
      <c r="H355" s="3">
        <f>IFERROR(INDEX('Tagging key'!D:D, MATCH(F355,'Tagging key'!C:C,0)),"")</f>
        <v>68</v>
      </c>
      <c r="I355" s="3">
        <f>IFERROR(INDEX('Tagging key'!E:E, MATCH(F355,'Tagging key'!C:C,0)),"")</f>
        <v>72</v>
      </c>
      <c r="J355" s="3">
        <f>IFERROR(INDEX('Tagging key'!F:F, MATCH(F355,'Tagging key'!C:C,0)),"")</f>
        <v>16</v>
      </c>
      <c r="K355" s="3">
        <v>38.720999999999997</v>
      </c>
      <c r="L355" s="3">
        <v>68.08</v>
      </c>
      <c r="M355" s="3">
        <v>73.650000000000006</v>
      </c>
      <c r="N355" s="3">
        <v>18.84</v>
      </c>
      <c r="O355" s="3"/>
      <c r="P355" s="22">
        <v>45877</v>
      </c>
      <c r="Q355" s="22">
        <v>45877</v>
      </c>
      <c r="R355" s="3"/>
    </row>
    <row r="356" spans="1:19" x14ac:dyDescent="0.25">
      <c r="A356" s="14">
        <v>10</v>
      </c>
      <c r="B356" s="14">
        <v>8</v>
      </c>
      <c r="C356" s="14" t="s">
        <v>15</v>
      </c>
      <c r="D356" s="14" t="s">
        <v>72</v>
      </c>
      <c r="E356" s="14" t="s">
        <v>698</v>
      </c>
      <c r="F356" s="14" t="str">
        <f t="shared" si="2"/>
        <v>S_W95</v>
      </c>
      <c r="G356" s="3">
        <v>40.805</v>
      </c>
      <c r="H356" s="3">
        <f>IFERROR(INDEX('Tagging key'!D:D, MATCH(F356,'Tagging key'!C:C,0)),"")</f>
        <v>68</v>
      </c>
      <c r="I356" s="3">
        <f>IFERROR(INDEX('Tagging key'!E:E, MATCH(F356,'Tagging key'!C:C,0)),"")</f>
        <v>69</v>
      </c>
      <c r="J356" s="3">
        <f>IFERROR(INDEX('Tagging key'!F:F, MATCH(F356,'Tagging key'!C:C,0)),"")</f>
        <v>20</v>
      </c>
      <c r="K356" s="3">
        <v>38.109000000000002</v>
      </c>
      <c r="L356" s="3">
        <v>69.23</v>
      </c>
      <c r="M356" s="3">
        <v>70.209999999999994</v>
      </c>
      <c r="N356" s="3">
        <v>19</v>
      </c>
      <c r="O356" s="3"/>
      <c r="P356" s="22">
        <v>45882</v>
      </c>
      <c r="Q356" s="22">
        <v>45882</v>
      </c>
      <c r="R356" s="3">
        <v>18.794</v>
      </c>
    </row>
    <row r="357" spans="1:19" hidden="1" x14ac:dyDescent="0.25">
      <c r="A357" s="14">
        <v>10</v>
      </c>
      <c r="B357" s="14">
        <v>8</v>
      </c>
      <c r="C357" s="14" t="s">
        <v>15</v>
      </c>
      <c r="D357" s="14" t="s">
        <v>72</v>
      </c>
      <c r="E357" s="14" t="s">
        <v>699</v>
      </c>
      <c r="F357" s="14" t="str">
        <f t="shared" si="2"/>
        <v>S_Y59</v>
      </c>
      <c r="G357" s="3">
        <v>58.713999999999999</v>
      </c>
      <c r="H357" s="3">
        <f>IFERROR(INDEX('Tagging key'!D:D, MATCH(F357,'Tagging key'!C:C,0)),"")</f>
        <v>71</v>
      </c>
      <c r="I357" s="3">
        <f>IFERROR(INDEX('Tagging key'!E:E, MATCH(F357,'Tagging key'!C:C,0)),"")</f>
        <v>74</v>
      </c>
      <c r="J357" s="3">
        <f>IFERROR(INDEX('Tagging key'!F:F, MATCH(F357,'Tagging key'!C:C,0)),"")</f>
        <v>20</v>
      </c>
      <c r="K357" s="3">
        <v>53.192999999999998</v>
      </c>
      <c r="L357" s="3">
        <v>72.95</v>
      </c>
      <c r="M357" s="3">
        <v>73.11</v>
      </c>
      <c r="N357" s="3">
        <v>23.28</v>
      </c>
      <c r="O357" s="3"/>
      <c r="P357" s="22">
        <v>45886</v>
      </c>
      <c r="Q357" s="22">
        <v>45886</v>
      </c>
      <c r="R357" s="3"/>
    </row>
    <row r="358" spans="1:19" hidden="1" x14ac:dyDescent="0.25">
      <c r="A358" s="14">
        <v>10</v>
      </c>
      <c r="B358" s="14">
        <v>8</v>
      </c>
      <c r="C358" s="14" t="s">
        <v>15</v>
      </c>
      <c r="D358" s="14" t="s">
        <v>72</v>
      </c>
      <c r="E358" s="14" t="s">
        <v>700</v>
      </c>
      <c r="F358" s="14" t="str">
        <f t="shared" si="2"/>
        <v>S_Y28</v>
      </c>
      <c r="G358" s="3">
        <v>50.448</v>
      </c>
      <c r="H358" s="3">
        <f>IFERROR(INDEX('Tagging key'!D:D, MATCH(F358,'Tagging key'!C:C,0)),"")</f>
        <v>70.5</v>
      </c>
      <c r="I358" s="3">
        <f>IFERROR(INDEX('Tagging key'!E:E, MATCH(F358,'Tagging key'!C:C,0)),"")</f>
        <v>78.5</v>
      </c>
      <c r="J358" s="3">
        <f>IFERROR(INDEX('Tagging key'!F:F, MATCH(F358,'Tagging key'!C:C,0)),"")</f>
        <v>19</v>
      </c>
      <c r="K358" s="3">
        <v>47.512999999999998</v>
      </c>
      <c r="L358" s="3">
        <v>72.930000000000007</v>
      </c>
      <c r="M358" s="3">
        <v>79.790000000000006</v>
      </c>
      <c r="N358" s="3">
        <v>22.82</v>
      </c>
      <c r="O358" s="3"/>
      <c r="P358" s="22">
        <v>45879</v>
      </c>
      <c r="Q358" s="22">
        <v>45879</v>
      </c>
      <c r="R358" s="3"/>
    </row>
    <row r="359" spans="1:19" hidden="1" x14ac:dyDescent="0.25">
      <c r="A359" s="13">
        <v>10</v>
      </c>
      <c r="B359" s="13">
        <v>9</v>
      </c>
      <c r="C359" s="13" t="s">
        <v>15</v>
      </c>
      <c r="D359" s="13" t="s">
        <v>72</v>
      </c>
      <c r="E359" s="13" t="s">
        <v>701</v>
      </c>
      <c r="F359" s="13" t="str">
        <f t="shared" si="2"/>
        <v>S_Y65</v>
      </c>
      <c r="G359" s="3">
        <v>64.658000000000001</v>
      </c>
      <c r="H359" s="3">
        <f>IFERROR(INDEX('Tagging key'!D:D, MATCH(F359,'Tagging key'!C:C,0)),"")</f>
        <v>75</v>
      </c>
      <c r="I359" s="3">
        <f>IFERROR(INDEX('Tagging key'!E:E, MATCH(F359,'Tagging key'!C:C,0)),"")</f>
        <v>80</v>
      </c>
      <c r="J359" s="3">
        <f>IFERROR(INDEX('Tagging key'!F:F, MATCH(F359,'Tagging key'!C:C,0)),"")</f>
        <v>21</v>
      </c>
      <c r="K359" s="3">
        <v>59.418999999999997</v>
      </c>
      <c r="L359" s="3">
        <v>75.41</v>
      </c>
      <c r="M359" s="3">
        <v>81.5</v>
      </c>
      <c r="N359" s="3">
        <v>22.94</v>
      </c>
      <c r="O359" s="3"/>
      <c r="P359" s="22">
        <v>45877</v>
      </c>
      <c r="Q359" s="22">
        <v>45877</v>
      </c>
      <c r="R359" s="3"/>
    </row>
    <row r="360" spans="1:19" x14ac:dyDescent="0.25">
      <c r="A360" s="13">
        <v>10</v>
      </c>
      <c r="B360" s="13">
        <v>9</v>
      </c>
      <c r="C360" s="13" t="s">
        <v>15</v>
      </c>
      <c r="D360" s="13" t="s">
        <v>72</v>
      </c>
      <c r="E360" s="13" t="s">
        <v>702</v>
      </c>
      <c r="F360" s="13" t="str">
        <f t="shared" si="2"/>
        <v>S_G58</v>
      </c>
      <c r="G360" s="3">
        <v>50.351999999999997</v>
      </c>
      <c r="H360" s="3">
        <f>IFERROR(INDEX('Tagging key'!D:D, MATCH(F360,'Tagging key'!C:C,0)),"")</f>
        <v>70</v>
      </c>
      <c r="I360" s="3">
        <f>IFERROR(INDEX('Tagging key'!E:E, MATCH(F360,'Tagging key'!C:C,0)),"")</f>
        <v>74</v>
      </c>
      <c r="J360" s="3">
        <f>IFERROR(INDEX('Tagging key'!F:F, MATCH(F360,'Tagging key'!C:C,0)),"")</f>
        <v>19</v>
      </c>
      <c r="K360" s="3">
        <v>47.027999999999999</v>
      </c>
      <c r="L360" s="3">
        <v>71.040000000000006</v>
      </c>
      <c r="M360" s="3">
        <v>75.12</v>
      </c>
      <c r="N360" s="3">
        <v>20.61</v>
      </c>
      <c r="O360" s="3"/>
      <c r="P360" s="22">
        <v>45882</v>
      </c>
      <c r="Q360" s="22">
        <v>45882</v>
      </c>
      <c r="R360" s="3">
        <v>22.187000000000001</v>
      </c>
    </row>
    <row r="361" spans="1:19" hidden="1" x14ac:dyDescent="0.25">
      <c r="A361" s="13">
        <v>10</v>
      </c>
      <c r="B361" s="13">
        <v>9</v>
      </c>
      <c r="C361" s="13" t="s">
        <v>15</v>
      </c>
      <c r="D361" s="13" t="s">
        <v>72</v>
      </c>
      <c r="E361" s="13" t="s">
        <v>703</v>
      </c>
      <c r="F361" s="13" t="str">
        <f t="shared" si="2"/>
        <v>S_W71</v>
      </c>
      <c r="G361" s="3">
        <v>45.493000000000002</v>
      </c>
      <c r="H361" s="3">
        <f>IFERROR(INDEX('Tagging key'!D:D, MATCH(F361,'Tagging key'!C:C,0)),"")</f>
        <v>70</v>
      </c>
      <c r="I361" s="3">
        <f>IFERROR(INDEX('Tagging key'!E:E, MATCH(F361,'Tagging key'!C:C,0)),"")</f>
        <v>73</v>
      </c>
      <c r="J361" s="3">
        <f>IFERROR(INDEX('Tagging key'!F:F, MATCH(F361,'Tagging key'!C:C,0)),"")</f>
        <v>18</v>
      </c>
      <c r="K361" s="3">
        <v>41.453000000000003</v>
      </c>
      <c r="L361" s="3">
        <v>70.28</v>
      </c>
      <c r="M361" s="3">
        <v>73.55</v>
      </c>
      <c r="N361" s="3">
        <v>19.48</v>
      </c>
      <c r="O361" s="3"/>
      <c r="P361" s="22">
        <v>45879</v>
      </c>
      <c r="Q361" s="22">
        <v>45879</v>
      </c>
      <c r="R361" s="3"/>
    </row>
    <row r="362" spans="1:19" hidden="1" x14ac:dyDescent="0.25">
      <c r="A362" s="13">
        <v>10</v>
      </c>
      <c r="B362" s="13">
        <v>9</v>
      </c>
      <c r="C362" s="13" t="s">
        <v>15</v>
      </c>
      <c r="D362" s="13" t="s">
        <v>72</v>
      </c>
      <c r="E362" s="13" t="s">
        <v>266</v>
      </c>
      <c r="F362" s="13" t="str">
        <f t="shared" si="2"/>
        <v>S_G36</v>
      </c>
      <c r="G362" s="3">
        <v>60.405999999999999</v>
      </c>
      <c r="H362" s="3">
        <f>IFERROR(INDEX('Tagging key'!D:D, MATCH(F362,'Tagging key'!C:C,0)),"")</f>
        <v>67.290000000000006</v>
      </c>
      <c r="I362" s="3">
        <f>IFERROR(INDEX('Tagging key'!E:E, MATCH(F362,'Tagging key'!C:C,0)),"")</f>
        <v>74.010000000000005</v>
      </c>
      <c r="J362" s="3">
        <f>IFERROR(INDEX('Tagging key'!F:F, MATCH(F362,'Tagging key'!C:C,0)),"")</f>
        <v>20.89</v>
      </c>
      <c r="K362" s="3">
        <v>55.905000000000001</v>
      </c>
      <c r="L362" s="3">
        <v>68.09</v>
      </c>
      <c r="M362" s="3">
        <v>76.64</v>
      </c>
      <c r="N362" s="3">
        <v>22.07</v>
      </c>
      <c r="O362" s="3"/>
      <c r="P362" s="22">
        <v>45886</v>
      </c>
      <c r="Q362" s="22">
        <v>45886</v>
      </c>
      <c r="R362" s="3"/>
    </row>
    <row r="363" spans="1:19" x14ac:dyDescent="0.25">
      <c r="A363" s="14">
        <v>11</v>
      </c>
      <c r="B363" s="14">
        <v>1</v>
      </c>
      <c r="C363" s="14" t="s">
        <v>248</v>
      </c>
      <c r="D363" s="14" t="s">
        <v>72</v>
      </c>
      <c r="E363" s="14" t="s">
        <v>88</v>
      </c>
      <c r="F363" s="14" t="str">
        <f t="shared" si="2"/>
        <v>S_G50</v>
      </c>
      <c r="G363" s="3">
        <v>45.994999999999997</v>
      </c>
      <c r="H363" s="3">
        <f>IFERROR(INDEX('Tagging key'!D:D, MATCH(F363,'Tagging key'!C:C,0)),"")</f>
        <v>76</v>
      </c>
      <c r="I363" s="3">
        <f>IFERROR(INDEX('Tagging key'!E:E, MATCH(F363,'Tagging key'!C:C,0)),"")</f>
        <v>74</v>
      </c>
      <c r="J363" s="3">
        <f>IFERROR(INDEX('Tagging key'!F:F, MATCH(F363,'Tagging key'!C:C,0)),"")</f>
        <v>16.54</v>
      </c>
      <c r="K363" s="3">
        <v>42.01</v>
      </c>
      <c r="L363" s="3">
        <v>75.5</v>
      </c>
      <c r="M363" s="3">
        <v>76.930000000000007</v>
      </c>
      <c r="N363" s="3">
        <v>17.66</v>
      </c>
      <c r="O363" s="3"/>
      <c r="P363" s="22">
        <v>45882</v>
      </c>
      <c r="Q363" s="22">
        <v>45882</v>
      </c>
      <c r="R363" s="3">
        <v>18.5</v>
      </c>
    </row>
    <row r="364" spans="1:19" hidden="1" x14ac:dyDescent="0.25">
      <c r="A364" s="14">
        <v>11</v>
      </c>
      <c r="B364" s="14">
        <v>1</v>
      </c>
      <c r="C364" s="14" t="s">
        <v>248</v>
      </c>
      <c r="D364" s="14" t="s">
        <v>72</v>
      </c>
      <c r="E364" s="14" t="s">
        <v>704</v>
      </c>
      <c r="F364" s="14" t="str">
        <f t="shared" si="2"/>
        <v>S_Y58</v>
      </c>
      <c r="G364" s="3">
        <v>58.204000000000001</v>
      </c>
      <c r="H364" s="3">
        <f>IFERROR(INDEX('Tagging key'!D:D, MATCH(F364,'Tagging key'!C:C,0)),"")</f>
        <v>68</v>
      </c>
      <c r="I364" s="3">
        <f>IFERROR(INDEX('Tagging key'!E:E, MATCH(F364,'Tagging key'!C:C,0)),"")</f>
        <v>77</v>
      </c>
      <c r="J364" s="3">
        <f>IFERROR(INDEX('Tagging key'!F:F, MATCH(F364,'Tagging key'!C:C,0)),"")</f>
        <v>22</v>
      </c>
      <c r="K364" s="3">
        <v>50.814</v>
      </c>
      <c r="L364" s="3">
        <v>65.739999999999995</v>
      </c>
      <c r="M364" s="3">
        <v>74.319999999999993</v>
      </c>
      <c r="N364" s="3">
        <v>18.04</v>
      </c>
      <c r="O364" s="3"/>
      <c r="P364" s="22">
        <v>45879</v>
      </c>
      <c r="Q364" s="22">
        <v>45879</v>
      </c>
      <c r="R364" s="3"/>
    </row>
    <row r="365" spans="1:19" hidden="1" x14ac:dyDescent="0.25">
      <c r="A365" s="14">
        <v>11</v>
      </c>
      <c r="B365" s="14">
        <v>1</v>
      </c>
      <c r="C365" s="14" t="s">
        <v>248</v>
      </c>
      <c r="D365" s="14" t="s">
        <v>72</v>
      </c>
      <c r="E365" s="14" t="s">
        <v>705</v>
      </c>
      <c r="F365" s="14" t="str">
        <f>LEFT(D365,1)&amp;"_"&amp;E365</f>
        <v>S_G68B</v>
      </c>
      <c r="G365" s="3">
        <v>45.335999999999999</v>
      </c>
      <c r="H365" s="3">
        <f>IFERROR(INDEX('Tagging key'!D:D, MATCH(F365,'Tagging key'!C:C,0)),"")</f>
        <v>73</v>
      </c>
      <c r="I365" s="3">
        <f>IFERROR(INDEX('Tagging key'!E:E, MATCH(F365,'Tagging key'!C:C,0)),"")</f>
        <v>72</v>
      </c>
      <c r="J365" s="3">
        <f>IFERROR(INDEX('Tagging key'!F:F, MATCH(F365,'Tagging key'!C:C,0)),"")</f>
        <v>19</v>
      </c>
      <c r="K365" s="3">
        <v>41.036000000000001</v>
      </c>
      <c r="L365" s="3">
        <v>74.290000000000006</v>
      </c>
      <c r="M365" s="3">
        <v>75.19</v>
      </c>
      <c r="N365" s="3">
        <v>18.97</v>
      </c>
      <c r="O365" s="3"/>
      <c r="P365" s="22">
        <v>45877</v>
      </c>
      <c r="Q365" s="22">
        <v>45877</v>
      </c>
      <c r="R365" s="3"/>
    </row>
    <row r="366" spans="1:19" hidden="1" x14ac:dyDescent="0.25">
      <c r="A366" s="14">
        <v>11</v>
      </c>
      <c r="B366" s="14">
        <v>1</v>
      </c>
      <c r="C366" s="14" t="s">
        <v>248</v>
      </c>
      <c r="D366" s="14" t="s">
        <v>72</v>
      </c>
      <c r="E366" s="14" t="s">
        <v>706</v>
      </c>
      <c r="F366" s="14" t="str">
        <f t="shared" si="2"/>
        <v>S_W78</v>
      </c>
      <c r="G366" s="3">
        <v>49.368000000000002</v>
      </c>
      <c r="H366" s="3">
        <f>IFERROR(INDEX('Tagging key'!D:D, MATCH(F366,'Tagging key'!C:C,0)),"")</f>
        <v>73</v>
      </c>
      <c r="I366" s="3">
        <f>IFERROR(INDEX('Tagging key'!E:E, MATCH(F366,'Tagging key'!C:C,0)),"")</f>
        <v>75</v>
      </c>
      <c r="J366" s="3">
        <f>IFERROR(INDEX('Tagging key'!F:F, MATCH(F366,'Tagging key'!C:C,0)),"")</f>
        <v>19</v>
      </c>
      <c r="K366" s="3">
        <v>43.786000000000001</v>
      </c>
      <c r="L366" s="3">
        <v>72.44</v>
      </c>
      <c r="M366" s="3">
        <v>75.489999999999995</v>
      </c>
      <c r="N366" s="3">
        <v>19.64</v>
      </c>
      <c r="O366" s="3"/>
      <c r="P366" s="22">
        <v>45886</v>
      </c>
      <c r="Q366" s="22">
        <v>45886</v>
      </c>
      <c r="R366" s="3">
        <v>20.611999999999998</v>
      </c>
      <c r="S366" s="3">
        <v>20.696000000000002</v>
      </c>
    </row>
    <row r="367" spans="1:19" hidden="1" x14ac:dyDescent="0.25">
      <c r="A367" s="13">
        <v>11</v>
      </c>
      <c r="B367" s="13">
        <v>2</v>
      </c>
      <c r="C367" s="13" t="s">
        <v>248</v>
      </c>
      <c r="D367" s="13" t="s">
        <v>72</v>
      </c>
      <c r="E367" s="13" t="s">
        <v>707</v>
      </c>
      <c r="F367" s="13" t="str">
        <f t="shared" si="2"/>
        <v>S_G48</v>
      </c>
      <c r="G367" s="3">
        <v>68.605000000000004</v>
      </c>
      <c r="H367" s="3">
        <f>IFERROR(INDEX('Tagging key'!D:D, MATCH(F367,'Tagging key'!C:C,0)),"")</f>
        <v>78</v>
      </c>
      <c r="I367" s="3">
        <f>IFERROR(INDEX('Tagging key'!E:E, MATCH(F367,'Tagging key'!C:C,0)),"")</f>
        <v>79</v>
      </c>
      <c r="J367" s="3">
        <f>IFERROR(INDEX('Tagging key'!F:F, MATCH(F367,'Tagging key'!C:C,0)),"")</f>
        <v>19</v>
      </c>
      <c r="K367" s="3">
        <v>56.859000000000002</v>
      </c>
      <c r="L367" s="3">
        <v>77.98</v>
      </c>
      <c r="M367" s="3">
        <v>79.260000000000005</v>
      </c>
      <c r="N367" s="3">
        <v>21.65</v>
      </c>
      <c r="O367" s="3"/>
      <c r="P367" s="22">
        <v>45886</v>
      </c>
      <c r="Q367" s="22">
        <v>45886</v>
      </c>
      <c r="R367" s="3"/>
    </row>
    <row r="368" spans="1:19" hidden="1" x14ac:dyDescent="0.25">
      <c r="A368" s="13">
        <v>11</v>
      </c>
      <c r="B368" s="13">
        <v>2</v>
      </c>
      <c r="C368" s="13" t="s">
        <v>248</v>
      </c>
      <c r="D368" s="13" t="s">
        <v>72</v>
      </c>
      <c r="E368" s="13" t="s">
        <v>708</v>
      </c>
      <c r="F368" s="13" t="str">
        <f t="shared" si="2"/>
        <v>S_G6</v>
      </c>
      <c r="G368" s="3">
        <v>47.136000000000003</v>
      </c>
      <c r="H368" s="3">
        <f>IFERROR(INDEX('Tagging key'!D:D, MATCH(F368,'Tagging key'!C:C,0)),"")</f>
        <v>68.34</v>
      </c>
      <c r="I368" s="3">
        <f>IFERROR(INDEX('Tagging key'!E:E, MATCH(F368,'Tagging key'!C:C,0)),"")</f>
        <v>73.459999999999994</v>
      </c>
      <c r="J368" s="3">
        <f>IFERROR(INDEX('Tagging key'!F:F, MATCH(F368,'Tagging key'!C:C,0)),"")</f>
        <v>24.09</v>
      </c>
      <c r="K368" s="3">
        <v>44.261000000000003</v>
      </c>
      <c r="L368" s="3">
        <v>68.87</v>
      </c>
      <c r="M368" s="3">
        <v>74.39</v>
      </c>
      <c r="N368" s="3">
        <v>21.14</v>
      </c>
      <c r="O368" s="3"/>
      <c r="P368" s="22">
        <v>45877</v>
      </c>
      <c r="Q368" s="22">
        <v>45877</v>
      </c>
      <c r="R368" s="3"/>
    </row>
    <row r="369" spans="1:19" x14ac:dyDescent="0.25">
      <c r="A369" s="13">
        <v>11</v>
      </c>
      <c r="B369" s="13">
        <v>2</v>
      </c>
      <c r="C369" s="13" t="s">
        <v>248</v>
      </c>
      <c r="D369" s="13" t="s">
        <v>72</v>
      </c>
      <c r="E369" s="13" t="s">
        <v>709</v>
      </c>
      <c r="F369" s="13" t="str">
        <f t="shared" si="2"/>
        <v>S_W83</v>
      </c>
      <c r="G369" s="3">
        <v>55.182000000000002</v>
      </c>
      <c r="H369" s="3">
        <f>IFERROR(INDEX('Tagging key'!D:D, MATCH(F369,'Tagging key'!C:C,0)),"")</f>
        <v>75</v>
      </c>
      <c r="I369" s="3">
        <f>IFERROR(INDEX('Tagging key'!E:E, MATCH(F369,'Tagging key'!C:C,0)),"")</f>
        <v>78</v>
      </c>
      <c r="J369" s="3">
        <f>IFERROR(INDEX('Tagging key'!F:F, MATCH(F369,'Tagging key'!C:C,0)),"")</f>
        <v>22</v>
      </c>
      <c r="K369" s="3">
        <v>52.723999999999997</v>
      </c>
      <c r="L369" s="3">
        <v>75.040000000000006</v>
      </c>
      <c r="M369" s="3">
        <v>78.63</v>
      </c>
      <c r="N369" s="3">
        <v>22.69</v>
      </c>
      <c r="O369" s="3"/>
      <c r="P369" s="22">
        <v>45882</v>
      </c>
      <c r="Q369" s="22">
        <v>45882</v>
      </c>
      <c r="R369" s="3">
        <v>23.262</v>
      </c>
    </row>
    <row r="370" spans="1:19" hidden="1" x14ac:dyDescent="0.25">
      <c r="A370" s="13">
        <v>11</v>
      </c>
      <c r="B370" s="13">
        <v>2</v>
      </c>
      <c r="C370" s="13" t="s">
        <v>248</v>
      </c>
      <c r="D370" s="13" t="s">
        <v>72</v>
      </c>
      <c r="E370" s="13" t="s">
        <v>710</v>
      </c>
      <c r="F370" s="13" t="str">
        <f t="shared" si="2"/>
        <v>S_Y21</v>
      </c>
      <c r="G370" s="3">
        <v>68.784999999999997</v>
      </c>
      <c r="H370" s="3">
        <f>IFERROR(INDEX('Tagging key'!D:D, MATCH(F370,'Tagging key'!C:C,0)),"")</f>
        <v>80</v>
      </c>
      <c r="I370" s="3">
        <f>IFERROR(INDEX('Tagging key'!E:E, MATCH(F370,'Tagging key'!C:C,0)),"")</f>
        <v>81</v>
      </c>
      <c r="J370" s="3">
        <f>IFERROR(INDEX('Tagging key'!F:F, MATCH(F370,'Tagging key'!C:C,0)),"")</f>
        <v>20</v>
      </c>
      <c r="K370" s="3">
        <v>61.932000000000002</v>
      </c>
      <c r="L370" s="3">
        <v>76.09</v>
      </c>
      <c r="M370" s="3">
        <v>76.930000000000007</v>
      </c>
      <c r="N370" s="3">
        <v>17.100000000000001</v>
      </c>
      <c r="O370" s="3"/>
      <c r="P370" s="22">
        <v>45879</v>
      </c>
      <c r="Q370" s="22">
        <v>45879</v>
      </c>
      <c r="R370" s="3"/>
    </row>
    <row r="371" spans="1:19" hidden="1" x14ac:dyDescent="0.25">
      <c r="A371" s="14">
        <v>11</v>
      </c>
      <c r="B371" s="14">
        <v>3</v>
      </c>
      <c r="C371" s="14" t="s">
        <v>248</v>
      </c>
      <c r="D371" s="14" t="s">
        <v>72</v>
      </c>
      <c r="E371" s="14" t="s">
        <v>646</v>
      </c>
      <c r="F371" s="14" t="str">
        <f t="shared" si="2"/>
        <v>S_G38</v>
      </c>
      <c r="G371" s="3">
        <v>68.766999999999996</v>
      </c>
      <c r="H371" s="3">
        <f>IFERROR(INDEX('Tagging key'!D:D, MATCH(F371,'Tagging key'!C:C,0)),"")</f>
        <v>77.010000000000005</v>
      </c>
      <c r="I371" s="3">
        <f>IFERROR(INDEX('Tagging key'!E:E, MATCH(F371,'Tagging key'!C:C,0)),"")</f>
        <v>83.7</v>
      </c>
      <c r="J371" s="3">
        <f>IFERROR(INDEX('Tagging key'!F:F, MATCH(F371,'Tagging key'!C:C,0)),"")</f>
        <v>20.78</v>
      </c>
      <c r="K371" s="3">
        <v>65.067999999999998</v>
      </c>
      <c r="L371" s="3">
        <v>78.44</v>
      </c>
      <c r="M371" s="3">
        <v>86.1</v>
      </c>
      <c r="N371" s="3">
        <v>23.27</v>
      </c>
      <c r="O371" s="3"/>
      <c r="P371" s="22">
        <v>45877</v>
      </c>
      <c r="Q371" s="22">
        <v>45877</v>
      </c>
      <c r="R371" s="3"/>
    </row>
    <row r="372" spans="1:19" hidden="1" x14ac:dyDescent="0.25">
      <c r="A372" s="14">
        <v>11</v>
      </c>
      <c r="B372" s="14">
        <v>3</v>
      </c>
      <c r="C372" s="14" t="s">
        <v>248</v>
      </c>
      <c r="D372" s="14" t="s">
        <v>72</v>
      </c>
      <c r="E372" s="14" t="s">
        <v>711</v>
      </c>
      <c r="F372" s="14" t="str">
        <f t="shared" si="2"/>
        <v>S_Y4</v>
      </c>
      <c r="G372" s="3">
        <v>61.329000000000001</v>
      </c>
      <c r="H372" s="3">
        <f>IFERROR(INDEX('Tagging key'!D:D, MATCH(F372,'Tagging key'!C:C,0)),"")</f>
        <v>73.5</v>
      </c>
      <c r="I372" s="3">
        <f>IFERROR(INDEX('Tagging key'!E:E, MATCH(F372,'Tagging key'!C:C,0)),"")</f>
        <v>78</v>
      </c>
      <c r="J372" s="3">
        <f>IFERROR(INDEX('Tagging key'!F:F, MATCH(F372,'Tagging key'!C:C,0)),"")</f>
        <v>23</v>
      </c>
      <c r="K372" s="3">
        <v>59.087000000000003</v>
      </c>
      <c r="L372" s="3">
        <v>76.75</v>
      </c>
      <c r="M372" s="3">
        <v>79.650000000000006</v>
      </c>
      <c r="N372" s="3">
        <v>17.54</v>
      </c>
      <c r="O372" s="3"/>
      <c r="P372" s="22">
        <v>45879</v>
      </c>
      <c r="Q372" s="22">
        <v>45879</v>
      </c>
      <c r="R372" s="3"/>
    </row>
    <row r="373" spans="1:19" hidden="1" x14ac:dyDescent="0.25">
      <c r="A373" s="14">
        <v>11</v>
      </c>
      <c r="B373" s="14">
        <v>3</v>
      </c>
      <c r="C373" s="14" t="s">
        <v>248</v>
      </c>
      <c r="D373" s="14" t="s">
        <v>72</v>
      </c>
      <c r="E373" s="14" t="s">
        <v>632</v>
      </c>
      <c r="F373" s="14" t="str">
        <f t="shared" si="2"/>
        <v>S_G28</v>
      </c>
      <c r="G373" s="3">
        <v>53.067</v>
      </c>
      <c r="H373" s="3">
        <f>IFERROR(INDEX('Tagging key'!D:D, MATCH(F373,'Tagging key'!C:C,0)),"")</f>
        <v>72.06</v>
      </c>
      <c r="I373" s="3">
        <f>IFERROR(INDEX('Tagging key'!E:E, MATCH(F373,'Tagging key'!C:C,0)),"")</f>
        <v>75.62</v>
      </c>
      <c r="J373" s="3">
        <f>IFERROR(INDEX('Tagging key'!F:F, MATCH(F373,'Tagging key'!C:C,0)),"")</f>
        <v>18.22</v>
      </c>
      <c r="K373" s="3">
        <v>44.121000000000002</v>
      </c>
      <c r="L373" s="3">
        <v>72.98</v>
      </c>
      <c r="M373" s="3">
        <v>77.959999999999994</v>
      </c>
      <c r="N373" s="3">
        <v>20.55</v>
      </c>
      <c r="O373" s="3"/>
      <c r="P373" s="22">
        <v>45886</v>
      </c>
      <c r="Q373" s="22">
        <v>45886</v>
      </c>
      <c r="R373" s="3">
        <v>22.6</v>
      </c>
    </row>
    <row r="374" spans="1:19" x14ac:dyDescent="0.25">
      <c r="A374" s="14">
        <v>11</v>
      </c>
      <c r="B374" s="14">
        <v>3</v>
      </c>
      <c r="C374" s="14" t="s">
        <v>248</v>
      </c>
      <c r="D374" s="14" t="s">
        <v>72</v>
      </c>
      <c r="E374" s="14" t="s">
        <v>580</v>
      </c>
      <c r="F374" s="14" t="str">
        <f t="shared" si="2"/>
        <v>S_G7</v>
      </c>
      <c r="G374" s="3">
        <v>63.747999999999998</v>
      </c>
      <c r="H374" s="3">
        <f>IFERROR(INDEX('Tagging key'!D:D, MATCH(F374,'Tagging key'!C:C,0)),"")</f>
        <v>77.39</v>
      </c>
      <c r="I374" s="3">
        <f>IFERROR(INDEX('Tagging key'!E:E, MATCH(F374,'Tagging key'!C:C,0)),"")</f>
        <v>81.28</v>
      </c>
      <c r="J374" s="3">
        <f>IFERROR(INDEX('Tagging key'!F:F, MATCH(F374,'Tagging key'!C:C,0)),"")</f>
        <v>23.37</v>
      </c>
      <c r="K374" s="3">
        <v>57.655999999999999</v>
      </c>
      <c r="L374" s="3">
        <v>80.73</v>
      </c>
      <c r="M374" s="3">
        <v>82.24</v>
      </c>
      <c r="N374" s="3">
        <v>20.14</v>
      </c>
      <c r="O374" s="3"/>
      <c r="P374" s="22">
        <v>45882</v>
      </c>
      <c r="Q374" s="22">
        <v>45882</v>
      </c>
      <c r="R374" s="3">
        <v>24.283999999999999</v>
      </c>
    </row>
    <row r="375" spans="1:19" x14ac:dyDescent="0.25">
      <c r="A375" s="11">
        <v>11</v>
      </c>
      <c r="B375" s="11">
        <v>4</v>
      </c>
      <c r="C375" s="11" t="s">
        <v>248</v>
      </c>
      <c r="D375" s="11" t="s">
        <v>46</v>
      </c>
      <c r="E375" s="11" t="s">
        <v>544</v>
      </c>
      <c r="F375" s="11" t="s">
        <v>712</v>
      </c>
      <c r="G375" s="3">
        <v>42.048999999999999</v>
      </c>
      <c r="H375" s="3">
        <f>IFERROR(INDEX('Tagging key'!D:D, MATCH(F375,'Tagging key'!C:C,0)),"")</f>
        <v>74.010000000000005</v>
      </c>
      <c r="I375" s="3">
        <f>IFERROR(INDEX('Tagging key'!E:E, MATCH(F375,'Tagging key'!C:C,0)),"")</f>
        <v>37.299999999999997</v>
      </c>
      <c r="J375" s="3">
        <f>IFERROR(INDEX('Tagging key'!F:F, MATCH(F375,'Tagging key'!C:C,0)),"")</f>
        <v>26.48</v>
      </c>
      <c r="K375" s="3">
        <v>42.223999999999997</v>
      </c>
      <c r="L375" s="3">
        <v>72.97</v>
      </c>
      <c r="M375" s="3">
        <v>36.409999999999997</v>
      </c>
      <c r="N375" s="3">
        <v>27.03</v>
      </c>
      <c r="O375" s="3"/>
      <c r="P375" s="22">
        <v>45882</v>
      </c>
      <c r="Q375" s="22">
        <v>45882</v>
      </c>
      <c r="R375" s="3">
        <v>19.561</v>
      </c>
    </row>
    <row r="376" spans="1:19" hidden="1" x14ac:dyDescent="0.25">
      <c r="A376" s="11">
        <v>11</v>
      </c>
      <c r="B376" s="11">
        <v>4</v>
      </c>
      <c r="C376" s="11" t="s">
        <v>248</v>
      </c>
      <c r="D376" s="11" t="s">
        <v>46</v>
      </c>
      <c r="E376" s="11" t="s">
        <v>713</v>
      </c>
      <c r="F376" s="11" t="s">
        <v>714</v>
      </c>
      <c r="G376" s="3">
        <v>48.884</v>
      </c>
      <c r="H376" s="3">
        <f>IFERROR(INDEX('Tagging key'!D:D, MATCH(F376,'Tagging key'!C:C,0)),"")</f>
        <v>82.12</v>
      </c>
      <c r="I376" s="3">
        <f>IFERROR(INDEX('Tagging key'!E:E, MATCH(F376,'Tagging key'!C:C,0)),"")</f>
        <v>42.35</v>
      </c>
      <c r="J376" s="3">
        <f>IFERROR(INDEX('Tagging key'!F:F, MATCH(F376,'Tagging key'!C:C,0)),"")</f>
        <v>30.29</v>
      </c>
      <c r="K376" s="3">
        <v>49.222999999999999</v>
      </c>
      <c r="L376" s="3">
        <v>83</v>
      </c>
      <c r="M376" s="3">
        <v>37.83</v>
      </c>
      <c r="N376" s="3">
        <v>30.13</v>
      </c>
      <c r="O376" s="3"/>
      <c r="P376" s="22">
        <v>45877</v>
      </c>
      <c r="Q376" s="22">
        <v>45877</v>
      </c>
      <c r="R376" s="3"/>
    </row>
    <row r="377" spans="1:19" hidden="1" x14ac:dyDescent="0.25">
      <c r="A377" s="11">
        <v>11</v>
      </c>
      <c r="B377" s="11">
        <v>4</v>
      </c>
      <c r="C377" s="11" t="s">
        <v>248</v>
      </c>
      <c r="D377" s="11" t="s">
        <v>46</v>
      </c>
      <c r="E377" s="11" t="s">
        <v>715</v>
      </c>
      <c r="F377" s="11" t="s">
        <v>716</v>
      </c>
      <c r="G377" s="3">
        <v>25.257000000000001</v>
      </c>
      <c r="H377" s="3">
        <f>IFERROR(INDEX('Tagging key'!D:D, MATCH(F377,'Tagging key'!C:C,0)),"")</f>
        <v>63.98</v>
      </c>
      <c r="I377" s="3">
        <f>IFERROR(INDEX('Tagging key'!E:E, MATCH(F377,'Tagging key'!C:C,0)),"")</f>
        <v>32.6</v>
      </c>
      <c r="J377" s="3">
        <f>IFERROR(INDEX('Tagging key'!F:F, MATCH(F377,'Tagging key'!C:C,0)),"")</f>
        <v>23.39</v>
      </c>
      <c r="K377" s="3">
        <v>25.736999999999998</v>
      </c>
      <c r="L377" s="3">
        <v>64.3</v>
      </c>
      <c r="M377" s="3">
        <v>32.5</v>
      </c>
      <c r="N377" s="3">
        <v>24.84</v>
      </c>
      <c r="O377" s="3"/>
      <c r="P377" s="22">
        <v>45879</v>
      </c>
      <c r="Q377" s="22">
        <v>45879</v>
      </c>
      <c r="R377" s="3"/>
    </row>
    <row r="378" spans="1:19" hidden="1" x14ac:dyDescent="0.25">
      <c r="A378" s="11">
        <v>11</v>
      </c>
      <c r="B378" s="11">
        <v>4</v>
      </c>
      <c r="C378" s="11" t="s">
        <v>248</v>
      </c>
      <c r="D378" s="11" t="s">
        <v>46</v>
      </c>
      <c r="E378" s="11" t="s">
        <v>355</v>
      </c>
      <c r="F378" s="11" t="s">
        <v>717</v>
      </c>
      <c r="G378" s="3">
        <v>38.506999999999998</v>
      </c>
      <c r="H378" s="3">
        <f>IFERROR(INDEX('Tagging key'!D:D, MATCH(F378,'Tagging key'!C:C,0)),"")</f>
        <v>71</v>
      </c>
      <c r="I378" s="3">
        <f>IFERROR(INDEX('Tagging key'!E:E, MATCH(F378,'Tagging key'!C:C,0)),"")</f>
        <v>38</v>
      </c>
      <c r="J378" s="3">
        <f>IFERROR(INDEX('Tagging key'!F:F, MATCH(F378,'Tagging key'!C:C,0)),"")</f>
        <v>24</v>
      </c>
      <c r="K378" s="3">
        <v>37.649000000000001</v>
      </c>
      <c r="L378" s="3">
        <v>71.61</v>
      </c>
      <c r="M378" s="3">
        <v>37.549999999999997</v>
      </c>
      <c r="N378" s="3">
        <v>24.98</v>
      </c>
      <c r="O378" s="3"/>
      <c r="P378" s="22">
        <v>45886</v>
      </c>
      <c r="Q378" s="22">
        <v>45886</v>
      </c>
      <c r="R378" s="3"/>
      <c r="S378" t="s">
        <v>718</v>
      </c>
    </row>
    <row r="379" spans="1:19" x14ac:dyDescent="0.25">
      <c r="A379" s="12">
        <v>11</v>
      </c>
      <c r="B379" s="12">
        <v>5</v>
      </c>
      <c r="C379" s="12" t="s">
        <v>248</v>
      </c>
      <c r="D379" s="12" t="s">
        <v>46</v>
      </c>
      <c r="E379" s="12" t="s">
        <v>546</v>
      </c>
      <c r="F379" s="12" t="s">
        <v>719</v>
      </c>
      <c r="G379" s="3">
        <v>37.491</v>
      </c>
      <c r="H379" s="3">
        <f>IFERROR(INDEX('Tagging key'!D:D, MATCH(F379,'Tagging key'!C:C,0)),"")</f>
        <v>72.34</v>
      </c>
      <c r="I379" s="3">
        <f>IFERROR(INDEX('Tagging key'!E:E, MATCH(F379,'Tagging key'!C:C,0)),"")</f>
        <v>45.01</v>
      </c>
      <c r="J379" s="3">
        <f>IFERROR(INDEX('Tagging key'!F:F, MATCH(F379,'Tagging key'!C:C,0)),"")</f>
        <v>26.78</v>
      </c>
      <c r="K379" s="3">
        <v>38.015000000000001</v>
      </c>
      <c r="L379" s="3">
        <v>73.02</v>
      </c>
      <c r="M379" s="3">
        <v>39.700000000000003</v>
      </c>
      <c r="N379" s="3">
        <v>27.59</v>
      </c>
      <c r="O379" s="3"/>
      <c r="P379" s="22">
        <v>45882</v>
      </c>
      <c r="Q379" s="22">
        <v>45882</v>
      </c>
      <c r="R379" s="3"/>
    </row>
    <row r="380" spans="1:19" hidden="1" x14ac:dyDescent="0.25">
      <c r="A380" s="12">
        <v>11</v>
      </c>
      <c r="B380" s="12">
        <v>5</v>
      </c>
      <c r="C380" s="12" t="s">
        <v>248</v>
      </c>
      <c r="D380" s="12" t="s">
        <v>46</v>
      </c>
      <c r="E380" s="12" t="s">
        <v>720</v>
      </c>
      <c r="F380" s="12" t="s">
        <v>721</v>
      </c>
      <c r="G380" s="3">
        <v>35.203000000000003</v>
      </c>
      <c r="H380" s="3">
        <f>IFERROR(INDEX('Tagging key'!D:D, MATCH(F380,'Tagging key'!C:C,0)),"")</f>
        <v>73.41</v>
      </c>
      <c r="I380" s="3">
        <f>IFERROR(INDEX('Tagging key'!E:E, MATCH(F380,'Tagging key'!C:C,0)),"")</f>
        <v>38.25</v>
      </c>
      <c r="J380" s="3">
        <f>IFERROR(INDEX('Tagging key'!F:F, MATCH(F380,'Tagging key'!C:C,0)),"")</f>
        <v>28.91</v>
      </c>
      <c r="K380" s="3">
        <v>35.380000000000003</v>
      </c>
      <c r="L380" s="3">
        <v>73.72</v>
      </c>
      <c r="M380" s="3">
        <v>33.79</v>
      </c>
      <c r="N380" s="3">
        <v>29.65</v>
      </c>
      <c r="O380" s="3"/>
      <c r="P380" s="22">
        <v>45877</v>
      </c>
      <c r="Q380" s="22">
        <v>45877</v>
      </c>
      <c r="R380" s="3"/>
    </row>
    <row r="381" spans="1:19" x14ac:dyDescent="0.25">
      <c r="A381" s="19">
        <v>11</v>
      </c>
      <c r="B381" s="19">
        <v>5</v>
      </c>
      <c r="C381" s="19" t="s">
        <v>248</v>
      </c>
      <c r="D381" s="19" t="s">
        <v>46</v>
      </c>
      <c r="E381" s="19" t="s">
        <v>722</v>
      </c>
      <c r="F381" s="19" t="s">
        <v>723</v>
      </c>
      <c r="G381" s="19">
        <v>28.233000000000001</v>
      </c>
      <c r="H381" s="19">
        <f>IFERROR(INDEX('Tagging key'!D:D, MATCH(F381,'Tagging key'!C:C,0)),"")</f>
        <v>64.3</v>
      </c>
      <c r="I381" s="19">
        <f>IFERROR(INDEX('Tagging key'!E:E, MATCH(F381,'Tagging key'!C:C,0)),"")</f>
        <v>39.22</v>
      </c>
      <c r="J381" s="19">
        <f>IFERROR(INDEX('Tagging key'!F:F, MATCH(F381,'Tagging key'!C:C,0)),"")</f>
        <v>23.43</v>
      </c>
      <c r="K381" s="19"/>
      <c r="L381" s="19"/>
      <c r="M381" s="19"/>
      <c r="N381" s="19"/>
      <c r="O381" s="19"/>
      <c r="P381" s="19"/>
      <c r="Q381" s="19"/>
      <c r="R381" s="19"/>
      <c r="S381" t="s">
        <v>412</v>
      </c>
    </row>
    <row r="382" spans="1:19" hidden="1" x14ac:dyDescent="0.25">
      <c r="A382" s="12">
        <v>11</v>
      </c>
      <c r="B382" s="12">
        <v>5</v>
      </c>
      <c r="C382" s="12" t="s">
        <v>248</v>
      </c>
      <c r="D382" s="12" t="s">
        <v>46</v>
      </c>
      <c r="E382" s="12" t="s">
        <v>533</v>
      </c>
      <c r="F382" s="12" t="s">
        <v>724</v>
      </c>
      <c r="G382" s="3">
        <v>22.402999999999999</v>
      </c>
      <c r="H382" s="3">
        <f>IFERROR(INDEX('Tagging key'!D:D, MATCH(F382,'Tagging key'!C:C,0)),"")</f>
        <v>63.23</v>
      </c>
      <c r="I382" s="3">
        <f>IFERROR(INDEX('Tagging key'!E:E, MATCH(F382,'Tagging key'!C:C,0)),"")</f>
        <v>34.32</v>
      </c>
      <c r="J382" s="3">
        <f>IFERROR(INDEX('Tagging key'!F:F, MATCH(F382,'Tagging key'!C:C,0)),"")</f>
        <v>22.43</v>
      </c>
      <c r="K382" s="3">
        <v>22.869</v>
      </c>
      <c r="L382" s="3">
        <v>62.55</v>
      </c>
      <c r="M382" s="3">
        <v>31.57</v>
      </c>
      <c r="N382" s="3">
        <v>22.34</v>
      </c>
      <c r="O382" s="3"/>
      <c r="P382" s="22">
        <v>45879</v>
      </c>
      <c r="Q382" s="22">
        <v>45879</v>
      </c>
      <c r="R382" s="3"/>
    </row>
    <row r="383" spans="1:19" hidden="1" x14ac:dyDescent="0.25">
      <c r="A383" s="11">
        <v>11</v>
      </c>
      <c r="B383" s="11">
        <v>6</v>
      </c>
      <c r="C383" s="11" t="s">
        <v>248</v>
      </c>
      <c r="D383" s="11" t="s">
        <v>46</v>
      </c>
      <c r="E383" s="11" t="s">
        <v>725</v>
      </c>
      <c r="F383" s="11" t="s">
        <v>726</v>
      </c>
      <c r="G383" s="3">
        <v>22.827000000000002</v>
      </c>
      <c r="H383" s="3">
        <f>IFERROR(INDEX('Tagging key'!D:D, MATCH(F383,'Tagging key'!C:C,0)),"")</f>
        <v>60.95</v>
      </c>
      <c r="I383" s="3">
        <f>IFERROR(INDEX('Tagging key'!E:E, MATCH(F383,'Tagging key'!C:C,0)),"")</f>
        <v>35.32</v>
      </c>
      <c r="J383" s="3">
        <f>IFERROR(INDEX('Tagging key'!F:F, MATCH(F383,'Tagging key'!C:C,0)),"")</f>
        <v>22.89</v>
      </c>
      <c r="K383" s="3">
        <v>23.562000000000001</v>
      </c>
      <c r="L383" s="3">
        <v>61.1</v>
      </c>
      <c r="M383" s="3">
        <v>32.770000000000003</v>
      </c>
      <c r="N383" s="3">
        <v>23.62</v>
      </c>
      <c r="O383" s="3"/>
      <c r="P383" s="22">
        <v>45879</v>
      </c>
      <c r="Q383" s="22">
        <v>45879</v>
      </c>
      <c r="R383" s="3"/>
    </row>
    <row r="384" spans="1:19" hidden="1" x14ac:dyDescent="0.25">
      <c r="A384" s="11">
        <v>11</v>
      </c>
      <c r="B384" s="11">
        <v>6</v>
      </c>
      <c r="C384" s="11" t="s">
        <v>248</v>
      </c>
      <c r="D384" s="11" t="s">
        <v>46</v>
      </c>
      <c r="E384" s="11" t="s">
        <v>727</v>
      </c>
      <c r="F384" s="11" t="s">
        <v>728</v>
      </c>
      <c r="G384" s="3">
        <v>64.847999999999999</v>
      </c>
      <c r="H384" s="3">
        <f>IFERROR(INDEX('Tagging key'!D:D, MATCH(F384,'Tagging key'!C:C,0)),"")</f>
        <v>83.59</v>
      </c>
      <c r="I384" s="3">
        <f>IFERROR(INDEX('Tagging key'!E:E, MATCH(F384,'Tagging key'!C:C,0)),"")</f>
        <v>46.44</v>
      </c>
      <c r="J384" s="3">
        <f>IFERROR(INDEX('Tagging key'!F:F, MATCH(F384,'Tagging key'!C:C,0)),"")</f>
        <v>33.61</v>
      </c>
      <c r="K384" s="3">
        <v>65.465999999999994</v>
      </c>
      <c r="L384" s="3">
        <v>82.58</v>
      </c>
      <c r="M384" s="3">
        <v>43.6</v>
      </c>
      <c r="N384" s="3">
        <v>33.75</v>
      </c>
      <c r="O384" s="3"/>
      <c r="P384" s="22">
        <v>45886</v>
      </c>
      <c r="Q384" s="22">
        <v>45886</v>
      </c>
      <c r="R384" s="3"/>
    </row>
    <row r="385" spans="1:19" x14ac:dyDescent="0.25">
      <c r="A385" s="11">
        <v>11</v>
      </c>
      <c r="B385" s="11">
        <v>6</v>
      </c>
      <c r="C385" s="11" t="s">
        <v>248</v>
      </c>
      <c r="D385" s="11" t="s">
        <v>46</v>
      </c>
      <c r="E385" s="11" t="s">
        <v>108</v>
      </c>
      <c r="F385" s="11" t="s">
        <v>729</v>
      </c>
      <c r="G385" s="3">
        <v>56.853000000000002</v>
      </c>
      <c r="H385" s="3">
        <f>IFERROR(INDEX('Tagging key'!D:D, MATCH(F385,'Tagging key'!C:C,0)),"")</f>
        <v>84</v>
      </c>
      <c r="I385" s="3">
        <f>IFERROR(INDEX('Tagging key'!E:E, MATCH(F385,'Tagging key'!C:C,0)),"")</f>
        <v>40</v>
      </c>
      <c r="J385" s="3">
        <f>IFERROR(INDEX('Tagging key'!F:F, MATCH(F385,'Tagging key'!C:C,0)),"")</f>
        <v>30</v>
      </c>
      <c r="K385" s="3">
        <v>57.484000000000002</v>
      </c>
      <c r="L385" s="3">
        <v>85.19</v>
      </c>
      <c r="M385" s="3">
        <v>41.39</v>
      </c>
      <c r="N385" s="3">
        <v>30.03</v>
      </c>
      <c r="O385" s="3"/>
      <c r="P385" s="22">
        <v>45882</v>
      </c>
      <c r="Q385" s="22">
        <v>45882</v>
      </c>
      <c r="R385" s="3">
        <v>20.184000000000001</v>
      </c>
    </row>
    <row r="386" spans="1:19" hidden="1" x14ac:dyDescent="0.25">
      <c r="A386" s="11">
        <v>11</v>
      </c>
      <c r="B386" s="11">
        <v>6</v>
      </c>
      <c r="C386" s="11" t="s">
        <v>248</v>
      </c>
      <c r="D386" s="11" t="s">
        <v>46</v>
      </c>
      <c r="E386" s="11" t="s">
        <v>44</v>
      </c>
      <c r="F386" s="11" t="s">
        <v>730</v>
      </c>
      <c r="G386" s="3">
        <v>47.825000000000003</v>
      </c>
      <c r="H386" s="3">
        <f>IFERROR(INDEX('Tagging key'!D:D, MATCH(F386,'Tagging key'!C:C,0)),"")</f>
        <v>78</v>
      </c>
      <c r="I386" s="3">
        <f>IFERROR(INDEX('Tagging key'!E:E, MATCH(F386,'Tagging key'!C:C,0)),"")</f>
        <v>40</v>
      </c>
      <c r="J386" s="3">
        <f>IFERROR(INDEX('Tagging key'!F:F, MATCH(F386,'Tagging key'!C:C,0)),"")</f>
        <v>29</v>
      </c>
      <c r="K386" s="3">
        <v>49.110999999999997</v>
      </c>
      <c r="L386" s="3">
        <v>79.319999999999993</v>
      </c>
      <c r="M386" s="3">
        <v>40.549999999999997</v>
      </c>
      <c r="N386" s="3">
        <v>30.15</v>
      </c>
      <c r="O386" s="3"/>
      <c r="P386" s="22">
        <v>45877</v>
      </c>
      <c r="Q386" s="22">
        <v>45877</v>
      </c>
      <c r="R386" s="3"/>
    </row>
    <row r="387" spans="1:19" hidden="1" x14ac:dyDescent="0.25">
      <c r="A387" s="8">
        <v>11</v>
      </c>
      <c r="B387" s="8">
        <v>7</v>
      </c>
      <c r="C387" s="8" t="s">
        <v>248</v>
      </c>
      <c r="D387" s="8" t="s">
        <v>16</v>
      </c>
      <c r="E387" s="8" t="s">
        <v>731</v>
      </c>
      <c r="F387" s="8" t="s">
        <v>732</v>
      </c>
      <c r="G387" s="3">
        <v>30.584</v>
      </c>
      <c r="H387" s="3">
        <f>IFERROR(INDEX('Tagging key'!D:D, MATCH(F387,'Tagging key'!C:C,0)),"")</f>
        <v>66.900000000000006</v>
      </c>
      <c r="I387" s="3">
        <f>IFERROR(INDEX('Tagging key'!E:E, MATCH(F387,'Tagging key'!C:C,0)),"")</f>
        <v>40</v>
      </c>
      <c r="J387" s="3">
        <f>IFERROR(INDEX('Tagging key'!F:F, MATCH(F387,'Tagging key'!C:C,0)),"")</f>
        <v>24.3</v>
      </c>
      <c r="K387" s="3">
        <v>30.344999999999999</v>
      </c>
      <c r="L387" s="3">
        <v>68.36</v>
      </c>
      <c r="M387" s="3">
        <v>39.799999999999997</v>
      </c>
      <c r="N387" s="3">
        <v>23.95</v>
      </c>
      <c r="O387" s="3"/>
      <c r="P387" s="22">
        <v>45877</v>
      </c>
      <c r="Q387" s="22">
        <v>45877</v>
      </c>
      <c r="R387" s="3"/>
    </row>
    <row r="388" spans="1:19" hidden="1" x14ac:dyDescent="0.25">
      <c r="A388" s="8">
        <v>11</v>
      </c>
      <c r="B388" s="8">
        <v>7</v>
      </c>
      <c r="C388" s="8" t="s">
        <v>248</v>
      </c>
      <c r="D388" s="8" t="s">
        <v>16</v>
      </c>
      <c r="E388" s="8" t="s">
        <v>733</v>
      </c>
      <c r="F388" s="8" t="s">
        <v>734</v>
      </c>
      <c r="G388" s="3">
        <v>29.05</v>
      </c>
      <c r="H388" s="3">
        <f>IFERROR(INDEX('Tagging key'!D:D, MATCH(F388,'Tagging key'!C:C,0)),"")</f>
        <v>66.930000000000007</v>
      </c>
      <c r="I388" s="3">
        <f>IFERROR(INDEX('Tagging key'!E:E, MATCH(F388,'Tagging key'!C:C,0)),"")</f>
        <v>47.62</v>
      </c>
      <c r="J388" s="3">
        <f>IFERROR(INDEX('Tagging key'!F:F, MATCH(F388,'Tagging key'!C:C,0)),"")</f>
        <v>20.37</v>
      </c>
      <c r="K388" s="3">
        <v>28.771000000000001</v>
      </c>
      <c r="L388" s="3">
        <v>67.5</v>
      </c>
      <c r="M388" s="3">
        <v>42.44</v>
      </c>
      <c r="N388" s="3">
        <v>18.489999999999998</v>
      </c>
      <c r="O388" s="3"/>
      <c r="P388" s="22">
        <v>45879</v>
      </c>
      <c r="Q388" s="22">
        <v>45879</v>
      </c>
      <c r="R388" s="3"/>
    </row>
    <row r="389" spans="1:19" x14ac:dyDescent="0.25">
      <c r="A389" s="8">
        <v>11</v>
      </c>
      <c r="B389" s="8">
        <v>7</v>
      </c>
      <c r="C389" s="8" t="s">
        <v>248</v>
      </c>
      <c r="D389" s="8" t="s">
        <v>16</v>
      </c>
      <c r="E389" s="8" t="s">
        <v>735</v>
      </c>
      <c r="F389" s="8" t="s">
        <v>736</v>
      </c>
      <c r="G389" s="3">
        <v>30.402999999999999</v>
      </c>
      <c r="H389" s="3">
        <f>IFERROR(INDEX('Tagging key'!D:D, MATCH(F389,'Tagging key'!C:C,0)),"")</f>
        <v>69.760000000000005</v>
      </c>
      <c r="I389" s="3">
        <f>IFERROR(INDEX('Tagging key'!E:E, MATCH(F389,'Tagging key'!C:C,0)),"")</f>
        <v>50.61</v>
      </c>
      <c r="J389" s="3">
        <f>IFERROR(INDEX('Tagging key'!F:F, MATCH(F389,'Tagging key'!C:C,0)),"")</f>
        <v>13.99</v>
      </c>
      <c r="K389" s="3">
        <v>29.72</v>
      </c>
      <c r="L389" s="3">
        <v>70.66</v>
      </c>
      <c r="M389" s="3">
        <v>48.88</v>
      </c>
      <c r="N389" s="3">
        <v>15.76</v>
      </c>
      <c r="O389" s="3"/>
      <c r="P389" s="22">
        <v>45882</v>
      </c>
      <c r="Q389" s="22">
        <v>45882</v>
      </c>
      <c r="R389" s="3">
        <v>18.98</v>
      </c>
    </row>
    <row r="390" spans="1:19" hidden="1" x14ac:dyDescent="0.25">
      <c r="A390" s="8">
        <v>11</v>
      </c>
      <c r="B390" s="8">
        <v>7</v>
      </c>
      <c r="C390" s="8" t="s">
        <v>248</v>
      </c>
      <c r="D390" s="8" t="s">
        <v>16</v>
      </c>
      <c r="E390" s="8" t="s">
        <v>94</v>
      </c>
      <c r="F390" s="8" t="s">
        <v>737</v>
      </c>
      <c r="G390" s="3">
        <v>36.988</v>
      </c>
      <c r="H390" s="3">
        <f>IFERROR(INDEX('Tagging key'!D:D, MATCH(F390,'Tagging key'!C:C,0)),"")</f>
        <v>80.38</v>
      </c>
      <c r="I390" s="3">
        <f>IFERROR(INDEX('Tagging key'!E:E, MATCH(F390,'Tagging key'!C:C,0)),"")</f>
        <v>45.71</v>
      </c>
      <c r="J390" s="3">
        <f>IFERROR(INDEX('Tagging key'!F:F, MATCH(F390,'Tagging key'!C:C,0)),"")</f>
        <v>11.45</v>
      </c>
      <c r="K390" s="3">
        <v>36.555999999999997</v>
      </c>
      <c r="L390" s="3">
        <v>81.59</v>
      </c>
      <c r="M390" s="3">
        <v>44.27</v>
      </c>
      <c r="N390" s="3">
        <v>17.55</v>
      </c>
      <c r="O390" s="3"/>
      <c r="P390" s="22">
        <v>45886</v>
      </c>
      <c r="Q390" s="22">
        <v>45886</v>
      </c>
      <c r="R390" s="3"/>
    </row>
    <row r="391" spans="1:19" hidden="1" x14ac:dyDescent="0.25">
      <c r="A391" s="9">
        <v>11</v>
      </c>
      <c r="B391" s="9">
        <v>8</v>
      </c>
      <c r="C391" s="9" t="s">
        <v>248</v>
      </c>
      <c r="D391" s="9" t="s">
        <v>16</v>
      </c>
      <c r="E391" s="9" t="s">
        <v>608</v>
      </c>
      <c r="F391" s="9" t="s">
        <v>738</v>
      </c>
      <c r="G391" s="3">
        <v>31.457999999999998</v>
      </c>
      <c r="H391" s="3">
        <f>IFERROR(INDEX('Tagging key'!D:D, MATCH(F391,'Tagging key'!C:C,0)),"")</f>
        <v>69.650000000000006</v>
      </c>
      <c r="I391" s="3">
        <f>IFERROR(INDEX('Tagging key'!E:E, MATCH(F391,'Tagging key'!C:C,0)),"")</f>
        <v>48.23</v>
      </c>
      <c r="J391" s="3">
        <f>IFERROR(INDEX('Tagging key'!F:F, MATCH(F391,'Tagging key'!C:C,0)),"")</f>
        <v>18.21</v>
      </c>
      <c r="K391" s="3">
        <v>31.158999999999999</v>
      </c>
      <c r="L391" s="3">
        <v>70.77</v>
      </c>
      <c r="M391" s="3">
        <v>48.3</v>
      </c>
      <c r="N391" s="3">
        <v>18.239999999999998</v>
      </c>
      <c r="O391" s="3"/>
      <c r="P391" s="22">
        <v>45877</v>
      </c>
      <c r="Q391" s="22">
        <v>45877</v>
      </c>
      <c r="R391" s="3"/>
    </row>
    <row r="392" spans="1:19" hidden="1" x14ac:dyDescent="0.25">
      <c r="A392" s="9">
        <v>11</v>
      </c>
      <c r="B392" s="9">
        <v>8</v>
      </c>
      <c r="C392" s="9" t="s">
        <v>248</v>
      </c>
      <c r="D392" s="9" t="s">
        <v>16</v>
      </c>
      <c r="E392" s="9" t="s">
        <v>739</v>
      </c>
      <c r="F392" s="9" t="s">
        <v>740</v>
      </c>
      <c r="G392" s="3">
        <v>26.475999999999999</v>
      </c>
      <c r="H392" s="3">
        <f>IFERROR(INDEX('Tagging key'!D:D, MATCH(F392,'Tagging key'!C:C,0)),"")</f>
        <v>63.76</v>
      </c>
      <c r="I392" s="3">
        <f>IFERROR(INDEX('Tagging key'!E:E, MATCH(F392,'Tagging key'!C:C,0)),"")</f>
        <v>45.56</v>
      </c>
      <c r="J392" s="3">
        <f>IFERROR(INDEX('Tagging key'!F:F, MATCH(F392,'Tagging key'!C:C,0)),"")</f>
        <v>17.47</v>
      </c>
      <c r="K392" s="3">
        <v>26.19</v>
      </c>
      <c r="L392" s="3">
        <v>64.47</v>
      </c>
      <c r="M392" s="3">
        <v>38.119999999999997</v>
      </c>
      <c r="N392" s="3">
        <v>19.239999999999998</v>
      </c>
      <c r="O392" s="3"/>
      <c r="P392" s="22">
        <v>45879</v>
      </c>
      <c r="Q392" s="22">
        <v>45879</v>
      </c>
      <c r="R392" s="3"/>
      <c r="S392" t="s">
        <v>741</v>
      </c>
    </row>
    <row r="393" spans="1:19" x14ac:dyDescent="0.25">
      <c r="A393" s="9">
        <v>11</v>
      </c>
      <c r="B393" s="9">
        <v>8</v>
      </c>
      <c r="C393" s="9" t="s">
        <v>248</v>
      </c>
      <c r="D393" s="9" t="s">
        <v>16</v>
      </c>
      <c r="E393" s="9" t="s">
        <v>640</v>
      </c>
      <c r="F393" s="9" t="s">
        <v>742</v>
      </c>
      <c r="G393" s="3">
        <v>38.89</v>
      </c>
      <c r="H393" s="3">
        <f>IFERROR(INDEX('Tagging key'!D:D, MATCH(F393,'Tagging key'!C:C,0)),"")</f>
        <v>65.58</v>
      </c>
      <c r="I393" s="3">
        <f>IFERROR(INDEX('Tagging key'!E:E, MATCH(F393,'Tagging key'!C:C,0)),"")</f>
        <v>56.34</v>
      </c>
      <c r="J393" s="3">
        <f>IFERROR(INDEX('Tagging key'!F:F, MATCH(F393,'Tagging key'!C:C,0)),"")</f>
        <v>20.96</v>
      </c>
      <c r="K393" s="3">
        <v>38.521000000000001</v>
      </c>
      <c r="L393" s="3">
        <v>65.7</v>
      </c>
      <c r="M393" s="3">
        <v>54.52</v>
      </c>
      <c r="N393" s="3">
        <v>21.23</v>
      </c>
      <c r="O393" s="3"/>
      <c r="P393" s="22">
        <v>45882</v>
      </c>
      <c r="Q393" s="22">
        <v>45882</v>
      </c>
      <c r="R393" s="3">
        <v>24.192</v>
      </c>
      <c r="S393" t="s">
        <v>741</v>
      </c>
    </row>
    <row r="394" spans="1:19" x14ac:dyDescent="0.25">
      <c r="A394" s="19">
        <v>11</v>
      </c>
      <c r="B394" s="19">
        <v>8</v>
      </c>
      <c r="C394" s="19" t="s">
        <v>248</v>
      </c>
      <c r="D394" s="19" t="s">
        <v>16</v>
      </c>
      <c r="E394" s="19" t="s">
        <v>743</v>
      </c>
      <c r="F394" s="19" t="s">
        <v>744</v>
      </c>
      <c r="G394" s="19">
        <v>17.718</v>
      </c>
      <c r="H394" s="19">
        <f>IFERROR(INDEX('Tagging key'!D:D, MATCH(F394,'Tagging key'!C:C,0)),"")</f>
        <v>63.98</v>
      </c>
      <c r="I394" s="19">
        <f>IFERROR(INDEX('Tagging key'!E:E, MATCH(F394,'Tagging key'!C:C,0)),"")</f>
        <v>53.1</v>
      </c>
      <c r="J394" s="19">
        <f>IFERROR(INDEX('Tagging key'!F:F, MATCH(F394,'Tagging key'!C:C,0)),"")</f>
        <v>15.95</v>
      </c>
      <c r="K394" s="19"/>
      <c r="L394" s="19"/>
      <c r="M394" s="19"/>
      <c r="N394" s="19"/>
      <c r="O394" s="19"/>
      <c r="P394" s="27"/>
      <c r="Q394" s="27"/>
      <c r="R394" s="19"/>
      <c r="S394" t="s">
        <v>745</v>
      </c>
    </row>
    <row r="395" spans="1:19" x14ac:dyDescent="0.25">
      <c r="A395" s="8">
        <v>11</v>
      </c>
      <c r="B395" s="8">
        <v>9</v>
      </c>
      <c r="C395" s="8" t="s">
        <v>248</v>
      </c>
      <c r="D395" s="8" t="s">
        <v>16</v>
      </c>
      <c r="E395" s="8" t="s">
        <v>746</v>
      </c>
      <c r="F395" s="8" t="s">
        <v>747</v>
      </c>
      <c r="G395" s="3">
        <v>24.547999999999998</v>
      </c>
      <c r="H395" s="3">
        <f>IFERROR(INDEX('Tagging key'!D:D, MATCH(F395,'Tagging key'!C:C,0)),"")</f>
        <v>66.510000000000005</v>
      </c>
      <c r="I395" s="3">
        <f>IFERROR(INDEX('Tagging key'!E:E, MATCH(F395,'Tagging key'!C:C,0)),"")</f>
        <v>49.28</v>
      </c>
      <c r="J395" s="3">
        <f>IFERROR(INDEX('Tagging key'!F:F, MATCH(F395,'Tagging key'!C:C,0)),"")</f>
        <v>13.18</v>
      </c>
      <c r="K395" s="3">
        <v>24.177</v>
      </c>
      <c r="L395" s="3">
        <v>66.37</v>
      </c>
      <c r="M395" s="3">
        <v>47.16</v>
      </c>
      <c r="N395" s="3">
        <v>14.87</v>
      </c>
      <c r="O395" s="3"/>
      <c r="P395" s="22">
        <v>45882</v>
      </c>
      <c r="Q395" s="22">
        <v>45882</v>
      </c>
      <c r="R395" s="3">
        <v>14.143000000000001</v>
      </c>
      <c r="S395" t="s">
        <v>741</v>
      </c>
    </row>
    <row r="396" spans="1:19" hidden="1" x14ac:dyDescent="0.25">
      <c r="A396" s="8">
        <v>11</v>
      </c>
      <c r="B396" s="8">
        <v>9</v>
      </c>
      <c r="C396" s="8" t="s">
        <v>248</v>
      </c>
      <c r="D396" s="8" t="s">
        <v>16</v>
      </c>
      <c r="E396" s="8" t="s">
        <v>66</v>
      </c>
      <c r="F396" s="8" t="s">
        <v>748</v>
      </c>
      <c r="G396" s="3">
        <v>40.409999999999997</v>
      </c>
      <c r="H396" s="3">
        <f>IFERROR(INDEX('Tagging key'!D:D, MATCH(F396,'Tagging key'!C:C,0)),"")</f>
        <v>75.2</v>
      </c>
      <c r="I396" s="3">
        <f>IFERROR(INDEX('Tagging key'!E:E, MATCH(F396,'Tagging key'!C:C,0)),"")</f>
        <v>48.97</v>
      </c>
      <c r="J396" s="3">
        <f>IFERROR(INDEX('Tagging key'!F:F, MATCH(F396,'Tagging key'!C:C,0)),"")</f>
        <v>20.37</v>
      </c>
      <c r="K396" s="3">
        <v>39.892000000000003</v>
      </c>
      <c r="L396" s="3">
        <v>75.930000000000007</v>
      </c>
      <c r="M396" s="3">
        <v>45.11</v>
      </c>
      <c r="N396" s="3">
        <v>22.36</v>
      </c>
      <c r="O396" s="3"/>
      <c r="P396" s="22">
        <v>45877</v>
      </c>
      <c r="Q396" s="22">
        <v>45877</v>
      </c>
      <c r="R396" s="3"/>
    </row>
    <row r="397" spans="1:19" hidden="1" x14ac:dyDescent="0.25">
      <c r="A397" s="8">
        <v>11</v>
      </c>
      <c r="B397" s="8">
        <v>9</v>
      </c>
      <c r="C397" s="8" t="s">
        <v>248</v>
      </c>
      <c r="D397" s="8" t="s">
        <v>16</v>
      </c>
      <c r="E397" s="8" t="s">
        <v>576</v>
      </c>
      <c r="F397" s="8" t="s">
        <v>749</v>
      </c>
      <c r="G397" s="3">
        <v>30.646000000000001</v>
      </c>
      <c r="H397" s="3">
        <f>IFERROR(INDEX('Tagging key'!D:D, MATCH(F397,'Tagging key'!C:C,0)),"")</f>
        <v>63.32</v>
      </c>
      <c r="I397" s="3">
        <f>IFERROR(INDEX('Tagging key'!E:E, MATCH(F397,'Tagging key'!C:C,0)),"")</f>
        <v>45.03</v>
      </c>
      <c r="J397" s="3">
        <f>IFERROR(INDEX('Tagging key'!F:F, MATCH(F397,'Tagging key'!C:C,0)),"")</f>
        <v>17.43</v>
      </c>
      <c r="K397" s="3">
        <v>30.492999999999999</v>
      </c>
      <c r="L397" s="3">
        <v>64.040000000000006</v>
      </c>
      <c r="M397" s="3">
        <v>45.21</v>
      </c>
      <c r="N397" s="3">
        <v>17.3</v>
      </c>
      <c r="O397" s="3"/>
      <c r="P397" s="22">
        <v>45886</v>
      </c>
      <c r="Q397" s="22">
        <v>45886</v>
      </c>
      <c r="R397" s="3">
        <v>20.448</v>
      </c>
    </row>
    <row r="398" spans="1:19" hidden="1" x14ac:dyDescent="0.25">
      <c r="A398" s="8">
        <v>11</v>
      </c>
      <c r="B398" s="8">
        <v>9</v>
      </c>
      <c r="C398" s="8" t="s">
        <v>248</v>
      </c>
      <c r="D398" s="8" t="s">
        <v>16</v>
      </c>
      <c r="E398" s="8" t="s">
        <v>70</v>
      </c>
      <c r="F398" s="8" t="s">
        <v>750</v>
      </c>
      <c r="G398" s="3">
        <v>48.55</v>
      </c>
      <c r="H398" s="3">
        <f>IFERROR(INDEX('Tagging key'!D:D, MATCH(F398,'Tagging key'!C:C,0)),"")</f>
        <v>75.95</v>
      </c>
      <c r="I398" s="3">
        <f>IFERROR(INDEX('Tagging key'!E:E, MATCH(F398,'Tagging key'!C:C,0)),"")</f>
        <v>53.48</v>
      </c>
      <c r="J398" s="3">
        <f>IFERROR(INDEX('Tagging key'!F:F, MATCH(F398,'Tagging key'!C:C,0)),"")</f>
        <v>17.32</v>
      </c>
      <c r="K398" s="3">
        <v>48.265000000000001</v>
      </c>
      <c r="L398" s="3">
        <v>77.63</v>
      </c>
      <c r="M398" s="3">
        <v>48.82</v>
      </c>
      <c r="N398" s="3">
        <v>19.61</v>
      </c>
      <c r="O398" s="3"/>
      <c r="P398" s="22">
        <v>45879</v>
      </c>
      <c r="Q398" s="22">
        <v>45879</v>
      </c>
      <c r="R398" s="3"/>
      <c r="S398" t="s">
        <v>741</v>
      </c>
    </row>
    <row r="399" spans="1:19" x14ac:dyDescent="0.25">
      <c r="A399" s="9">
        <v>12</v>
      </c>
      <c r="B399" s="9">
        <v>1</v>
      </c>
      <c r="C399" s="9" t="s">
        <v>176</v>
      </c>
      <c r="D399" s="9" t="s">
        <v>16</v>
      </c>
      <c r="E399" s="9" t="s">
        <v>751</v>
      </c>
      <c r="F399" s="9" t="s">
        <v>752</v>
      </c>
      <c r="G399" s="3">
        <v>33.948</v>
      </c>
      <c r="H399" s="3">
        <f>IFERROR(INDEX('Tagging key'!D:D, MATCH(F399,'Tagging key'!C:C,0)),"")</f>
        <v>79.34</v>
      </c>
      <c r="I399" s="3">
        <f>IFERROR(INDEX('Tagging key'!E:E, MATCH(F399,'Tagging key'!C:C,0)),"")</f>
        <v>42.43</v>
      </c>
      <c r="J399" s="3">
        <f>IFERROR(INDEX('Tagging key'!F:F, MATCH(F399,'Tagging key'!C:C,0)),"")</f>
        <v>14.5</v>
      </c>
      <c r="K399" s="3">
        <v>33.869</v>
      </c>
      <c r="L399" s="3">
        <v>79.52</v>
      </c>
      <c r="M399" s="3">
        <v>40.520000000000003</v>
      </c>
      <c r="N399" s="3">
        <v>16.5</v>
      </c>
      <c r="O399" s="3"/>
      <c r="P399" s="22">
        <v>45882</v>
      </c>
      <c r="Q399" s="22">
        <v>45882</v>
      </c>
      <c r="R399" s="3">
        <v>22.324000000000002</v>
      </c>
    </row>
    <row r="400" spans="1:19" hidden="1" x14ac:dyDescent="0.25">
      <c r="A400" s="9">
        <v>12</v>
      </c>
      <c r="B400" s="9">
        <v>1</v>
      </c>
      <c r="C400" s="9" t="s">
        <v>176</v>
      </c>
      <c r="D400" s="9" t="s">
        <v>16</v>
      </c>
      <c r="E400" s="9" t="s">
        <v>602</v>
      </c>
      <c r="F400" s="9" t="s">
        <v>753</v>
      </c>
      <c r="G400" s="3">
        <v>31.66</v>
      </c>
      <c r="H400" s="3">
        <f>IFERROR(INDEX('Tagging key'!D:D, MATCH(F400,'Tagging key'!C:C,0)),"")</f>
        <v>57.55</v>
      </c>
      <c r="I400" s="3">
        <f>IFERROR(INDEX('Tagging key'!E:E, MATCH(F400,'Tagging key'!C:C,0)),"")</f>
        <v>47.75</v>
      </c>
      <c r="J400" s="3">
        <f>IFERROR(INDEX('Tagging key'!F:F, MATCH(F400,'Tagging key'!C:C,0)),"")</f>
        <v>18.03</v>
      </c>
      <c r="K400" s="3">
        <v>31.71</v>
      </c>
      <c r="L400" s="3">
        <v>57.05</v>
      </c>
      <c r="M400" s="3">
        <v>47.82</v>
      </c>
      <c r="N400" s="3">
        <v>18.84</v>
      </c>
      <c r="O400" s="3"/>
      <c r="P400" s="22">
        <v>45886</v>
      </c>
      <c r="Q400" s="22">
        <v>45886</v>
      </c>
      <c r="R400" s="3">
        <v>24.331</v>
      </c>
    </row>
    <row r="401" spans="1:19" hidden="1" x14ac:dyDescent="0.25">
      <c r="A401" s="9">
        <v>12</v>
      </c>
      <c r="B401" s="9">
        <v>1</v>
      </c>
      <c r="C401" s="9" t="s">
        <v>176</v>
      </c>
      <c r="D401" s="9" t="s">
        <v>16</v>
      </c>
      <c r="E401" s="9" t="s">
        <v>722</v>
      </c>
      <c r="F401" s="9" t="s">
        <v>754</v>
      </c>
      <c r="G401" s="3">
        <v>25.285</v>
      </c>
      <c r="H401" s="3">
        <f>IFERROR(INDEX('Tagging key'!D:D, MATCH(F401,'Tagging key'!C:C,0)),"")</f>
        <v>63.53</v>
      </c>
      <c r="I401" s="3">
        <f>IFERROR(INDEX('Tagging key'!E:E, MATCH(F401,'Tagging key'!C:C,0)),"")</f>
        <v>46.99</v>
      </c>
      <c r="J401" s="3">
        <f>IFERROR(INDEX('Tagging key'!F:F, MATCH(F401,'Tagging key'!C:C,0)),"")</f>
        <v>15.83</v>
      </c>
      <c r="K401" s="3">
        <v>24.972999999999999</v>
      </c>
      <c r="L401" s="3">
        <v>63.3</v>
      </c>
      <c r="M401" s="3">
        <v>46.61</v>
      </c>
      <c r="N401" s="3">
        <v>17.010000000000002</v>
      </c>
      <c r="O401" s="3"/>
      <c r="P401" s="22">
        <v>45877</v>
      </c>
      <c r="Q401" s="22">
        <v>45877</v>
      </c>
      <c r="R401" s="3"/>
    </row>
    <row r="402" spans="1:19" x14ac:dyDescent="0.25">
      <c r="A402" s="19">
        <v>12</v>
      </c>
      <c r="B402" s="19">
        <v>1</v>
      </c>
      <c r="C402" s="19" t="s">
        <v>176</v>
      </c>
      <c r="D402" s="19" t="s">
        <v>16</v>
      </c>
      <c r="E402" s="19" t="s">
        <v>755</v>
      </c>
      <c r="F402" s="19" t="s">
        <v>756</v>
      </c>
      <c r="G402" s="19">
        <v>30.23</v>
      </c>
      <c r="H402" s="19">
        <f>IFERROR(INDEX('Tagging key'!D:D, MATCH(F402,'Tagging key'!C:C,0)),"")</f>
        <v>60.95</v>
      </c>
      <c r="I402" s="19">
        <f>IFERROR(INDEX('Tagging key'!E:E, MATCH(F402,'Tagging key'!C:C,0)),"")</f>
        <v>39.520000000000003</v>
      </c>
      <c r="J402" s="19">
        <f>IFERROR(INDEX('Tagging key'!F:F, MATCH(F402,'Tagging key'!C:C,0)),"")</f>
        <v>18.48</v>
      </c>
      <c r="K402" s="19">
        <v>24.852</v>
      </c>
      <c r="L402" s="19">
        <v>60.83</v>
      </c>
      <c r="M402" s="19">
        <v>39.69</v>
      </c>
      <c r="N402" s="19">
        <v>19.170000000000002</v>
      </c>
      <c r="O402" s="19"/>
      <c r="P402" s="19"/>
      <c r="Q402" s="19"/>
      <c r="R402" s="19"/>
      <c r="S402" t="s">
        <v>757</v>
      </c>
    </row>
    <row r="403" spans="1:19" x14ac:dyDescent="0.25">
      <c r="A403" s="8">
        <v>12</v>
      </c>
      <c r="B403" s="8">
        <v>2</v>
      </c>
      <c r="C403" s="8" t="s">
        <v>176</v>
      </c>
      <c r="D403" s="8" t="s">
        <v>16</v>
      </c>
      <c r="E403" s="8" t="s">
        <v>758</v>
      </c>
      <c r="F403" s="8" t="s">
        <v>759</v>
      </c>
      <c r="G403" s="3">
        <v>34.314999999999998</v>
      </c>
      <c r="H403" s="3">
        <f>IFERROR(INDEX('Tagging key'!D:D, MATCH(F403,'Tagging key'!C:C,0)),"")</f>
        <v>75.58</v>
      </c>
      <c r="I403" s="3">
        <f>IFERROR(INDEX('Tagging key'!E:E, MATCH(F403,'Tagging key'!C:C,0)),"")</f>
        <v>56.43</v>
      </c>
      <c r="J403" s="3">
        <f>IFERROR(INDEX('Tagging key'!F:F, MATCH(F403,'Tagging key'!C:C,0)),"")</f>
        <v>13.27</v>
      </c>
      <c r="K403" s="3">
        <v>33.997</v>
      </c>
      <c r="L403" s="3">
        <v>75.89</v>
      </c>
      <c r="M403" s="3">
        <v>52.95</v>
      </c>
      <c r="N403" s="3">
        <v>18.309999999999999</v>
      </c>
      <c r="O403" s="3"/>
      <c r="P403" s="22">
        <v>45882</v>
      </c>
      <c r="Q403" s="22">
        <v>45882</v>
      </c>
      <c r="R403" s="3"/>
    </row>
    <row r="404" spans="1:19" hidden="1" x14ac:dyDescent="0.25">
      <c r="A404" s="8">
        <v>12</v>
      </c>
      <c r="B404" s="8">
        <v>2</v>
      </c>
      <c r="C404" s="8" t="s">
        <v>176</v>
      </c>
      <c r="D404" s="8" t="s">
        <v>16</v>
      </c>
      <c r="E404" s="8" t="s">
        <v>760</v>
      </c>
      <c r="F404" s="8" t="s">
        <v>761</v>
      </c>
      <c r="G404" s="3">
        <v>25.527999999999999</v>
      </c>
      <c r="H404" s="3">
        <f>IFERROR(INDEX('Tagging key'!D:D, MATCH(F404,'Tagging key'!C:C,0)),"")</f>
        <v>60.29</v>
      </c>
      <c r="I404" s="3">
        <f>IFERROR(INDEX('Tagging key'!E:E, MATCH(F404,'Tagging key'!C:C,0)),"")</f>
        <v>43.41</v>
      </c>
      <c r="J404" s="3">
        <f>IFERROR(INDEX('Tagging key'!F:F, MATCH(F404,'Tagging key'!C:C,0)),"")</f>
        <v>16.239999999999998</v>
      </c>
      <c r="K404" s="3">
        <v>25.337</v>
      </c>
      <c r="L404" s="3">
        <v>60.58</v>
      </c>
      <c r="M404" s="3">
        <v>43.62</v>
      </c>
      <c r="N404" s="3">
        <v>15.26</v>
      </c>
      <c r="O404" s="3"/>
      <c r="P404" s="22">
        <v>45877</v>
      </c>
      <c r="Q404" s="22">
        <v>45877</v>
      </c>
      <c r="R404" s="3"/>
    </row>
    <row r="405" spans="1:19" hidden="1" x14ac:dyDescent="0.25">
      <c r="A405" s="8">
        <v>12</v>
      </c>
      <c r="B405" s="8">
        <v>2</v>
      </c>
      <c r="C405" s="8" t="s">
        <v>176</v>
      </c>
      <c r="D405" s="8" t="s">
        <v>16</v>
      </c>
      <c r="E405" s="8" t="s">
        <v>662</v>
      </c>
      <c r="F405" s="8" t="s">
        <v>762</v>
      </c>
      <c r="G405" s="3">
        <v>35.563000000000002</v>
      </c>
      <c r="H405" s="3">
        <f>IFERROR(INDEX('Tagging key'!D:D, MATCH(F405,'Tagging key'!C:C,0)),"")</f>
        <v>77.97</v>
      </c>
      <c r="I405" s="3">
        <f>IFERROR(INDEX('Tagging key'!E:E, MATCH(F405,'Tagging key'!C:C,0)),"")</f>
        <v>40.86</v>
      </c>
      <c r="J405" s="3">
        <f>IFERROR(INDEX('Tagging key'!F:F, MATCH(F405,'Tagging key'!C:C,0)),"")</f>
        <v>17.27</v>
      </c>
      <c r="K405" s="3">
        <v>35.505000000000003</v>
      </c>
      <c r="L405" s="3">
        <v>78.47</v>
      </c>
      <c r="M405" s="3">
        <v>43.66</v>
      </c>
      <c r="N405" s="3">
        <v>17.78</v>
      </c>
      <c r="O405" s="3"/>
      <c r="P405" s="22">
        <v>45879</v>
      </c>
      <c r="Q405" s="22">
        <v>45879</v>
      </c>
      <c r="R405" s="3"/>
    </row>
    <row r="406" spans="1:19" hidden="1" x14ac:dyDescent="0.25">
      <c r="A406" s="8">
        <v>12</v>
      </c>
      <c r="B406" s="8">
        <v>2</v>
      </c>
      <c r="C406" s="8" t="s">
        <v>176</v>
      </c>
      <c r="D406" s="8" t="s">
        <v>16</v>
      </c>
      <c r="E406" s="8" t="s">
        <v>763</v>
      </c>
      <c r="F406" s="8" t="s">
        <v>764</v>
      </c>
      <c r="G406" s="3">
        <v>27.137</v>
      </c>
      <c r="H406" s="3">
        <f>IFERROR(INDEX('Tagging key'!D:D, MATCH(F406,'Tagging key'!C:C,0)),"")</f>
        <v>72.33</v>
      </c>
      <c r="I406" s="3">
        <f>IFERROR(INDEX('Tagging key'!E:E, MATCH(F406,'Tagging key'!C:C,0)),"")</f>
        <v>45.38</v>
      </c>
      <c r="J406" s="3">
        <f>IFERROR(INDEX('Tagging key'!F:F, MATCH(F406,'Tagging key'!C:C,0)),"")</f>
        <v>14.18</v>
      </c>
      <c r="K406" s="3">
        <v>26.841999999999999</v>
      </c>
      <c r="L406" s="3">
        <v>72.34</v>
      </c>
      <c r="M406" s="3">
        <v>44.83</v>
      </c>
      <c r="N406" s="3">
        <v>14.45</v>
      </c>
      <c r="O406" s="3"/>
      <c r="P406" s="22">
        <v>45886</v>
      </c>
      <c r="Q406" s="22">
        <v>45886</v>
      </c>
      <c r="R406" s="3"/>
    </row>
    <row r="407" spans="1:19" hidden="1" x14ac:dyDescent="0.25">
      <c r="A407" s="9">
        <v>12</v>
      </c>
      <c r="B407" s="9">
        <v>3</v>
      </c>
      <c r="C407" s="9" t="s">
        <v>176</v>
      </c>
      <c r="D407" s="9" t="s">
        <v>16</v>
      </c>
      <c r="E407" s="9" t="s">
        <v>196</v>
      </c>
      <c r="F407" s="9" t="s">
        <v>765</v>
      </c>
      <c r="G407" s="3">
        <v>21.861999999999998</v>
      </c>
      <c r="H407" s="3">
        <f>IFERROR(INDEX('Tagging key'!D:D, MATCH(F407,'Tagging key'!C:C,0)),"")</f>
        <v>71.22</v>
      </c>
      <c r="I407" s="3">
        <f>IFERROR(INDEX('Tagging key'!E:E, MATCH(F407,'Tagging key'!C:C,0)),"")</f>
        <v>39.49</v>
      </c>
      <c r="J407" s="3">
        <f>IFERROR(INDEX('Tagging key'!F:F, MATCH(F407,'Tagging key'!C:C,0)),"")</f>
        <v>15.45</v>
      </c>
      <c r="K407" s="3">
        <v>21.745999999999999</v>
      </c>
      <c r="L407" s="3">
        <v>72.260000000000005</v>
      </c>
      <c r="M407" s="3">
        <v>39.78</v>
      </c>
      <c r="N407" s="3">
        <v>15.95</v>
      </c>
      <c r="O407" s="3"/>
      <c r="P407" s="22">
        <v>45879</v>
      </c>
      <c r="Q407" s="22">
        <v>45879</v>
      </c>
      <c r="R407" s="3"/>
    </row>
    <row r="408" spans="1:19" hidden="1" x14ac:dyDescent="0.25">
      <c r="A408" s="9">
        <v>12</v>
      </c>
      <c r="B408" s="9">
        <v>3</v>
      </c>
      <c r="C408" s="9" t="s">
        <v>176</v>
      </c>
      <c r="D408" s="9" t="s">
        <v>16</v>
      </c>
      <c r="E408" s="9" t="s">
        <v>249</v>
      </c>
      <c r="F408" s="9" t="s">
        <v>766</v>
      </c>
      <c r="G408" s="3">
        <v>36.701999999999998</v>
      </c>
      <c r="H408" s="3">
        <f>IFERROR(INDEX('Tagging key'!D:D, MATCH(F408,'Tagging key'!C:C,0)),"")</f>
        <v>60.55</v>
      </c>
      <c r="I408" s="3">
        <f>IFERROR(INDEX('Tagging key'!E:E, MATCH(F408,'Tagging key'!C:C,0)),"")</f>
        <v>48.09</v>
      </c>
      <c r="J408" s="3">
        <f>IFERROR(INDEX('Tagging key'!F:F, MATCH(F408,'Tagging key'!C:C,0)),"")</f>
        <v>22.31</v>
      </c>
      <c r="K408" s="3">
        <v>36.764000000000003</v>
      </c>
      <c r="L408" s="3">
        <v>61.88</v>
      </c>
      <c r="M408" s="3">
        <v>47.86</v>
      </c>
      <c r="N408" s="3">
        <v>22.01</v>
      </c>
      <c r="O408" s="3"/>
      <c r="P408" s="22">
        <v>45886</v>
      </c>
      <c r="Q408" s="22">
        <v>45886</v>
      </c>
      <c r="R408" s="3">
        <v>24.177</v>
      </c>
    </row>
    <row r="409" spans="1:19" x14ac:dyDescent="0.25">
      <c r="A409" s="9">
        <v>12</v>
      </c>
      <c r="B409" s="9">
        <v>3</v>
      </c>
      <c r="C409" s="9" t="s">
        <v>176</v>
      </c>
      <c r="D409" s="9" t="s">
        <v>16</v>
      </c>
      <c r="E409" s="9" t="s">
        <v>767</v>
      </c>
      <c r="F409" s="9" t="s">
        <v>768</v>
      </c>
      <c r="G409" s="3">
        <v>30.831</v>
      </c>
      <c r="H409" s="3">
        <f>IFERROR(INDEX('Tagging key'!D:D, MATCH(F409,'Tagging key'!C:C,0)),"")</f>
        <v>64.900000000000006</v>
      </c>
      <c r="I409" s="3">
        <f>IFERROR(INDEX('Tagging key'!E:E, MATCH(F409,'Tagging key'!C:C,0)),"")</f>
        <v>42.12</v>
      </c>
      <c r="J409" s="3">
        <f>IFERROR(INDEX('Tagging key'!F:F, MATCH(F409,'Tagging key'!C:C,0)),"")</f>
        <v>16.670000000000002</v>
      </c>
      <c r="K409" s="3">
        <v>30.88</v>
      </c>
      <c r="L409" s="3">
        <v>64.42</v>
      </c>
      <c r="M409" s="3">
        <v>41.58</v>
      </c>
      <c r="N409" s="3">
        <v>16.760000000000002</v>
      </c>
      <c r="O409" s="3"/>
      <c r="P409" s="22">
        <v>45882</v>
      </c>
      <c r="Q409" s="22">
        <v>45882</v>
      </c>
      <c r="R409" s="3">
        <v>21.821000000000002</v>
      </c>
    </row>
    <row r="410" spans="1:19" hidden="1" x14ac:dyDescent="0.25">
      <c r="A410" s="9">
        <v>12</v>
      </c>
      <c r="B410" s="9">
        <v>3</v>
      </c>
      <c r="C410" s="9" t="s">
        <v>176</v>
      </c>
      <c r="D410" s="9" t="s">
        <v>16</v>
      </c>
      <c r="E410" s="9" t="s">
        <v>769</v>
      </c>
      <c r="F410" s="9" t="s">
        <v>770</v>
      </c>
      <c r="G410" s="3">
        <v>58.308</v>
      </c>
      <c r="H410" s="3">
        <f>IFERROR(INDEX('Tagging key'!D:D, MATCH(F410,'Tagging key'!C:C,0)),"")</f>
        <v>69.86</v>
      </c>
      <c r="I410" s="3">
        <f>IFERROR(INDEX('Tagging key'!E:E, MATCH(F410,'Tagging key'!C:C,0)),"")</f>
        <v>52.21</v>
      </c>
      <c r="J410" s="3">
        <f>IFERROR(INDEX('Tagging key'!F:F, MATCH(F410,'Tagging key'!C:C,0)),"")</f>
        <v>22.14</v>
      </c>
      <c r="K410" s="3">
        <v>58.091000000000001</v>
      </c>
      <c r="L410" s="3">
        <v>65.31</v>
      </c>
      <c r="M410" s="3">
        <v>44.28</v>
      </c>
      <c r="N410" s="3">
        <v>34.18</v>
      </c>
      <c r="O410" s="3"/>
      <c r="P410" s="22">
        <v>45877</v>
      </c>
      <c r="Q410" s="22">
        <v>45877</v>
      </c>
      <c r="R410" s="3"/>
      <c r="S410" t="s">
        <v>771</v>
      </c>
    </row>
    <row r="411" spans="1:19" hidden="1" x14ac:dyDescent="0.25">
      <c r="A411" s="11">
        <v>12</v>
      </c>
      <c r="B411" s="11">
        <v>4</v>
      </c>
      <c r="C411" s="11" t="s">
        <v>176</v>
      </c>
      <c r="D411" s="11" t="s">
        <v>46</v>
      </c>
      <c r="E411" s="11" t="s">
        <v>772</v>
      </c>
      <c r="F411" s="11" t="s">
        <v>773</v>
      </c>
      <c r="G411" s="3">
        <v>72.763000000000005</v>
      </c>
      <c r="H411" s="3">
        <f>IFERROR(INDEX('Tagging key'!D:D, MATCH(F411,'Tagging key'!C:C,0)),"")</f>
        <v>95.17</v>
      </c>
      <c r="I411" s="3">
        <f>IFERROR(INDEX('Tagging key'!E:E, MATCH(F411,'Tagging key'!C:C,0)),"")</f>
        <v>48.4</v>
      </c>
      <c r="J411" s="3">
        <f>IFERROR(INDEX('Tagging key'!F:F, MATCH(F411,'Tagging key'!C:C,0)),"")</f>
        <v>30.62</v>
      </c>
      <c r="K411" s="3">
        <v>74.388000000000005</v>
      </c>
      <c r="L411" s="3">
        <v>94.81</v>
      </c>
      <c r="M411" s="3">
        <v>43.52</v>
      </c>
      <c r="N411" s="3">
        <v>35.89</v>
      </c>
      <c r="O411" s="3"/>
      <c r="P411" s="22">
        <v>45877</v>
      </c>
      <c r="Q411" s="22">
        <v>45877</v>
      </c>
      <c r="R411" s="3"/>
    </row>
    <row r="412" spans="1:19" hidden="1" x14ac:dyDescent="0.25">
      <c r="A412" s="11">
        <v>12</v>
      </c>
      <c r="B412" s="11">
        <v>4</v>
      </c>
      <c r="C412" s="11" t="s">
        <v>176</v>
      </c>
      <c r="D412" s="11" t="s">
        <v>46</v>
      </c>
      <c r="E412" s="11" t="s">
        <v>427</v>
      </c>
      <c r="F412" s="11" t="s">
        <v>428</v>
      </c>
      <c r="G412" s="3">
        <v>38.656999999999996</v>
      </c>
      <c r="H412" s="3">
        <f>IFERROR(INDEX('Tagging key'!D:D, MATCH(F412,'Tagging key'!C:C,0)),"")</f>
        <v>68.959999999999994</v>
      </c>
      <c r="I412" s="3">
        <f>IFERROR(INDEX('Tagging key'!E:E, MATCH(F412,'Tagging key'!C:C,0)),"")</f>
        <v>38.64</v>
      </c>
      <c r="J412" s="3">
        <f>IFERROR(INDEX('Tagging key'!F:F, MATCH(F412,'Tagging key'!C:C,0)),"")</f>
        <v>27.79</v>
      </c>
      <c r="K412" s="3">
        <v>34.389000000000003</v>
      </c>
      <c r="L412" s="3">
        <v>70.83</v>
      </c>
      <c r="M412" s="3">
        <v>39.15</v>
      </c>
      <c r="N412" s="3">
        <v>26.14</v>
      </c>
      <c r="O412" s="3"/>
      <c r="P412" s="22">
        <v>45879</v>
      </c>
      <c r="Q412" s="22">
        <v>45879</v>
      </c>
      <c r="R412" s="3"/>
    </row>
    <row r="413" spans="1:19" x14ac:dyDescent="0.25">
      <c r="A413" s="11">
        <v>12</v>
      </c>
      <c r="B413" s="11">
        <v>4</v>
      </c>
      <c r="C413" s="11" t="s">
        <v>176</v>
      </c>
      <c r="D413" s="11" t="s">
        <v>46</v>
      </c>
      <c r="E413" s="11" t="s">
        <v>314</v>
      </c>
      <c r="F413" s="11" t="s">
        <v>774</v>
      </c>
      <c r="G413" s="3">
        <v>45.555</v>
      </c>
      <c r="H413" s="3">
        <f>IFERROR(INDEX('Tagging key'!D:D, MATCH(F413,'Tagging key'!C:C,0)),"")</f>
        <v>78</v>
      </c>
      <c r="I413" s="3">
        <f>IFERROR(INDEX('Tagging key'!E:E, MATCH(F413,'Tagging key'!C:C,0)),"")</f>
        <v>38</v>
      </c>
      <c r="J413" s="3">
        <f>IFERROR(INDEX('Tagging key'!F:F, MATCH(F413,'Tagging key'!C:C,0)),"")</f>
        <v>28.41</v>
      </c>
      <c r="K413" s="3">
        <v>45.926000000000002</v>
      </c>
      <c r="L413" s="3">
        <v>77.260000000000005</v>
      </c>
      <c r="M413" s="3">
        <v>37.229999999999997</v>
      </c>
      <c r="N413" s="3">
        <v>28.93</v>
      </c>
      <c r="O413" s="3"/>
      <c r="P413" s="22">
        <v>45882</v>
      </c>
      <c r="Q413" s="22">
        <v>45882</v>
      </c>
      <c r="R413" s="3">
        <v>17.056999999999999</v>
      </c>
    </row>
    <row r="414" spans="1:19" hidden="1" x14ac:dyDescent="0.25">
      <c r="A414" s="11">
        <v>12</v>
      </c>
      <c r="B414" s="11">
        <v>4</v>
      </c>
      <c r="C414" s="11" t="s">
        <v>176</v>
      </c>
      <c r="D414" s="11" t="s">
        <v>46</v>
      </c>
      <c r="E414" s="11" t="s">
        <v>775</v>
      </c>
      <c r="F414" s="11" t="s">
        <v>776</v>
      </c>
      <c r="G414" s="3">
        <v>38.340000000000003</v>
      </c>
      <c r="H414" s="3">
        <f>IFERROR(INDEX('Tagging key'!D:D, MATCH(F414,'Tagging key'!C:C,0)),"")</f>
        <v>72.13</v>
      </c>
      <c r="I414" s="3">
        <f>IFERROR(INDEX('Tagging key'!E:E, MATCH(F414,'Tagging key'!C:C,0)),"")</f>
        <v>38.270000000000003</v>
      </c>
      <c r="J414" s="3">
        <f>IFERROR(INDEX('Tagging key'!F:F, MATCH(F414,'Tagging key'!C:C,0)),"")</f>
        <v>29.51</v>
      </c>
      <c r="K414" s="3">
        <v>38.860999999999997</v>
      </c>
      <c r="L414" s="3">
        <v>72.36</v>
      </c>
      <c r="M414" s="3">
        <v>34.29</v>
      </c>
      <c r="N414" s="3">
        <v>29.97</v>
      </c>
      <c r="O414" s="3"/>
      <c r="P414" s="22">
        <v>45886</v>
      </c>
      <c r="Q414" s="22">
        <v>45886</v>
      </c>
      <c r="R414" s="3"/>
    </row>
    <row r="415" spans="1:19" hidden="1" x14ac:dyDescent="0.25">
      <c r="A415" s="12">
        <v>12</v>
      </c>
      <c r="B415" s="12">
        <v>5</v>
      </c>
      <c r="C415" s="12" t="s">
        <v>176</v>
      </c>
      <c r="D415" s="12" t="s">
        <v>46</v>
      </c>
      <c r="E415" s="12" t="s">
        <v>525</v>
      </c>
      <c r="F415" s="12" t="s">
        <v>777</v>
      </c>
      <c r="G415" s="3">
        <v>59.518000000000001</v>
      </c>
      <c r="H415" s="3">
        <f>IFERROR(INDEX('Tagging key'!D:D, MATCH(F415,'Tagging key'!C:C,0)),"")</f>
        <v>83.64</v>
      </c>
      <c r="I415" s="3">
        <f>IFERROR(INDEX('Tagging key'!E:E, MATCH(F415,'Tagging key'!C:C,0)),"")</f>
        <v>39.229999999999997</v>
      </c>
      <c r="J415" s="3">
        <f>IFERROR(INDEX('Tagging key'!F:F, MATCH(F415,'Tagging key'!C:C,0)),"")</f>
        <v>32.979999999999997</v>
      </c>
      <c r="K415" s="3">
        <v>60.14</v>
      </c>
      <c r="L415" s="3">
        <v>83.7</v>
      </c>
      <c r="M415" s="3">
        <v>38.64</v>
      </c>
      <c r="N415" s="3">
        <v>34.177999999999997</v>
      </c>
      <c r="O415" s="3"/>
      <c r="P415" s="22">
        <v>45877</v>
      </c>
      <c r="Q415" s="22">
        <v>45877</v>
      </c>
      <c r="R415" s="3"/>
    </row>
    <row r="416" spans="1:19" x14ac:dyDescent="0.25">
      <c r="A416" s="12">
        <v>12</v>
      </c>
      <c r="B416" s="12">
        <v>5</v>
      </c>
      <c r="C416" s="12" t="s">
        <v>176</v>
      </c>
      <c r="D416" s="12" t="s">
        <v>46</v>
      </c>
      <c r="E416" s="12" t="s">
        <v>112</v>
      </c>
      <c r="F416" s="12" t="s">
        <v>778</v>
      </c>
      <c r="G416" s="3">
        <v>35.558</v>
      </c>
      <c r="H416" s="3">
        <f>IFERROR(INDEX('Tagging key'!D:D, MATCH(F416,'Tagging key'!C:C,0)),"")</f>
        <v>75.22</v>
      </c>
      <c r="I416" s="3">
        <f>IFERROR(INDEX('Tagging key'!E:E, MATCH(F416,'Tagging key'!C:C,0)),"")</f>
        <v>35.700000000000003</v>
      </c>
      <c r="J416" s="3">
        <f>IFERROR(INDEX('Tagging key'!F:F, MATCH(F416,'Tagging key'!C:C,0)),"")</f>
        <v>27.46</v>
      </c>
      <c r="K416" s="3">
        <v>36.351999999999997</v>
      </c>
      <c r="L416" s="3">
        <v>74.72</v>
      </c>
      <c r="M416" s="3">
        <v>35.32</v>
      </c>
      <c r="N416" s="3">
        <v>28.31</v>
      </c>
      <c r="O416" s="3"/>
      <c r="P416" s="22">
        <v>45882</v>
      </c>
      <c r="Q416" s="22">
        <v>45882</v>
      </c>
      <c r="R416" s="3">
        <v>11.702999999999999</v>
      </c>
    </row>
    <row r="417" spans="1:19" hidden="1" x14ac:dyDescent="0.25">
      <c r="A417" s="12">
        <v>12</v>
      </c>
      <c r="B417" s="12">
        <v>5</v>
      </c>
      <c r="C417" s="12" t="s">
        <v>176</v>
      </c>
      <c r="D417" s="12" t="s">
        <v>46</v>
      </c>
      <c r="E417" s="12" t="s">
        <v>779</v>
      </c>
      <c r="F417" s="12" t="s">
        <v>780</v>
      </c>
      <c r="G417" s="3">
        <v>42.322000000000003</v>
      </c>
      <c r="H417" s="3">
        <f>IFERROR(INDEX('Tagging key'!D:D, MATCH(F417,'Tagging key'!C:C,0)),"")</f>
        <v>75</v>
      </c>
      <c r="I417" s="3">
        <f>IFERROR(INDEX('Tagging key'!E:E, MATCH(F417,'Tagging key'!C:C,0)),"")</f>
        <v>37</v>
      </c>
      <c r="J417" s="3">
        <f>IFERROR(INDEX('Tagging key'!F:F, MATCH(F417,'Tagging key'!C:C,0)),"")</f>
        <v>27</v>
      </c>
      <c r="K417" s="3">
        <v>42.674999999999997</v>
      </c>
      <c r="L417" s="3">
        <v>75.510000000000005</v>
      </c>
      <c r="M417" s="3">
        <v>37.96</v>
      </c>
      <c r="N417" s="3">
        <v>28.49</v>
      </c>
      <c r="O417" s="3"/>
      <c r="P417" s="22">
        <v>45879</v>
      </c>
      <c r="Q417" s="22">
        <v>45879</v>
      </c>
      <c r="R417" s="3"/>
    </row>
    <row r="418" spans="1:19" hidden="1" x14ac:dyDescent="0.25">
      <c r="A418" s="12">
        <v>12</v>
      </c>
      <c r="B418" s="12">
        <v>5</v>
      </c>
      <c r="C418" s="12" t="s">
        <v>176</v>
      </c>
      <c r="D418" s="12" t="s">
        <v>46</v>
      </c>
      <c r="E418" s="12" t="s">
        <v>781</v>
      </c>
      <c r="F418" s="12" t="s">
        <v>782</v>
      </c>
      <c r="G418" s="3">
        <v>49.26</v>
      </c>
      <c r="H418" s="3">
        <f>IFERROR(INDEX('Tagging key'!D:D, MATCH(F418,'Tagging key'!C:C,0)),"")</f>
        <v>80.86</v>
      </c>
      <c r="I418" s="3">
        <f>IFERROR(INDEX('Tagging key'!E:E, MATCH(F418,'Tagging key'!C:C,0)),"")</f>
        <v>40.35</v>
      </c>
      <c r="J418" s="3">
        <f>IFERROR(INDEX('Tagging key'!F:F, MATCH(F418,'Tagging key'!C:C,0)),"")</f>
        <v>30.51</v>
      </c>
      <c r="K418" s="3">
        <v>50.140999999999998</v>
      </c>
      <c r="L418" s="3">
        <v>80.489999999999995</v>
      </c>
      <c r="M418" s="3">
        <v>35.15</v>
      </c>
      <c r="N418" s="3">
        <v>31.25</v>
      </c>
      <c r="O418" s="3"/>
      <c r="P418" s="22">
        <v>45886</v>
      </c>
      <c r="Q418" s="22">
        <v>45886</v>
      </c>
      <c r="R418" s="3">
        <v>18.623000000000001</v>
      </c>
    </row>
    <row r="419" spans="1:19" x14ac:dyDescent="0.25">
      <c r="A419" s="11">
        <v>12</v>
      </c>
      <c r="B419" s="11">
        <v>6</v>
      </c>
      <c r="C419" s="11" t="s">
        <v>176</v>
      </c>
      <c r="D419" s="11" t="s">
        <v>46</v>
      </c>
      <c r="E419" s="11" t="s">
        <v>783</v>
      </c>
      <c r="F419" s="11" t="s">
        <v>784</v>
      </c>
      <c r="G419" s="3">
        <v>66.067999999999998</v>
      </c>
      <c r="H419" s="3">
        <f>IFERROR(INDEX('Tagging key'!D:D, MATCH(F419,'Tagging key'!C:C,0)),"")</f>
        <v>85</v>
      </c>
      <c r="I419" s="3">
        <f>IFERROR(INDEX('Tagging key'!E:E, MATCH(F419,'Tagging key'!C:C,0)),"")</f>
        <v>38</v>
      </c>
      <c r="J419" s="3">
        <f>IFERROR(INDEX('Tagging key'!F:F, MATCH(F419,'Tagging key'!C:C,0)),"")</f>
        <v>36</v>
      </c>
      <c r="K419" s="3">
        <v>66.337999999999994</v>
      </c>
      <c r="L419" s="3">
        <v>85.65</v>
      </c>
      <c r="M419" s="3">
        <v>38.35</v>
      </c>
      <c r="N419" s="3">
        <v>38.56</v>
      </c>
      <c r="O419" s="3"/>
      <c r="P419" s="22">
        <v>45882</v>
      </c>
      <c r="Q419" s="22">
        <v>45882</v>
      </c>
      <c r="R419" s="3">
        <v>9.2680000000000007</v>
      </c>
    </row>
    <row r="420" spans="1:19" hidden="1" x14ac:dyDescent="0.25">
      <c r="A420" s="11">
        <v>12</v>
      </c>
      <c r="B420" s="11">
        <v>6</v>
      </c>
      <c r="C420" s="11" t="s">
        <v>176</v>
      </c>
      <c r="D420" s="11" t="s">
        <v>46</v>
      </c>
      <c r="E420" s="11" t="s">
        <v>612</v>
      </c>
      <c r="F420" s="11" t="s">
        <v>785</v>
      </c>
      <c r="G420" s="3">
        <v>62.646000000000001</v>
      </c>
      <c r="H420" s="3">
        <f>IFERROR(INDEX('Tagging key'!D:D, MATCH(F420,'Tagging key'!C:C,0)),"")</f>
        <v>87.58</v>
      </c>
      <c r="I420" s="3">
        <f>IFERROR(INDEX('Tagging key'!E:E, MATCH(F420,'Tagging key'!C:C,0)),"")</f>
        <v>43.19</v>
      </c>
      <c r="J420" s="3">
        <f>IFERROR(INDEX('Tagging key'!F:F, MATCH(F420,'Tagging key'!C:C,0)),"")</f>
        <v>30.78</v>
      </c>
      <c r="K420" s="3">
        <v>64.180000000000007</v>
      </c>
      <c r="L420" s="3">
        <v>87.45</v>
      </c>
      <c r="M420" s="3">
        <v>39.659999999999997</v>
      </c>
      <c r="N420" s="3">
        <v>33.520000000000003</v>
      </c>
      <c r="O420" s="3"/>
      <c r="P420" s="22">
        <v>45886</v>
      </c>
      <c r="Q420" s="22">
        <v>45886</v>
      </c>
      <c r="R420" s="3">
        <v>22.454000000000001</v>
      </c>
    </row>
    <row r="421" spans="1:19" hidden="1" x14ac:dyDescent="0.25">
      <c r="A421" s="11">
        <v>12</v>
      </c>
      <c r="B421" s="11">
        <v>6</v>
      </c>
      <c r="C421" s="11" t="s">
        <v>176</v>
      </c>
      <c r="D421" s="11" t="s">
        <v>46</v>
      </c>
      <c r="E421" s="11" t="s">
        <v>786</v>
      </c>
      <c r="F421" s="11" t="s">
        <v>787</v>
      </c>
      <c r="G421" s="3">
        <v>40.002000000000002</v>
      </c>
      <c r="H421" s="3">
        <f>IFERROR(INDEX('Tagging key'!D:D, MATCH(F421,'Tagging key'!C:C,0)),"")</f>
        <v>75.11</v>
      </c>
      <c r="I421" s="3">
        <f>IFERROR(INDEX('Tagging key'!E:E, MATCH(F421,'Tagging key'!C:C,0)),"")</f>
        <v>43.52</v>
      </c>
      <c r="J421" s="3">
        <f>IFERROR(INDEX('Tagging key'!F:F, MATCH(F421,'Tagging key'!C:C,0)),"")</f>
        <v>25.45</v>
      </c>
      <c r="K421" s="3">
        <v>41.353999999999999</v>
      </c>
      <c r="L421" s="3">
        <v>76.709999999999994</v>
      </c>
      <c r="M421" s="3">
        <v>37.92</v>
      </c>
      <c r="N421" s="3">
        <v>27.92</v>
      </c>
      <c r="O421" s="3"/>
      <c r="P421" s="22">
        <v>45879</v>
      </c>
      <c r="Q421" s="22">
        <v>45879</v>
      </c>
      <c r="R421" s="3"/>
    </row>
    <row r="422" spans="1:19" hidden="1" x14ac:dyDescent="0.25">
      <c r="A422" s="11">
        <v>12</v>
      </c>
      <c r="B422" s="11">
        <v>6</v>
      </c>
      <c r="C422" s="11" t="s">
        <v>176</v>
      </c>
      <c r="D422" s="11" t="s">
        <v>46</v>
      </c>
      <c r="E422" s="11" t="s">
        <v>98</v>
      </c>
      <c r="F422" s="11" t="s">
        <v>788</v>
      </c>
      <c r="G422" s="3">
        <v>52.624000000000002</v>
      </c>
      <c r="H422" s="3">
        <f>IFERROR(INDEX('Tagging key'!D:D, MATCH(F422,'Tagging key'!C:C,0)),"")</f>
        <v>85</v>
      </c>
      <c r="I422" s="3">
        <f>IFERROR(INDEX('Tagging key'!E:E, MATCH(F422,'Tagging key'!C:C,0)),"")</f>
        <v>40</v>
      </c>
      <c r="J422" s="3">
        <f>IFERROR(INDEX('Tagging key'!F:F, MATCH(F422,'Tagging key'!C:C,0)),"")</f>
        <v>31</v>
      </c>
      <c r="K422" s="3">
        <v>56.768999999999998</v>
      </c>
      <c r="L422" s="3">
        <v>85.7</v>
      </c>
      <c r="M422" s="3">
        <v>40.61</v>
      </c>
      <c r="N422" s="3">
        <v>30.26</v>
      </c>
      <c r="O422" s="3"/>
      <c r="P422" s="22">
        <v>45877</v>
      </c>
      <c r="Q422" s="22">
        <v>45877</v>
      </c>
      <c r="R422" s="3"/>
    </row>
    <row r="423" spans="1:19" hidden="1" x14ac:dyDescent="0.25">
      <c r="A423" s="13">
        <v>12</v>
      </c>
      <c r="B423" s="13">
        <v>7</v>
      </c>
      <c r="C423" s="13" t="s">
        <v>176</v>
      </c>
      <c r="D423" s="13" t="s">
        <v>72</v>
      </c>
      <c r="E423" s="13" t="s">
        <v>789</v>
      </c>
      <c r="F423" s="13" t="str">
        <f>LEFT(D423,1)&amp;"_"&amp;E423</f>
        <v>S_G50B</v>
      </c>
      <c r="G423" s="3">
        <v>63.87</v>
      </c>
      <c r="H423" s="3">
        <f>IFERROR(INDEX('Tagging key'!D:D, MATCH(F423,'Tagging key'!C:C,0)),"")</f>
        <v>80.2</v>
      </c>
      <c r="I423" s="3">
        <f>IFERROR(INDEX('Tagging key'!E:E, MATCH(F423,'Tagging key'!C:C,0)),"")</f>
        <v>80.599999999999994</v>
      </c>
      <c r="J423" s="3">
        <f>IFERROR(INDEX('Tagging key'!F:F, MATCH(F423,'Tagging key'!C:C,0)),"")</f>
        <v>18.5</v>
      </c>
      <c r="K423" s="3">
        <v>60.143999999999998</v>
      </c>
      <c r="L423" s="3">
        <v>80.7</v>
      </c>
      <c r="M423" s="3">
        <v>81.010000000000005</v>
      </c>
      <c r="N423" s="3">
        <v>19.149999999999999</v>
      </c>
      <c r="O423" s="3"/>
      <c r="P423" s="22">
        <v>45877</v>
      </c>
      <c r="Q423" s="22">
        <v>45877</v>
      </c>
      <c r="R423" s="3"/>
      <c r="S423" t="s">
        <v>790</v>
      </c>
    </row>
    <row r="424" spans="1:19" hidden="1" x14ac:dyDescent="0.25">
      <c r="A424" s="13">
        <v>12</v>
      </c>
      <c r="B424" s="13">
        <v>7</v>
      </c>
      <c r="C424" s="13" t="s">
        <v>176</v>
      </c>
      <c r="D424" s="13" t="s">
        <v>72</v>
      </c>
      <c r="E424" s="13" t="s">
        <v>791</v>
      </c>
      <c r="F424" s="13" t="str">
        <f t="shared" ref="F424:F434" si="3">LEFT(D424,1)&amp;"_"&amp;E424</f>
        <v>S_Y90</v>
      </c>
      <c r="G424" s="3">
        <v>47.634</v>
      </c>
      <c r="H424" s="3">
        <f>IFERROR(INDEX('Tagging key'!D:D, MATCH(F424,'Tagging key'!C:C,0)),"")</f>
        <v>67</v>
      </c>
      <c r="I424" s="3">
        <f>IFERROR(INDEX('Tagging key'!E:E, MATCH(F424,'Tagging key'!C:C,0)),"")</f>
        <v>70</v>
      </c>
      <c r="J424" s="3">
        <f>IFERROR(INDEX('Tagging key'!F:F, MATCH(F424,'Tagging key'!C:C,0)),"")</f>
        <v>20</v>
      </c>
      <c r="K424" s="3">
        <v>44.43</v>
      </c>
      <c r="L424" s="3">
        <v>68.739999999999995</v>
      </c>
      <c r="M424" s="3">
        <v>70.650000000000006</v>
      </c>
      <c r="N424" s="3">
        <v>23.04</v>
      </c>
      <c r="O424" s="3"/>
      <c r="P424" s="22">
        <v>45879</v>
      </c>
      <c r="Q424" s="22">
        <v>45879</v>
      </c>
      <c r="R424" s="3">
        <v>28.007999999999999</v>
      </c>
      <c r="S424" t="s">
        <v>792</v>
      </c>
    </row>
    <row r="425" spans="1:19" hidden="1" x14ac:dyDescent="0.25">
      <c r="A425" s="13">
        <v>12</v>
      </c>
      <c r="B425" s="13">
        <v>7</v>
      </c>
      <c r="C425" s="13" t="s">
        <v>176</v>
      </c>
      <c r="D425" s="13" t="s">
        <v>72</v>
      </c>
      <c r="E425" s="13" t="s">
        <v>793</v>
      </c>
      <c r="F425" s="13" t="str">
        <f t="shared" si="3"/>
        <v>S_Y16</v>
      </c>
      <c r="G425" s="3">
        <v>44.228000000000002</v>
      </c>
      <c r="H425" s="3">
        <f>IFERROR(INDEX('Tagging key'!D:D, MATCH(F425,'Tagging key'!C:C,0)),"")</f>
        <v>67</v>
      </c>
      <c r="I425" s="3">
        <f>IFERROR(INDEX('Tagging key'!E:E, MATCH(F425,'Tagging key'!C:C,0)),"")</f>
        <v>70</v>
      </c>
      <c r="J425" s="3">
        <f>IFERROR(INDEX('Tagging key'!F:F, MATCH(F425,'Tagging key'!C:C,0)),"")</f>
        <v>19</v>
      </c>
      <c r="K425" s="3">
        <v>46.341999999999999</v>
      </c>
      <c r="L425" s="3">
        <v>70.2</v>
      </c>
      <c r="M425" s="3">
        <v>71.94</v>
      </c>
      <c r="N425" s="3">
        <v>19.8</v>
      </c>
      <c r="O425" s="3"/>
      <c r="P425" s="22">
        <v>45886</v>
      </c>
      <c r="Q425" s="22">
        <v>45886</v>
      </c>
      <c r="R425" s="3">
        <v>20.960999999999999</v>
      </c>
    </row>
    <row r="426" spans="1:19" x14ac:dyDescent="0.25">
      <c r="A426" s="13">
        <v>12</v>
      </c>
      <c r="B426" s="13">
        <v>7</v>
      </c>
      <c r="C426" s="13" t="s">
        <v>176</v>
      </c>
      <c r="D426" s="13" t="s">
        <v>72</v>
      </c>
      <c r="E426" s="13" t="s">
        <v>794</v>
      </c>
      <c r="F426" s="13" t="str">
        <f t="shared" si="3"/>
        <v>S_G47</v>
      </c>
      <c r="G426" s="3">
        <v>48.101999999999997</v>
      </c>
      <c r="H426" s="3">
        <f>IFERROR(INDEX('Tagging key'!D:D, MATCH(F426,'Tagging key'!C:C,0)),"")</f>
        <v>72</v>
      </c>
      <c r="I426" s="3">
        <f>IFERROR(INDEX('Tagging key'!E:E, MATCH(F426,'Tagging key'!C:C,0)),"")</f>
        <v>71</v>
      </c>
      <c r="J426" s="3">
        <f>IFERROR(INDEX('Tagging key'!F:F, MATCH(F426,'Tagging key'!C:C,0)),"")</f>
        <v>18</v>
      </c>
      <c r="K426" s="3">
        <v>47.673000000000002</v>
      </c>
      <c r="L426" s="3">
        <v>73.53</v>
      </c>
      <c r="M426" s="3">
        <v>73.430000000000007</v>
      </c>
      <c r="N426" s="3">
        <v>19.420000000000002</v>
      </c>
      <c r="O426" s="3"/>
      <c r="P426" s="22">
        <v>45882</v>
      </c>
      <c r="Q426" s="22">
        <v>45882</v>
      </c>
      <c r="R426" s="3"/>
    </row>
    <row r="427" spans="1:19" hidden="1" x14ac:dyDescent="0.25">
      <c r="A427" s="14">
        <v>12</v>
      </c>
      <c r="B427" s="14">
        <v>8</v>
      </c>
      <c r="C427" s="14" t="s">
        <v>176</v>
      </c>
      <c r="D427" s="14" t="s">
        <v>72</v>
      </c>
      <c r="E427" s="14" t="s">
        <v>795</v>
      </c>
      <c r="F427" s="14" t="str">
        <f t="shared" si="3"/>
        <v>S_G49</v>
      </c>
      <c r="G427" s="3">
        <v>72.144999999999996</v>
      </c>
      <c r="H427" s="3">
        <f>IFERROR(INDEX('Tagging key'!D:D, MATCH(F427,'Tagging key'!C:C,0)),"")</f>
        <v>77.67</v>
      </c>
      <c r="I427" s="3">
        <f>IFERROR(INDEX('Tagging key'!E:E, MATCH(F427,'Tagging key'!C:C,0)),"")</f>
        <v>83.89</v>
      </c>
      <c r="J427" s="3">
        <f>IFERROR(INDEX('Tagging key'!F:F, MATCH(F427,'Tagging key'!C:C,0)),"")</f>
        <v>22.37</v>
      </c>
      <c r="K427" s="3">
        <v>68.638999999999996</v>
      </c>
      <c r="L427" s="3">
        <v>78.489999999999995</v>
      </c>
      <c r="M427" s="3">
        <v>85.02</v>
      </c>
      <c r="N427" s="3">
        <v>23.81</v>
      </c>
      <c r="O427" s="3"/>
      <c r="P427" s="22">
        <v>45877</v>
      </c>
      <c r="Q427" s="22">
        <v>45877</v>
      </c>
      <c r="R427" s="3"/>
    </row>
    <row r="428" spans="1:19" hidden="1" x14ac:dyDescent="0.25">
      <c r="A428" s="14">
        <v>12</v>
      </c>
      <c r="B428" s="14">
        <v>8</v>
      </c>
      <c r="C428" s="14" t="s">
        <v>176</v>
      </c>
      <c r="D428" s="14" t="s">
        <v>72</v>
      </c>
      <c r="E428" s="14" t="s">
        <v>796</v>
      </c>
      <c r="F428" s="14" t="str">
        <f t="shared" si="3"/>
        <v>S_Y87</v>
      </c>
      <c r="G428" s="3">
        <v>51.034999999999997</v>
      </c>
      <c r="H428" s="3">
        <f>IFERROR(INDEX('Tagging key'!D:D, MATCH(F428,'Tagging key'!C:C,0)),"")</f>
        <v>75</v>
      </c>
      <c r="I428" s="3">
        <f>IFERROR(INDEX('Tagging key'!E:E, MATCH(F428,'Tagging key'!C:C,0)),"")</f>
        <v>74</v>
      </c>
      <c r="J428" s="3">
        <f>IFERROR(INDEX('Tagging key'!F:F, MATCH(F428,'Tagging key'!C:C,0)),"")</f>
        <v>17</v>
      </c>
      <c r="K428" s="3">
        <v>49.473999999999997</v>
      </c>
      <c r="L428" s="3">
        <v>76.44</v>
      </c>
      <c r="M428" s="3">
        <v>75.260000000000005</v>
      </c>
      <c r="N428" s="3">
        <v>19.71</v>
      </c>
      <c r="O428" s="3"/>
      <c r="P428" s="22">
        <v>45886</v>
      </c>
      <c r="Q428" s="22">
        <v>45886</v>
      </c>
      <c r="R428" s="3"/>
    </row>
    <row r="429" spans="1:19" x14ac:dyDescent="0.25">
      <c r="A429" s="14">
        <v>12</v>
      </c>
      <c r="B429" s="14">
        <v>8</v>
      </c>
      <c r="C429" s="14" t="s">
        <v>176</v>
      </c>
      <c r="D429" s="14" t="s">
        <v>72</v>
      </c>
      <c r="E429" s="14" t="s">
        <v>797</v>
      </c>
      <c r="F429" s="14" t="str">
        <f t="shared" si="3"/>
        <v>S_Y57</v>
      </c>
      <c r="G429" s="3">
        <v>61.607999999999997</v>
      </c>
      <c r="H429" s="3">
        <f>IFERROR(INDEX('Tagging key'!D:D, MATCH(F429,'Tagging key'!C:C,0)),"")</f>
        <v>75</v>
      </c>
      <c r="I429" s="3">
        <f>IFERROR(INDEX('Tagging key'!E:E, MATCH(F429,'Tagging key'!C:C,0)),"")</f>
        <v>77</v>
      </c>
      <c r="J429" s="3">
        <f>IFERROR(INDEX('Tagging key'!F:F, MATCH(F429,'Tagging key'!C:C,0)),"")</f>
        <v>21</v>
      </c>
      <c r="K429" s="3">
        <v>61.473999999999997</v>
      </c>
      <c r="L429" s="3">
        <v>74.94</v>
      </c>
      <c r="M429" s="3">
        <v>78.569999999999993</v>
      </c>
      <c r="N429" s="3">
        <v>23.22</v>
      </c>
      <c r="O429" s="3"/>
      <c r="P429" s="22">
        <v>45882</v>
      </c>
      <c r="Q429" s="22">
        <v>45882</v>
      </c>
      <c r="R429" s="3">
        <v>21.260999999999999</v>
      </c>
    </row>
    <row r="430" spans="1:19" hidden="1" x14ac:dyDescent="0.25">
      <c r="A430" s="14">
        <v>12</v>
      </c>
      <c r="B430" s="14">
        <v>8</v>
      </c>
      <c r="C430" s="14" t="s">
        <v>176</v>
      </c>
      <c r="D430" s="14" t="s">
        <v>72</v>
      </c>
      <c r="E430" s="14" t="s">
        <v>798</v>
      </c>
      <c r="F430" s="14" t="str">
        <f t="shared" si="3"/>
        <v>S_Y92</v>
      </c>
      <c r="G430" s="3">
        <v>50.048999999999999</v>
      </c>
      <c r="H430" s="3">
        <f>IFERROR(INDEX('Tagging key'!D:D, MATCH(F430,'Tagging key'!C:C,0)),"")</f>
        <v>70</v>
      </c>
      <c r="I430" s="3">
        <f>IFERROR(INDEX('Tagging key'!E:E, MATCH(F430,'Tagging key'!C:C,0)),"")</f>
        <v>73</v>
      </c>
      <c r="J430" s="3">
        <f>IFERROR(INDEX('Tagging key'!F:F, MATCH(F430,'Tagging key'!C:C,0)),"")</f>
        <v>17</v>
      </c>
      <c r="K430" s="3">
        <v>49.15</v>
      </c>
      <c r="L430" s="3">
        <v>72.11</v>
      </c>
      <c r="M430" s="3">
        <v>73.69</v>
      </c>
      <c r="N430" s="3">
        <v>20.75</v>
      </c>
      <c r="O430" s="3"/>
      <c r="P430" s="22">
        <v>45879</v>
      </c>
      <c r="Q430" s="22">
        <v>45879</v>
      </c>
      <c r="R430" s="3"/>
    </row>
    <row r="431" spans="1:19" hidden="1" x14ac:dyDescent="0.25">
      <c r="A431" s="13">
        <v>12</v>
      </c>
      <c r="B431" s="13">
        <v>9</v>
      </c>
      <c r="C431" s="13" t="s">
        <v>176</v>
      </c>
      <c r="D431" s="13" t="s">
        <v>72</v>
      </c>
      <c r="E431" s="13" t="s">
        <v>799</v>
      </c>
      <c r="F431" s="13" t="str">
        <f t="shared" si="3"/>
        <v>S_W60</v>
      </c>
      <c r="G431" s="3">
        <v>51.582000000000001</v>
      </c>
      <c r="H431" s="3">
        <f>IFERROR(INDEX('Tagging key'!D:D, MATCH(F431,'Tagging key'!C:C,0)),"")</f>
        <v>71</v>
      </c>
      <c r="I431" s="3">
        <f>IFERROR(INDEX('Tagging key'!E:E, MATCH(F431,'Tagging key'!C:C,0)),"")</f>
        <v>74</v>
      </c>
      <c r="J431" s="3">
        <f>IFERROR(INDEX('Tagging key'!F:F, MATCH(F431,'Tagging key'!C:C,0)),"")</f>
        <v>17</v>
      </c>
      <c r="K431" s="3">
        <v>51.323</v>
      </c>
      <c r="L431" s="3">
        <v>71.599999999999994</v>
      </c>
      <c r="M431" s="3">
        <v>75.98</v>
      </c>
      <c r="N431" s="3">
        <v>21.04</v>
      </c>
      <c r="O431" s="3"/>
      <c r="P431" s="22">
        <v>45886</v>
      </c>
      <c r="Q431" s="22">
        <v>45886</v>
      </c>
      <c r="R431" s="3">
        <v>24.145</v>
      </c>
    </row>
    <row r="432" spans="1:19" hidden="1" x14ac:dyDescent="0.25">
      <c r="A432" s="13">
        <v>12</v>
      </c>
      <c r="B432" s="13">
        <v>9</v>
      </c>
      <c r="C432" s="13" t="s">
        <v>176</v>
      </c>
      <c r="D432" s="13" t="s">
        <v>72</v>
      </c>
      <c r="E432" s="13" t="s">
        <v>800</v>
      </c>
      <c r="F432" s="13" t="str">
        <f>LEFT(D432,1)&amp;"_"&amp;E432</f>
        <v>S_W86</v>
      </c>
      <c r="G432" s="3">
        <v>40.718000000000004</v>
      </c>
      <c r="H432" s="3">
        <f>IFERROR(INDEX('Tagging key'!D:D, MATCH(F432,'Tagging key'!C:C,0)),"")</f>
        <v>66</v>
      </c>
      <c r="I432" s="3">
        <f>IFERROR(INDEX('Tagging key'!E:E, MATCH(F432,'Tagging key'!C:C,0)),"")</f>
        <v>68</v>
      </c>
      <c r="J432" s="3">
        <f>IFERROR(INDEX('Tagging key'!F:F, MATCH(F432,'Tagging key'!C:C,0)),"")</f>
        <v>19</v>
      </c>
      <c r="K432" s="3">
        <v>38.000999999999998</v>
      </c>
      <c r="L432" s="3">
        <v>66.72</v>
      </c>
      <c r="M432" s="3">
        <v>69.25</v>
      </c>
      <c r="N432" s="3">
        <v>18.739999999999998</v>
      </c>
      <c r="O432" s="3"/>
      <c r="P432" s="22">
        <v>45877</v>
      </c>
      <c r="Q432" s="22">
        <v>45877</v>
      </c>
      <c r="R432" s="3"/>
    </row>
    <row r="433" spans="1:19" x14ac:dyDescent="0.25">
      <c r="A433" s="13">
        <v>12</v>
      </c>
      <c r="B433" s="13">
        <v>9</v>
      </c>
      <c r="C433" s="13" t="s">
        <v>176</v>
      </c>
      <c r="D433" s="13" t="s">
        <v>72</v>
      </c>
      <c r="E433" s="13" t="s">
        <v>801</v>
      </c>
      <c r="F433" s="13" t="str">
        <f t="shared" si="3"/>
        <v>S_W77</v>
      </c>
      <c r="G433" s="3">
        <v>53.024999999999999</v>
      </c>
      <c r="H433" s="3">
        <f>IFERROR(INDEX('Tagging key'!D:D, MATCH(F433,'Tagging key'!C:C,0)),"")</f>
        <v>72</v>
      </c>
      <c r="I433" s="3">
        <f>IFERROR(INDEX('Tagging key'!E:E, MATCH(F433,'Tagging key'!C:C,0)),"")</f>
        <v>74</v>
      </c>
      <c r="J433" s="3">
        <f>IFERROR(INDEX('Tagging key'!F:F, MATCH(F433,'Tagging key'!C:C,0)),"")</f>
        <v>21</v>
      </c>
      <c r="K433" s="3">
        <v>48.731999999999999</v>
      </c>
      <c r="L433" s="3">
        <v>72.56</v>
      </c>
      <c r="M433" s="3">
        <v>74.2</v>
      </c>
      <c r="N433" s="3">
        <v>21.31</v>
      </c>
      <c r="O433" s="3"/>
      <c r="P433" s="22">
        <v>45882</v>
      </c>
      <c r="Q433" s="22">
        <v>45882</v>
      </c>
      <c r="R433" s="3">
        <v>25.050999999999998</v>
      </c>
    </row>
    <row r="434" spans="1:19" hidden="1" x14ac:dyDescent="0.25">
      <c r="A434" s="13">
        <v>12</v>
      </c>
      <c r="B434" s="13">
        <v>9</v>
      </c>
      <c r="C434" s="13" t="s">
        <v>176</v>
      </c>
      <c r="D434" s="13" t="s">
        <v>72</v>
      </c>
      <c r="E434" s="13" t="s">
        <v>802</v>
      </c>
      <c r="F434" s="13" t="str">
        <f t="shared" si="3"/>
        <v>S_Y41</v>
      </c>
      <c r="G434" s="3">
        <v>50.713999999999999</v>
      </c>
      <c r="H434" s="3">
        <f>IFERROR(INDEX('Tagging key'!D:D, MATCH(F434,'Tagging key'!C:C,0)),"")</f>
        <v>71</v>
      </c>
      <c r="I434" s="3">
        <f>IFERROR(INDEX('Tagging key'!E:E, MATCH(F434,'Tagging key'!C:C,0)),"")</f>
        <v>72</v>
      </c>
      <c r="J434" s="3">
        <f>IFERROR(INDEX('Tagging key'!F:F, MATCH(F434,'Tagging key'!C:C,0)),"")</f>
        <v>17</v>
      </c>
      <c r="K434" s="3">
        <v>52.526000000000003</v>
      </c>
      <c r="L434" s="3">
        <v>71.56</v>
      </c>
      <c r="M434" s="3">
        <v>74.28</v>
      </c>
      <c r="N434" s="3">
        <v>22.69</v>
      </c>
      <c r="O434" s="3"/>
      <c r="P434" s="22">
        <v>45879</v>
      </c>
      <c r="Q434" s="22">
        <v>45879</v>
      </c>
      <c r="R434" s="3"/>
    </row>
    <row r="435" spans="1:19" hidden="1" x14ac:dyDescent="0.25">
      <c r="A435" s="11">
        <v>13</v>
      </c>
      <c r="B435" s="11">
        <v>1</v>
      </c>
      <c r="C435" s="11" t="s">
        <v>248</v>
      </c>
      <c r="D435" s="11" t="s">
        <v>46</v>
      </c>
      <c r="E435" s="11" t="s">
        <v>610</v>
      </c>
      <c r="F435" s="11" t="s">
        <v>803</v>
      </c>
      <c r="G435" s="3">
        <v>34.159999999999997</v>
      </c>
      <c r="H435" s="3">
        <f>IFERROR(INDEX('Tagging key'!D:D, MATCH(F435,'Tagging key'!C:C,0)),"")</f>
        <v>71</v>
      </c>
      <c r="I435" s="3">
        <f>IFERROR(INDEX('Tagging key'!E:E, MATCH(F435,'Tagging key'!C:C,0)),"")</f>
        <v>34</v>
      </c>
      <c r="J435" s="3">
        <f>IFERROR(INDEX('Tagging key'!F:F, MATCH(F435,'Tagging key'!C:C,0)),"")</f>
        <v>26</v>
      </c>
      <c r="K435" s="3">
        <v>34.606999999999999</v>
      </c>
      <c r="L435" s="3">
        <v>71.67</v>
      </c>
      <c r="M435" s="3">
        <v>34.54</v>
      </c>
      <c r="N435" s="3">
        <v>26.86</v>
      </c>
      <c r="O435" s="3"/>
      <c r="P435" s="22">
        <v>45877</v>
      </c>
      <c r="Q435" s="22">
        <v>45877</v>
      </c>
      <c r="R435" s="3"/>
    </row>
    <row r="436" spans="1:19" hidden="1" x14ac:dyDescent="0.25">
      <c r="A436" s="11">
        <v>13</v>
      </c>
      <c r="B436" s="11">
        <v>1</v>
      </c>
      <c r="C436" s="11" t="s">
        <v>248</v>
      </c>
      <c r="D436" s="11" t="s">
        <v>46</v>
      </c>
      <c r="E436" s="11" t="s">
        <v>804</v>
      </c>
      <c r="F436" s="11" t="s">
        <v>805</v>
      </c>
      <c r="G436" s="3">
        <v>35.811999999999998</v>
      </c>
      <c r="H436" s="3">
        <f>IFERROR(INDEX('Tagging key'!D:D, MATCH(F436,'Tagging key'!C:C,0)),"")</f>
        <v>71</v>
      </c>
      <c r="I436" s="3">
        <f>IFERROR(INDEX('Tagging key'!E:E, MATCH(F436,'Tagging key'!C:C,0)),"")</f>
        <v>36</v>
      </c>
      <c r="J436" s="3">
        <f>IFERROR(INDEX('Tagging key'!F:F, MATCH(F436,'Tagging key'!C:C,0)),"")</f>
        <v>27</v>
      </c>
      <c r="K436" s="3">
        <v>36.927</v>
      </c>
      <c r="L436" s="3">
        <v>73.44</v>
      </c>
      <c r="M436" s="3">
        <v>36.47</v>
      </c>
      <c r="N436" s="3">
        <v>28.91</v>
      </c>
      <c r="O436" s="3"/>
      <c r="P436" s="22">
        <v>45879</v>
      </c>
      <c r="Q436" s="22">
        <v>45879</v>
      </c>
      <c r="R436" s="3"/>
    </row>
    <row r="437" spans="1:19" x14ac:dyDescent="0.25">
      <c r="A437" s="11">
        <v>13</v>
      </c>
      <c r="B437" s="11">
        <v>1</v>
      </c>
      <c r="C437" s="11" t="s">
        <v>248</v>
      </c>
      <c r="D437" s="11" t="s">
        <v>46</v>
      </c>
      <c r="E437" s="11" t="s">
        <v>552</v>
      </c>
      <c r="F437" s="11" t="s">
        <v>806</v>
      </c>
      <c r="G437" s="3">
        <v>44.893000000000001</v>
      </c>
      <c r="H437" s="3">
        <f>IFERROR(INDEX('Tagging key'!D:D, MATCH(F437,'Tagging key'!C:C,0)),"")</f>
        <v>75.66</v>
      </c>
      <c r="I437" s="3">
        <f>IFERROR(INDEX('Tagging key'!E:E, MATCH(F437,'Tagging key'!C:C,0)),"")</f>
        <v>41.6</v>
      </c>
      <c r="J437" s="3">
        <f>IFERROR(INDEX('Tagging key'!F:F, MATCH(F437,'Tagging key'!C:C,0)),"")</f>
        <v>29.11</v>
      </c>
      <c r="K437" s="3">
        <v>45.289000000000001</v>
      </c>
      <c r="L437" s="3">
        <v>75.72</v>
      </c>
      <c r="M437" s="3">
        <v>38.11</v>
      </c>
      <c r="N437" s="3">
        <v>29.17</v>
      </c>
      <c r="O437" s="3"/>
      <c r="P437" s="22">
        <v>45882</v>
      </c>
      <c r="Q437" s="22">
        <v>45882</v>
      </c>
      <c r="R437" s="3">
        <v>17.271000000000001</v>
      </c>
    </row>
    <row r="438" spans="1:19" hidden="1" x14ac:dyDescent="0.25">
      <c r="A438" s="11">
        <v>13</v>
      </c>
      <c r="B438" s="11">
        <v>1</v>
      </c>
      <c r="C438" s="11" t="s">
        <v>248</v>
      </c>
      <c r="D438" s="11" t="s">
        <v>46</v>
      </c>
      <c r="E438" s="11" t="s">
        <v>127</v>
      </c>
      <c r="F438" s="11" t="s">
        <v>807</v>
      </c>
      <c r="G438" s="3">
        <v>41.997999999999998</v>
      </c>
      <c r="H438" s="3">
        <f>IFERROR(INDEX('Tagging key'!D:D, MATCH(F438,'Tagging key'!C:C,0)),"")</f>
        <v>78.209999999999994</v>
      </c>
      <c r="I438" s="3">
        <f>IFERROR(INDEX('Tagging key'!E:E, MATCH(F438,'Tagging key'!C:C,0)),"")</f>
        <v>38.83</v>
      </c>
      <c r="J438" s="3">
        <f>IFERROR(INDEX('Tagging key'!F:F, MATCH(F438,'Tagging key'!C:C,0)),"")</f>
        <v>26.95</v>
      </c>
      <c r="K438" s="3">
        <v>42.243000000000002</v>
      </c>
      <c r="L438" s="3">
        <v>77.709999999999994</v>
      </c>
      <c r="M438" s="3">
        <v>37.61</v>
      </c>
      <c r="N438" s="3">
        <v>27.27</v>
      </c>
      <c r="O438" s="3"/>
      <c r="P438" s="22">
        <v>45886</v>
      </c>
      <c r="Q438" s="22">
        <v>45886</v>
      </c>
      <c r="R438" s="3"/>
    </row>
    <row r="439" spans="1:19" hidden="1" x14ac:dyDescent="0.25">
      <c r="A439" s="12">
        <v>13</v>
      </c>
      <c r="B439" s="12">
        <v>2</v>
      </c>
      <c r="C439" s="12" t="s">
        <v>248</v>
      </c>
      <c r="D439" s="12" t="s">
        <v>46</v>
      </c>
      <c r="E439" s="12" t="s">
        <v>281</v>
      </c>
      <c r="F439" s="12" t="s">
        <v>808</v>
      </c>
      <c r="G439" s="3">
        <v>93.994</v>
      </c>
      <c r="H439" s="3">
        <f>IFERROR(INDEX('Tagging key'!D:D, MATCH(F439,'Tagging key'!C:C,0)),"")</f>
        <v>97</v>
      </c>
      <c r="I439" s="3">
        <f>IFERROR(INDEX('Tagging key'!E:E, MATCH(F439,'Tagging key'!C:C,0)),"")</f>
        <v>45</v>
      </c>
      <c r="J439" s="3">
        <f>IFERROR(INDEX('Tagging key'!F:F, MATCH(F439,'Tagging key'!C:C,0)),"")</f>
        <v>35</v>
      </c>
      <c r="K439" s="3">
        <v>94.102000000000004</v>
      </c>
      <c r="L439" s="3">
        <v>100.3</v>
      </c>
      <c r="M439" s="3">
        <v>47.51</v>
      </c>
      <c r="N439" s="3">
        <v>37.75</v>
      </c>
      <c r="O439" s="3"/>
      <c r="P439" s="22">
        <v>45877</v>
      </c>
      <c r="Q439" s="22">
        <v>45877</v>
      </c>
      <c r="R439" s="3"/>
    </row>
    <row r="440" spans="1:19" x14ac:dyDescent="0.25">
      <c r="A440" s="12">
        <v>13</v>
      </c>
      <c r="B440" s="12">
        <v>2</v>
      </c>
      <c r="C440" s="12" t="s">
        <v>248</v>
      </c>
      <c r="D440" s="12" t="s">
        <v>46</v>
      </c>
      <c r="E440" s="12" t="s">
        <v>809</v>
      </c>
      <c r="F440" s="12" t="s">
        <v>810</v>
      </c>
      <c r="G440" s="3">
        <v>54.668999999999997</v>
      </c>
      <c r="H440" s="3">
        <f>IFERROR(INDEX('Tagging key'!D:D, MATCH(F440,'Tagging key'!C:C,0)),"")</f>
        <v>85</v>
      </c>
      <c r="I440" s="3">
        <f>IFERROR(INDEX('Tagging key'!E:E, MATCH(F440,'Tagging key'!C:C,0)),"")</f>
        <v>39</v>
      </c>
      <c r="J440" s="3">
        <f>IFERROR(INDEX('Tagging key'!F:F, MATCH(F440,'Tagging key'!C:C,0)),"")</f>
        <v>30</v>
      </c>
      <c r="K440" s="3">
        <v>55.295000000000002</v>
      </c>
      <c r="L440" s="3">
        <v>85.86</v>
      </c>
      <c r="M440" s="3">
        <v>37.71</v>
      </c>
      <c r="N440" s="3">
        <v>30.97</v>
      </c>
      <c r="O440" s="3"/>
      <c r="P440" s="22">
        <v>45882</v>
      </c>
      <c r="Q440" s="22">
        <v>45882</v>
      </c>
      <c r="R440" s="3">
        <v>18.872</v>
      </c>
    </row>
    <row r="441" spans="1:19" hidden="1" x14ac:dyDescent="0.25">
      <c r="A441" s="12">
        <v>13</v>
      </c>
      <c r="B441" s="12">
        <v>2</v>
      </c>
      <c r="C441" s="12" t="s">
        <v>248</v>
      </c>
      <c r="D441" s="12" t="s">
        <v>46</v>
      </c>
      <c r="E441" s="12" t="s">
        <v>811</v>
      </c>
      <c r="F441" s="12" t="s">
        <v>812</v>
      </c>
      <c r="G441" s="3">
        <v>38.542000000000002</v>
      </c>
      <c r="H441" s="3">
        <f>IFERROR(INDEX('Tagging key'!D:D, MATCH(F441,'Tagging key'!C:C,0)),"")</f>
        <v>73.67</v>
      </c>
      <c r="I441" s="3">
        <f>IFERROR(INDEX('Tagging key'!E:E, MATCH(F441,'Tagging key'!C:C,0)),"")</f>
        <v>41.67</v>
      </c>
      <c r="J441" s="3">
        <f>IFERROR(INDEX('Tagging key'!F:F, MATCH(F441,'Tagging key'!C:C,0)),"")</f>
        <v>27.76</v>
      </c>
      <c r="K441" s="3">
        <v>39.838000000000001</v>
      </c>
      <c r="L441" s="3">
        <v>73.67</v>
      </c>
      <c r="M441" s="3">
        <v>39.659999999999997</v>
      </c>
      <c r="N441" s="3">
        <v>28.25</v>
      </c>
      <c r="O441" s="3"/>
      <c r="P441" s="22">
        <v>45886</v>
      </c>
      <c r="Q441" s="22">
        <v>45886</v>
      </c>
      <c r="R441" s="3"/>
    </row>
    <row r="442" spans="1:19" hidden="1" x14ac:dyDescent="0.25">
      <c r="A442" s="12">
        <v>13</v>
      </c>
      <c r="B442" s="12">
        <v>2</v>
      </c>
      <c r="C442" s="12" t="s">
        <v>248</v>
      </c>
      <c r="D442" s="12" t="s">
        <v>46</v>
      </c>
      <c r="E442" s="12" t="s">
        <v>322</v>
      </c>
      <c r="F442" s="12" t="s">
        <v>813</v>
      </c>
      <c r="G442" s="3">
        <v>55.759</v>
      </c>
      <c r="H442" s="3">
        <f>IFERROR(INDEX('Tagging key'!D:D, MATCH(F442,'Tagging key'!C:C,0)),"")</f>
        <v>83.77</v>
      </c>
      <c r="I442" s="3">
        <f>IFERROR(INDEX('Tagging key'!E:E, MATCH(F442,'Tagging key'!C:C,0)),"")</f>
        <v>45.12</v>
      </c>
      <c r="J442" s="3">
        <f>IFERROR(INDEX('Tagging key'!F:F, MATCH(F442,'Tagging key'!C:C,0)),"")</f>
        <v>32.700000000000003</v>
      </c>
      <c r="K442" s="3">
        <v>56</v>
      </c>
      <c r="L442" s="3">
        <v>84.09</v>
      </c>
      <c r="M442" s="3">
        <v>39.57</v>
      </c>
      <c r="N442" s="3">
        <v>33.22</v>
      </c>
      <c r="O442" s="3"/>
      <c r="P442" s="22">
        <v>45879</v>
      </c>
      <c r="Q442" s="22">
        <v>45879</v>
      </c>
      <c r="R442" s="3"/>
    </row>
    <row r="443" spans="1:19" hidden="1" x14ac:dyDescent="0.25">
      <c r="A443" s="11">
        <v>13</v>
      </c>
      <c r="B443" s="11">
        <v>3</v>
      </c>
      <c r="C443" s="11" t="s">
        <v>248</v>
      </c>
      <c r="D443" s="11" t="s">
        <v>46</v>
      </c>
      <c r="E443" s="11" t="s">
        <v>814</v>
      </c>
      <c r="F443" s="11" t="s">
        <v>815</v>
      </c>
      <c r="G443" s="3">
        <v>34.488999999999997</v>
      </c>
      <c r="H443" s="3">
        <f>IFERROR(INDEX('Tagging key'!D:D, MATCH(F443,'Tagging key'!C:C,0)),"")</f>
        <v>73.709999999999994</v>
      </c>
      <c r="I443" s="3">
        <f>IFERROR(INDEX('Tagging key'!E:E, MATCH(F443,'Tagging key'!C:C,0)),"")</f>
        <v>38.79</v>
      </c>
      <c r="J443" s="3">
        <f>IFERROR(INDEX('Tagging key'!F:F, MATCH(F443,'Tagging key'!C:C,0)),"")</f>
        <v>26.22</v>
      </c>
      <c r="K443" s="3">
        <v>34.805999999999997</v>
      </c>
      <c r="L443" s="3">
        <v>74.489999999999995</v>
      </c>
      <c r="M443" s="3">
        <v>38.74</v>
      </c>
      <c r="N443" s="3">
        <v>25.62</v>
      </c>
      <c r="O443" s="3"/>
      <c r="P443" s="22">
        <v>45879</v>
      </c>
      <c r="Q443" s="22">
        <v>45879</v>
      </c>
      <c r="R443" s="3"/>
    </row>
    <row r="444" spans="1:19" hidden="1" x14ac:dyDescent="0.25">
      <c r="A444" s="11">
        <v>13</v>
      </c>
      <c r="B444" s="11">
        <v>3</v>
      </c>
      <c r="C444" s="11" t="s">
        <v>248</v>
      </c>
      <c r="D444" s="11" t="s">
        <v>46</v>
      </c>
      <c r="E444" s="11" t="s">
        <v>816</v>
      </c>
      <c r="F444" s="11" t="s">
        <v>817</v>
      </c>
      <c r="G444" s="3">
        <v>68.991</v>
      </c>
      <c r="H444" s="3">
        <f>IFERROR(INDEX('Tagging key'!D:D, MATCH(F444,'Tagging key'!C:C,0)),"")</f>
        <v>84.12</v>
      </c>
      <c r="I444" s="3">
        <f>IFERROR(INDEX('Tagging key'!E:E, MATCH(F444,'Tagging key'!C:C,0)),"")</f>
        <v>38.18</v>
      </c>
      <c r="J444" s="3">
        <f>IFERROR(INDEX('Tagging key'!F:F, MATCH(F444,'Tagging key'!C:C,0)),"")</f>
        <v>34.619999999999997</v>
      </c>
      <c r="K444" s="3">
        <v>69.64</v>
      </c>
      <c r="L444" s="3">
        <v>83.56</v>
      </c>
      <c r="M444" s="3">
        <v>37.85</v>
      </c>
      <c r="N444" s="3">
        <v>34.81</v>
      </c>
      <c r="O444" s="3"/>
      <c r="P444" s="22">
        <v>45886</v>
      </c>
      <c r="Q444" s="22">
        <v>45886</v>
      </c>
      <c r="R444" s="3"/>
    </row>
    <row r="445" spans="1:19" x14ac:dyDescent="0.25">
      <c r="A445" s="11">
        <v>13</v>
      </c>
      <c r="B445" s="11">
        <v>3</v>
      </c>
      <c r="C445" s="11" t="s">
        <v>248</v>
      </c>
      <c r="D445" s="11" t="s">
        <v>46</v>
      </c>
      <c r="E445" s="11" t="s">
        <v>818</v>
      </c>
      <c r="F445" s="11" t="s">
        <v>819</v>
      </c>
      <c r="G445" s="3">
        <v>59.125</v>
      </c>
      <c r="H445" s="3">
        <f>IFERROR(INDEX('Tagging key'!D:D, MATCH(F445,'Tagging key'!C:C,0)),"")</f>
        <v>83</v>
      </c>
      <c r="I445" s="3">
        <f>IFERROR(INDEX('Tagging key'!E:E, MATCH(F445,'Tagging key'!C:C,0)),"")</f>
        <v>41</v>
      </c>
      <c r="J445" s="3">
        <f>IFERROR(INDEX('Tagging key'!F:F, MATCH(F445,'Tagging key'!C:C,0)),"")</f>
        <v>30</v>
      </c>
      <c r="K445" s="3">
        <v>59.22</v>
      </c>
      <c r="L445" s="3">
        <v>84.42</v>
      </c>
      <c r="M445" s="3">
        <v>41.34</v>
      </c>
      <c r="N445" s="3">
        <v>30.24</v>
      </c>
      <c r="O445" s="3"/>
      <c r="P445" s="22">
        <v>45882</v>
      </c>
      <c r="Q445" s="22">
        <v>45882</v>
      </c>
      <c r="R445" s="3">
        <v>21.727</v>
      </c>
    </row>
    <row r="446" spans="1:19" hidden="1" x14ac:dyDescent="0.25">
      <c r="A446" s="11">
        <v>13</v>
      </c>
      <c r="B446" s="11">
        <v>3</v>
      </c>
      <c r="C446" s="11" t="s">
        <v>248</v>
      </c>
      <c r="D446" s="11" t="s">
        <v>46</v>
      </c>
      <c r="E446" s="11" t="s">
        <v>358</v>
      </c>
      <c r="F446" s="11" t="s">
        <v>820</v>
      </c>
      <c r="G446" s="3">
        <v>29.108000000000001</v>
      </c>
      <c r="H446" s="3">
        <f>IFERROR(INDEX('Tagging key'!D:D, MATCH(F446,'Tagging key'!C:C,0)),"")</f>
        <v>67.48</v>
      </c>
      <c r="I446" s="3">
        <f>IFERROR(INDEX('Tagging key'!E:E, MATCH(F446,'Tagging key'!C:C,0)),"")</f>
        <v>40.770000000000003</v>
      </c>
      <c r="J446" s="3">
        <f>IFERROR(INDEX('Tagging key'!F:F, MATCH(F446,'Tagging key'!C:C,0)),"")</f>
        <v>24.66</v>
      </c>
      <c r="K446" s="3">
        <v>29.46</v>
      </c>
      <c r="L446" s="3">
        <v>67.459999999999994</v>
      </c>
      <c r="M446" s="3">
        <v>34.82</v>
      </c>
      <c r="N446" s="3">
        <v>25.01</v>
      </c>
      <c r="O446" s="3"/>
      <c r="P446" s="22">
        <v>45877</v>
      </c>
      <c r="Q446" s="22">
        <v>45877</v>
      </c>
      <c r="R446" s="3"/>
    </row>
    <row r="447" spans="1:19" x14ac:dyDescent="0.25">
      <c r="A447" s="13">
        <v>13</v>
      </c>
      <c r="B447" s="13">
        <v>4</v>
      </c>
      <c r="C447" s="13" t="s">
        <v>248</v>
      </c>
      <c r="D447" s="13" t="s">
        <v>72</v>
      </c>
      <c r="E447" s="13" t="s">
        <v>821</v>
      </c>
      <c r="F447" s="13" t="str">
        <f>LEFT(D447,1)&amp;"_"&amp;E447</f>
        <v>S_G82</v>
      </c>
      <c r="G447" s="3">
        <v>43.87</v>
      </c>
      <c r="H447" s="3">
        <f>IFERROR(INDEX('Tagging key'!D:D, MATCH(F447,'Tagging key'!C:C,0)),"")</f>
        <v>69</v>
      </c>
      <c r="I447" s="3">
        <f>IFERROR(INDEX('Tagging key'!E:E, MATCH(F447,'Tagging key'!C:C,0)),"")</f>
        <v>73</v>
      </c>
      <c r="J447" s="3">
        <f>IFERROR(INDEX('Tagging key'!F:F, MATCH(F447,'Tagging key'!C:C,0)),"")</f>
        <v>18</v>
      </c>
      <c r="K447" s="3">
        <v>41.832000000000001</v>
      </c>
      <c r="L447" s="3">
        <v>70.260000000000005</v>
      </c>
      <c r="M447" s="3">
        <v>73.650000000000006</v>
      </c>
      <c r="N447" s="3">
        <v>19.11</v>
      </c>
      <c r="O447" s="3"/>
      <c r="P447" s="22">
        <v>45882</v>
      </c>
      <c r="Q447" s="22">
        <v>45882</v>
      </c>
      <c r="R447" s="3">
        <v>23.608000000000001</v>
      </c>
      <c r="S447" t="s">
        <v>822</v>
      </c>
    </row>
    <row r="448" spans="1:19" hidden="1" x14ac:dyDescent="0.25">
      <c r="A448" s="13">
        <v>13</v>
      </c>
      <c r="B448" s="13">
        <v>4</v>
      </c>
      <c r="C448" s="13" t="s">
        <v>248</v>
      </c>
      <c r="D448" s="13" t="s">
        <v>72</v>
      </c>
      <c r="E448" s="13" t="s">
        <v>823</v>
      </c>
      <c r="F448" s="13" t="str">
        <f t="shared" ref="F448:F458" si="4">LEFT(D448,1)&amp;"_"&amp;E448</f>
        <v>S_Y83</v>
      </c>
      <c r="G448" s="3">
        <v>52.36</v>
      </c>
      <c r="H448" s="3">
        <f>IFERROR(INDEX('Tagging key'!D:D, MATCH(F448,'Tagging key'!C:C,0)),"")</f>
        <v>74</v>
      </c>
      <c r="I448" s="3">
        <f>IFERROR(INDEX('Tagging key'!E:E, MATCH(F448,'Tagging key'!C:C,0)),"")</f>
        <v>77</v>
      </c>
      <c r="J448" s="3">
        <f>IFERROR(INDEX('Tagging key'!F:F, MATCH(F448,'Tagging key'!C:C,0)),"")</f>
        <v>17</v>
      </c>
      <c r="K448" s="3">
        <v>47.548999999999999</v>
      </c>
      <c r="L448" s="3">
        <v>74.760000000000005</v>
      </c>
      <c r="M448" s="3">
        <v>77.989999999999995</v>
      </c>
      <c r="N448" s="3">
        <v>22.98</v>
      </c>
      <c r="O448" s="3"/>
      <c r="P448" s="22">
        <v>45877</v>
      </c>
      <c r="Q448" s="22">
        <v>45877</v>
      </c>
      <c r="R448" s="3"/>
    </row>
    <row r="449" spans="1:19" hidden="1" x14ac:dyDescent="0.25">
      <c r="A449" s="13">
        <v>13</v>
      </c>
      <c r="B449" s="13">
        <v>4</v>
      </c>
      <c r="C449" s="13" t="s">
        <v>248</v>
      </c>
      <c r="D449" s="13" t="s">
        <v>72</v>
      </c>
      <c r="E449" s="13" t="s">
        <v>824</v>
      </c>
      <c r="F449" s="13" t="str">
        <f t="shared" si="4"/>
        <v>S_G88</v>
      </c>
      <c r="G449" s="3">
        <v>55.991</v>
      </c>
      <c r="H449" s="3">
        <f>IFERROR(INDEX('Tagging key'!D:D, MATCH(F449,'Tagging key'!C:C,0)),"")</f>
        <v>76</v>
      </c>
      <c r="I449" s="3">
        <f>IFERROR(INDEX('Tagging key'!E:E, MATCH(F449,'Tagging key'!C:C,0)),"")</f>
        <v>77</v>
      </c>
      <c r="J449" s="3">
        <f>IFERROR(INDEX('Tagging key'!F:F, MATCH(F449,'Tagging key'!C:C,0)),"")</f>
        <v>19</v>
      </c>
      <c r="K449" s="3">
        <v>50.959000000000003</v>
      </c>
      <c r="L449" s="3">
        <v>78.83</v>
      </c>
      <c r="M449" s="3">
        <v>78.900000000000006</v>
      </c>
      <c r="N449" s="3">
        <v>20.03</v>
      </c>
      <c r="O449" s="3"/>
      <c r="P449" s="22">
        <v>45879</v>
      </c>
      <c r="Q449" s="22">
        <v>45879</v>
      </c>
      <c r="R449" s="3"/>
    </row>
    <row r="450" spans="1:19" hidden="1" x14ac:dyDescent="0.25">
      <c r="A450" s="13">
        <v>13</v>
      </c>
      <c r="B450" s="13">
        <v>4</v>
      </c>
      <c r="C450" s="13" t="s">
        <v>248</v>
      </c>
      <c r="D450" s="13" t="s">
        <v>72</v>
      </c>
      <c r="E450" s="13" t="s">
        <v>825</v>
      </c>
      <c r="F450" s="13" t="str">
        <f t="shared" si="4"/>
        <v>S_W56</v>
      </c>
      <c r="G450" s="3">
        <v>65.313000000000002</v>
      </c>
      <c r="H450" s="3">
        <f>IFERROR(INDEX('Tagging key'!D:D, MATCH(F450,'Tagging key'!C:C,0)),"")</f>
        <v>76</v>
      </c>
      <c r="I450" s="3">
        <f>IFERROR(INDEX('Tagging key'!E:E, MATCH(F450,'Tagging key'!C:C,0)),"")</f>
        <v>81</v>
      </c>
      <c r="J450" s="3">
        <f>IFERROR(INDEX('Tagging key'!F:F, MATCH(F450,'Tagging key'!C:C,0)),"")</f>
        <v>19</v>
      </c>
      <c r="K450" s="3">
        <v>58.012</v>
      </c>
      <c r="L450" s="3">
        <v>77.040000000000006</v>
      </c>
      <c r="M450" s="3">
        <v>82.28</v>
      </c>
      <c r="N450" s="3">
        <v>21.49</v>
      </c>
      <c r="O450" s="3"/>
      <c r="P450" s="22">
        <v>45886</v>
      </c>
      <c r="Q450" s="22">
        <v>45886</v>
      </c>
      <c r="R450" s="3">
        <v>22.558</v>
      </c>
      <c r="S450" t="s">
        <v>826</v>
      </c>
    </row>
    <row r="451" spans="1:19" hidden="1" x14ac:dyDescent="0.25">
      <c r="A451" s="14">
        <v>13</v>
      </c>
      <c r="B451" s="14">
        <v>5</v>
      </c>
      <c r="C451" s="14" t="s">
        <v>248</v>
      </c>
      <c r="D451" s="14" t="s">
        <v>72</v>
      </c>
      <c r="E451" s="14" t="s">
        <v>827</v>
      </c>
      <c r="F451" s="14" t="str">
        <f t="shared" si="4"/>
        <v>S_Y75</v>
      </c>
      <c r="G451" s="3">
        <v>56.731999999999999</v>
      </c>
      <c r="H451" s="3">
        <f>IFERROR(INDEX('Tagging key'!D:D, MATCH(F451,'Tagging key'!C:C,0)),"")</f>
        <v>72</v>
      </c>
      <c r="I451" s="3">
        <f>IFERROR(INDEX('Tagging key'!E:E, MATCH(F451,'Tagging key'!C:C,0)),"")</f>
        <v>75</v>
      </c>
      <c r="J451" s="3">
        <f>IFERROR(INDEX('Tagging key'!F:F, MATCH(F451,'Tagging key'!C:C,0)),"")</f>
        <v>20</v>
      </c>
      <c r="K451" s="3">
        <v>52.7</v>
      </c>
      <c r="L451" s="3">
        <v>74.25</v>
      </c>
      <c r="M451" s="3">
        <v>76</v>
      </c>
      <c r="N451" s="3">
        <v>21</v>
      </c>
      <c r="O451" s="3"/>
      <c r="P451" s="22">
        <v>45879</v>
      </c>
      <c r="Q451" s="22">
        <v>45879</v>
      </c>
      <c r="R451" s="3"/>
    </row>
    <row r="452" spans="1:19" hidden="1" x14ac:dyDescent="0.25">
      <c r="A452" s="14">
        <v>13</v>
      </c>
      <c r="B452" s="14">
        <v>5</v>
      </c>
      <c r="C452" s="14" t="s">
        <v>248</v>
      </c>
      <c r="D452" s="14" t="s">
        <v>72</v>
      </c>
      <c r="E452" s="14" t="s">
        <v>828</v>
      </c>
      <c r="F452" s="14" t="str">
        <f t="shared" si="4"/>
        <v>S_Y19</v>
      </c>
      <c r="G452" s="3">
        <v>43.695999999999998</v>
      </c>
      <c r="H452" s="3">
        <f>IFERROR(INDEX('Tagging key'!D:D, MATCH(F452,'Tagging key'!C:C,0)),"")</f>
        <v>67</v>
      </c>
      <c r="I452" s="3">
        <f>IFERROR(INDEX('Tagging key'!E:E, MATCH(F452,'Tagging key'!C:C,0)),"")</f>
        <v>71</v>
      </c>
      <c r="J452" s="3">
        <f>IFERROR(INDEX('Tagging key'!F:F, MATCH(F452,'Tagging key'!C:C,0)),"")</f>
        <v>17</v>
      </c>
      <c r="K452" s="3">
        <v>41.087000000000003</v>
      </c>
      <c r="L452" s="3">
        <v>67.349999999999994</v>
      </c>
      <c r="M452" s="3">
        <v>72.7</v>
      </c>
      <c r="N452" s="3">
        <v>18.690000000000001</v>
      </c>
      <c r="O452" s="3"/>
      <c r="P452" s="22">
        <v>45877</v>
      </c>
      <c r="Q452" s="22">
        <v>45877</v>
      </c>
      <c r="R452" s="3"/>
    </row>
    <row r="453" spans="1:19" hidden="1" x14ac:dyDescent="0.25">
      <c r="A453" s="14">
        <v>13</v>
      </c>
      <c r="B453" s="14">
        <v>5</v>
      </c>
      <c r="C453" s="14" t="s">
        <v>248</v>
      </c>
      <c r="D453" s="14" t="s">
        <v>72</v>
      </c>
      <c r="E453" s="14" t="s">
        <v>829</v>
      </c>
      <c r="F453" s="14" t="str">
        <f t="shared" si="4"/>
        <v>S_W97</v>
      </c>
      <c r="G453" s="3">
        <v>45.384999999999998</v>
      </c>
      <c r="H453" s="3">
        <f>IFERROR(INDEX('Tagging key'!D:D, MATCH(F453,'Tagging key'!C:C,0)),"")</f>
        <v>69</v>
      </c>
      <c r="I453" s="3">
        <f>IFERROR(INDEX('Tagging key'!E:E, MATCH(F453,'Tagging key'!C:C,0)),"")</f>
        <v>72</v>
      </c>
      <c r="J453" s="3">
        <f>IFERROR(INDEX('Tagging key'!F:F, MATCH(F453,'Tagging key'!C:C,0)),"")</f>
        <v>19.7</v>
      </c>
      <c r="K453" s="3">
        <v>40.353000000000002</v>
      </c>
      <c r="L453" s="3">
        <v>67.88</v>
      </c>
      <c r="M453" s="3">
        <v>71.900000000000006</v>
      </c>
      <c r="N453" s="3">
        <v>19.489999999999998</v>
      </c>
      <c r="O453" s="3"/>
      <c r="P453" s="22">
        <v>45886</v>
      </c>
      <c r="Q453" s="22">
        <v>45886</v>
      </c>
      <c r="R453" s="3"/>
    </row>
    <row r="454" spans="1:19" x14ac:dyDescent="0.25">
      <c r="A454" s="14">
        <v>13</v>
      </c>
      <c r="B454" s="14">
        <v>5</v>
      </c>
      <c r="C454" s="14" t="s">
        <v>248</v>
      </c>
      <c r="D454" s="14" t="s">
        <v>72</v>
      </c>
      <c r="E454" s="14" t="s">
        <v>830</v>
      </c>
      <c r="F454" s="14" t="str">
        <f t="shared" si="4"/>
        <v>S_Y72</v>
      </c>
      <c r="G454" s="3">
        <v>53.817</v>
      </c>
      <c r="H454" s="3">
        <f>IFERROR(INDEX('Tagging key'!D:D, MATCH(F454,'Tagging key'!C:C,0)),"")</f>
        <v>71</v>
      </c>
      <c r="I454" s="3">
        <f>IFERROR(INDEX('Tagging key'!E:E, MATCH(F454,'Tagging key'!C:C,0)),"")</f>
        <v>75</v>
      </c>
      <c r="J454" s="3">
        <f>IFERROR(INDEX('Tagging key'!F:F, MATCH(F454,'Tagging key'!C:C,0)),"")</f>
        <v>20</v>
      </c>
      <c r="K454" s="3">
        <v>52.103999999999999</v>
      </c>
      <c r="L454" s="3">
        <v>71.709999999999994</v>
      </c>
      <c r="M454" s="3">
        <v>73.84</v>
      </c>
      <c r="N454" s="3">
        <v>21.78</v>
      </c>
      <c r="O454" s="3"/>
      <c r="P454" s="22">
        <v>45882</v>
      </c>
      <c r="Q454" s="22">
        <v>45882</v>
      </c>
      <c r="R454" s="3">
        <v>25.5</v>
      </c>
    </row>
    <row r="455" spans="1:19" x14ac:dyDescent="0.25">
      <c r="A455" s="13">
        <v>13</v>
      </c>
      <c r="B455" s="13">
        <v>6</v>
      </c>
      <c r="C455" s="13" t="s">
        <v>248</v>
      </c>
      <c r="D455" s="13" t="s">
        <v>72</v>
      </c>
      <c r="E455" s="13" t="s">
        <v>831</v>
      </c>
      <c r="F455" s="13" t="str">
        <f t="shared" si="4"/>
        <v>S_G87</v>
      </c>
      <c r="G455" s="3">
        <v>64.033000000000001</v>
      </c>
      <c r="H455" s="3">
        <f>IFERROR(INDEX('Tagging key'!D:D, MATCH(F455,'Tagging key'!C:C,0)),"")</f>
        <v>75</v>
      </c>
      <c r="I455" s="3">
        <f>IFERROR(INDEX('Tagging key'!E:E, MATCH(F455,'Tagging key'!C:C,0)),"")</f>
        <v>80</v>
      </c>
      <c r="J455" s="3">
        <f>IFERROR(INDEX('Tagging key'!F:F, MATCH(F455,'Tagging key'!C:C,0)),"")</f>
        <v>22</v>
      </c>
      <c r="K455" s="3">
        <v>57.392000000000003</v>
      </c>
      <c r="L455" s="3">
        <v>76.010000000000005</v>
      </c>
      <c r="M455" s="3">
        <v>79.89</v>
      </c>
      <c r="N455" s="3">
        <v>23.71</v>
      </c>
      <c r="O455" s="3"/>
      <c r="P455" s="22">
        <v>45882</v>
      </c>
      <c r="Q455" s="22">
        <v>45882</v>
      </c>
      <c r="R455" s="3">
        <v>25.652999999999999</v>
      </c>
    </row>
    <row r="456" spans="1:19" hidden="1" x14ac:dyDescent="0.25">
      <c r="A456" s="13">
        <v>13</v>
      </c>
      <c r="B456" s="13">
        <v>6</v>
      </c>
      <c r="C456" s="13" t="s">
        <v>248</v>
      </c>
      <c r="D456" s="13" t="s">
        <v>72</v>
      </c>
      <c r="E456" s="13" t="s">
        <v>832</v>
      </c>
      <c r="F456" s="13" t="str">
        <f t="shared" si="4"/>
        <v>S_W92</v>
      </c>
      <c r="G456" s="3">
        <v>68.884</v>
      </c>
      <c r="H456" s="3">
        <f>IFERROR(INDEX('Tagging key'!D:D, MATCH(F456,'Tagging key'!C:C,0)),"")</f>
        <v>68</v>
      </c>
      <c r="I456" s="3">
        <f>IFERROR(INDEX('Tagging key'!E:E, MATCH(F456,'Tagging key'!C:C,0)),"")</f>
        <v>81</v>
      </c>
      <c r="J456" s="3">
        <f>IFERROR(INDEX('Tagging key'!F:F, MATCH(F456,'Tagging key'!C:C,0)),"")</f>
        <v>22</v>
      </c>
      <c r="K456" s="3">
        <v>66.131</v>
      </c>
      <c r="L456" s="3">
        <v>70.63</v>
      </c>
      <c r="M456" s="3">
        <v>88.1</v>
      </c>
      <c r="N456" s="3">
        <v>2.0299999999999998</v>
      </c>
      <c r="O456" s="3"/>
      <c r="P456" s="22">
        <v>45879</v>
      </c>
      <c r="Q456" s="22">
        <v>45879</v>
      </c>
      <c r="R456" s="3"/>
      <c r="S456" t="s">
        <v>287</v>
      </c>
    </row>
    <row r="457" spans="1:19" hidden="1" x14ac:dyDescent="0.25">
      <c r="A457" s="13">
        <v>13</v>
      </c>
      <c r="B457" s="13">
        <v>6</v>
      </c>
      <c r="C457" s="13" t="s">
        <v>248</v>
      </c>
      <c r="D457" s="13" t="s">
        <v>72</v>
      </c>
      <c r="E457" s="13" t="s">
        <v>833</v>
      </c>
      <c r="F457" s="13" t="str">
        <f t="shared" si="4"/>
        <v>S_G24</v>
      </c>
      <c r="G457" s="3">
        <v>64.399000000000001</v>
      </c>
      <c r="H457" s="3">
        <f>IFERROR(INDEX('Tagging key'!D:D, MATCH(F457,'Tagging key'!C:C,0)),"")</f>
        <v>79.67</v>
      </c>
      <c r="I457" s="3">
        <f>IFERROR(INDEX('Tagging key'!E:E, MATCH(F457,'Tagging key'!C:C,0)),"")</f>
        <v>81.430000000000007</v>
      </c>
      <c r="J457" s="3">
        <f>IFERROR(INDEX('Tagging key'!F:F, MATCH(F457,'Tagging key'!C:C,0)),"")</f>
        <v>19.75</v>
      </c>
      <c r="K457" s="3">
        <v>61.067</v>
      </c>
      <c r="L457" s="3">
        <v>79.91</v>
      </c>
      <c r="M457" s="3">
        <v>83.55</v>
      </c>
      <c r="N457" s="3">
        <v>20.309999999999999</v>
      </c>
      <c r="O457" s="3"/>
      <c r="P457" s="22">
        <v>45877</v>
      </c>
      <c r="Q457" s="22">
        <v>45877</v>
      </c>
      <c r="R457" s="3"/>
    </row>
    <row r="458" spans="1:19" x14ac:dyDescent="0.25">
      <c r="A458" s="13">
        <v>13</v>
      </c>
      <c r="B458" s="13">
        <v>6</v>
      </c>
      <c r="C458" s="13" t="s">
        <v>248</v>
      </c>
      <c r="D458" s="13" t="s">
        <v>72</v>
      </c>
      <c r="E458" s="13" t="s">
        <v>834</v>
      </c>
      <c r="F458" s="13" t="str">
        <f t="shared" si="4"/>
        <v>S_G86</v>
      </c>
      <c r="G458" s="19">
        <v>55.63</v>
      </c>
      <c r="H458" s="19">
        <f>IFERROR(INDEX('Tagging key'!D:D, MATCH(F458,'Tagging key'!C:C,0)),"")</f>
        <v>69</v>
      </c>
      <c r="I458" s="19">
        <f>IFERROR(INDEX('Tagging key'!E:E, MATCH(F458,'Tagging key'!C:C,0)),"")</f>
        <v>74</v>
      </c>
      <c r="J458" s="19">
        <f>IFERROR(INDEX('Tagging key'!F:F, MATCH(F458,'Tagging key'!C:C,0)),"")</f>
        <v>19</v>
      </c>
      <c r="K458" s="19"/>
      <c r="L458" s="19"/>
      <c r="M458" s="19"/>
      <c r="N458" s="19"/>
      <c r="O458" s="19"/>
      <c r="P458" s="19"/>
      <c r="Q458" s="19"/>
      <c r="R458" s="19"/>
      <c r="S458" t="s">
        <v>519</v>
      </c>
    </row>
    <row r="459" spans="1:19" hidden="1" x14ac:dyDescent="0.25">
      <c r="A459" s="8">
        <v>13</v>
      </c>
      <c r="B459" s="8">
        <v>7</v>
      </c>
      <c r="C459" s="8" t="s">
        <v>248</v>
      </c>
      <c r="D459" s="8" t="s">
        <v>16</v>
      </c>
      <c r="E459" s="8" t="s">
        <v>835</v>
      </c>
      <c r="F459" s="8" t="s">
        <v>836</v>
      </c>
      <c r="G459" s="3">
        <v>27.026</v>
      </c>
      <c r="H459" s="3">
        <f>IFERROR(INDEX('Tagging key'!D:D, MATCH(F459,'Tagging key'!C:C,0)),"")</f>
        <v>69.260000000000005</v>
      </c>
      <c r="I459" s="3">
        <f>IFERROR(INDEX('Tagging key'!E:E, MATCH(F459,'Tagging key'!C:C,0)),"")</f>
        <v>48.13</v>
      </c>
      <c r="J459" s="3">
        <f>IFERROR(INDEX('Tagging key'!F:F, MATCH(F459,'Tagging key'!C:C,0)),"")</f>
        <v>13.89</v>
      </c>
      <c r="K459" s="3">
        <v>26.581</v>
      </c>
      <c r="L459" s="3">
        <v>70.239999999999995</v>
      </c>
      <c r="M459" s="3">
        <v>43.66</v>
      </c>
      <c r="N459" s="3">
        <v>16.55</v>
      </c>
      <c r="O459" s="3"/>
      <c r="P459" s="22">
        <v>45879</v>
      </c>
      <c r="Q459" s="22">
        <v>45879</v>
      </c>
      <c r="R459" s="3"/>
    </row>
    <row r="460" spans="1:19" hidden="1" x14ac:dyDescent="0.25">
      <c r="A460" s="8">
        <v>13</v>
      </c>
      <c r="B460" s="8">
        <v>7</v>
      </c>
      <c r="C460" s="8" t="s">
        <v>248</v>
      </c>
      <c r="D460" s="8" t="s">
        <v>16</v>
      </c>
      <c r="E460" s="8" t="s">
        <v>654</v>
      </c>
      <c r="F460" s="8" t="s">
        <v>837</v>
      </c>
      <c r="G460" s="3">
        <v>52.341999999999999</v>
      </c>
      <c r="H460" s="3">
        <f>IFERROR(INDEX('Tagging key'!D:D, MATCH(F460,'Tagging key'!C:C,0)),"")</f>
        <v>85.73</v>
      </c>
      <c r="I460" s="3">
        <f>IFERROR(INDEX('Tagging key'!E:E, MATCH(F460,'Tagging key'!C:C,0)),"")</f>
        <v>47.36</v>
      </c>
      <c r="J460" s="3">
        <f>IFERROR(INDEX('Tagging key'!F:F, MATCH(F460,'Tagging key'!C:C,0)),"")</f>
        <v>18.059999999999999</v>
      </c>
      <c r="K460" s="3">
        <v>50.7</v>
      </c>
      <c r="L460" s="3">
        <v>85.79</v>
      </c>
      <c r="M460" s="3">
        <v>48.14</v>
      </c>
      <c r="N460" s="3">
        <v>18.34</v>
      </c>
      <c r="O460" s="3"/>
      <c r="P460" s="22">
        <v>45877</v>
      </c>
      <c r="Q460" s="22">
        <v>45877</v>
      </c>
      <c r="R460" s="3"/>
    </row>
    <row r="461" spans="1:19" hidden="1" x14ac:dyDescent="0.25">
      <c r="A461" s="8">
        <v>13</v>
      </c>
      <c r="B461" s="8">
        <v>7</v>
      </c>
      <c r="C461" s="8" t="s">
        <v>248</v>
      </c>
      <c r="D461" s="8" t="s">
        <v>16</v>
      </c>
      <c r="E461" s="8" t="s">
        <v>838</v>
      </c>
      <c r="F461" s="8" t="s">
        <v>839</v>
      </c>
      <c r="G461" s="3">
        <v>30.821999999999999</v>
      </c>
      <c r="H461" s="3">
        <f>IFERROR(INDEX('Tagging key'!D:D, MATCH(F461,'Tagging key'!C:C,0)),"")</f>
        <v>64.75</v>
      </c>
      <c r="I461" s="3">
        <f>IFERROR(INDEX('Tagging key'!E:E, MATCH(F461,'Tagging key'!C:C,0)),"")</f>
        <v>44.36</v>
      </c>
      <c r="J461" s="3">
        <f>IFERROR(INDEX('Tagging key'!F:F, MATCH(F461,'Tagging key'!C:C,0)),"")</f>
        <v>20.89</v>
      </c>
      <c r="K461" s="3">
        <v>30.475999999999999</v>
      </c>
      <c r="L461" s="3">
        <v>66.95</v>
      </c>
      <c r="M461" s="3">
        <v>46.6</v>
      </c>
      <c r="N461" s="3">
        <v>18.940000000000001</v>
      </c>
      <c r="O461" s="3"/>
      <c r="P461" s="22">
        <v>45886</v>
      </c>
      <c r="Q461" s="22">
        <v>45886</v>
      </c>
      <c r="R461" s="3"/>
    </row>
    <row r="462" spans="1:19" x14ac:dyDescent="0.25">
      <c r="A462" s="8">
        <v>13</v>
      </c>
      <c r="B462" s="8">
        <v>7</v>
      </c>
      <c r="C462" s="8" t="s">
        <v>248</v>
      </c>
      <c r="D462" s="8" t="s">
        <v>16</v>
      </c>
      <c r="E462" s="8" t="s">
        <v>840</v>
      </c>
      <c r="F462" s="8" t="s">
        <v>841</v>
      </c>
      <c r="G462" s="3">
        <v>27.268999999999998</v>
      </c>
      <c r="H462" s="3">
        <f>IFERROR(INDEX('Tagging key'!D:D, MATCH(F462,'Tagging key'!C:C,0)),"")</f>
        <v>68.48</v>
      </c>
      <c r="I462" s="3">
        <f>IFERROR(INDEX('Tagging key'!E:E, MATCH(F462,'Tagging key'!C:C,0)),"")</f>
        <v>40.659999999999997</v>
      </c>
      <c r="J462" s="3">
        <f>IFERROR(INDEX('Tagging key'!F:F, MATCH(F462,'Tagging key'!C:C,0)),"")</f>
        <v>14.73</v>
      </c>
      <c r="K462" s="3">
        <v>27.064</v>
      </c>
      <c r="L462" s="3">
        <v>68.400000000000006</v>
      </c>
      <c r="M462" s="3">
        <v>38.01</v>
      </c>
      <c r="N462" s="3">
        <v>17.18</v>
      </c>
      <c r="O462" s="3"/>
      <c r="P462" s="22">
        <v>45882</v>
      </c>
      <c r="Q462" s="22">
        <v>45882</v>
      </c>
      <c r="R462" s="3">
        <v>17.701000000000001</v>
      </c>
    </row>
    <row r="463" spans="1:19" x14ac:dyDescent="0.25">
      <c r="A463" s="9">
        <v>13</v>
      </c>
      <c r="B463" s="9">
        <v>8</v>
      </c>
      <c r="C463" s="9" t="s">
        <v>248</v>
      </c>
      <c r="D463" s="9" t="s">
        <v>16</v>
      </c>
      <c r="E463" s="9" t="s">
        <v>816</v>
      </c>
      <c r="F463" s="9" t="s">
        <v>842</v>
      </c>
      <c r="G463" s="3">
        <v>35.271000000000001</v>
      </c>
      <c r="H463" s="3">
        <f>IFERROR(INDEX('Tagging key'!D:D, MATCH(F463,'Tagging key'!C:C,0)),"")</f>
        <v>63.6</v>
      </c>
      <c r="I463" s="3">
        <f>IFERROR(INDEX('Tagging key'!E:E, MATCH(F463,'Tagging key'!C:C,0)),"")</f>
        <v>48.43</v>
      </c>
      <c r="J463" s="3">
        <f>IFERROR(INDEX('Tagging key'!F:F, MATCH(F463,'Tagging key'!C:C,0)),"")</f>
        <v>17.41</v>
      </c>
      <c r="K463" s="3">
        <v>35.234999999999999</v>
      </c>
      <c r="L463" s="3">
        <v>63.84</v>
      </c>
      <c r="M463" s="3">
        <v>48.83</v>
      </c>
      <c r="N463" s="3">
        <v>17.899999999999999</v>
      </c>
      <c r="O463" s="3"/>
      <c r="P463" s="22">
        <v>45882</v>
      </c>
      <c r="Q463" s="22">
        <v>45882</v>
      </c>
      <c r="R463" s="3">
        <v>23.228000000000002</v>
      </c>
    </row>
    <row r="464" spans="1:19" hidden="1" x14ac:dyDescent="0.25">
      <c r="A464" s="9">
        <v>13</v>
      </c>
      <c r="B464" s="9">
        <v>8</v>
      </c>
      <c r="C464" s="9" t="s">
        <v>248</v>
      </c>
      <c r="D464" s="9" t="s">
        <v>16</v>
      </c>
      <c r="E464" s="9" t="s">
        <v>843</v>
      </c>
      <c r="F464" s="9" t="s">
        <v>844</v>
      </c>
      <c r="G464" s="3">
        <v>24.370999999999999</v>
      </c>
      <c r="H464" s="3">
        <f>IFERROR(INDEX('Tagging key'!D:D, MATCH(F464,'Tagging key'!C:C,0)),"")</f>
        <v>62.19</v>
      </c>
      <c r="I464" s="3">
        <f>IFERROR(INDEX('Tagging key'!E:E, MATCH(F464,'Tagging key'!C:C,0)),"")</f>
        <v>54.36</v>
      </c>
      <c r="J464" s="3">
        <f>IFERROR(INDEX('Tagging key'!F:F, MATCH(F464,'Tagging key'!C:C,0)),"")</f>
        <v>14.21</v>
      </c>
      <c r="K464" s="3">
        <v>24.344000000000001</v>
      </c>
      <c r="L464" s="3">
        <v>65.42</v>
      </c>
      <c r="M464" s="3">
        <v>41.79</v>
      </c>
      <c r="N464" s="3">
        <v>16.84</v>
      </c>
      <c r="O464" s="3"/>
      <c r="P464" s="22">
        <v>45886</v>
      </c>
      <c r="Q464" s="22">
        <v>45886</v>
      </c>
      <c r="R464" s="3">
        <v>16.134</v>
      </c>
    </row>
    <row r="465" spans="1:19" hidden="1" x14ac:dyDescent="0.25">
      <c r="A465" s="9">
        <v>13</v>
      </c>
      <c r="B465" s="9">
        <v>8</v>
      </c>
      <c r="C465" s="9" t="s">
        <v>248</v>
      </c>
      <c r="D465" s="9" t="s">
        <v>16</v>
      </c>
      <c r="E465" s="9" t="s">
        <v>811</v>
      </c>
      <c r="F465" s="9" t="s">
        <v>845</v>
      </c>
      <c r="G465" s="3">
        <v>25.213000000000001</v>
      </c>
      <c r="H465" s="3">
        <f>IFERROR(INDEX('Tagging key'!D:D, MATCH(F465,'Tagging key'!C:C,0)),"")</f>
        <v>60.92</v>
      </c>
      <c r="I465" s="3">
        <f>IFERROR(INDEX('Tagging key'!E:E, MATCH(F465,'Tagging key'!C:C,0)),"")</f>
        <v>44.39</v>
      </c>
      <c r="J465" s="3">
        <f>IFERROR(INDEX('Tagging key'!F:F, MATCH(F465,'Tagging key'!C:C,0)),"")</f>
        <v>18.02</v>
      </c>
      <c r="K465" s="3">
        <v>24.940999999999999</v>
      </c>
      <c r="L465" s="3">
        <v>62.04</v>
      </c>
      <c r="M465" s="3">
        <v>43.92</v>
      </c>
      <c r="N465" s="3">
        <v>17.559999999999999</v>
      </c>
      <c r="O465" s="3"/>
      <c r="P465" s="22">
        <v>45879</v>
      </c>
      <c r="Q465" s="22">
        <v>45879</v>
      </c>
      <c r="R465" s="3"/>
    </row>
    <row r="466" spans="1:19" hidden="1" x14ac:dyDescent="0.25">
      <c r="A466" s="9">
        <v>13</v>
      </c>
      <c r="B466" s="9">
        <v>8</v>
      </c>
      <c r="C466" s="9" t="s">
        <v>248</v>
      </c>
      <c r="D466" s="9" t="s">
        <v>16</v>
      </c>
      <c r="E466" s="9" t="s">
        <v>846</v>
      </c>
      <c r="F466" s="9" t="s">
        <v>847</v>
      </c>
      <c r="G466" s="3">
        <v>42.039000000000001</v>
      </c>
      <c r="H466" s="3">
        <f>IFERROR(INDEX('Tagging key'!D:D, MATCH(F466,'Tagging key'!C:C,0)),"")</f>
        <v>77.05</v>
      </c>
      <c r="I466" s="3">
        <f>IFERROR(INDEX('Tagging key'!E:E, MATCH(F466,'Tagging key'!C:C,0)),"")</f>
        <v>49.11</v>
      </c>
      <c r="J466" s="3">
        <f>IFERROR(INDEX('Tagging key'!F:F, MATCH(F466,'Tagging key'!C:C,0)),"")</f>
        <v>18</v>
      </c>
      <c r="K466" s="3">
        <v>41.896999999999998</v>
      </c>
      <c r="L466" s="3">
        <v>75.760000000000005</v>
      </c>
      <c r="M466" s="3">
        <v>46.11</v>
      </c>
      <c r="N466" s="3">
        <v>18.97</v>
      </c>
      <c r="O466" s="3"/>
      <c r="P466" s="22">
        <v>45877</v>
      </c>
      <c r="Q466" s="22">
        <v>45877</v>
      </c>
      <c r="R466" s="3"/>
    </row>
    <row r="467" spans="1:19" x14ac:dyDescent="0.25">
      <c r="A467" s="8">
        <v>13</v>
      </c>
      <c r="B467" s="8">
        <v>9</v>
      </c>
      <c r="C467" s="8" t="s">
        <v>248</v>
      </c>
      <c r="D467" s="8" t="s">
        <v>16</v>
      </c>
      <c r="E467" s="8" t="s">
        <v>804</v>
      </c>
      <c r="F467" s="8" t="s">
        <v>848</v>
      </c>
      <c r="G467" s="3">
        <v>34.78</v>
      </c>
      <c r="H467" s="3">
        <f>IFERROR(INDEX('Tagging key'!D:D, MATCH(F467,'Tagging key'!C:C,0)),"")</f>
        <v>69.510000000000005</v>
      </c>
      <c r="I467" s="3">
        <f>IFERROR(INDEX('Tagging key'!E:E, MATCH(F467,'Tagging key'!C:C,0)),"")</f>
        <v>48.35</v>
      </c>
      <c r="J467" s="3">
        <f>IFERROR(INDEX('Tagging key'!F:F, MATCH(F467,'Tagging key'!C:C,0)),"")</f>
        <v>16.05</v>
      </c>
      <c r="K467" s="3">
        <v>34.682000000000002</v>
      </c>
      <c r="L467" s="3">
        <v>69.81</v>
      </c>
      <c r="M467" s="3">
        <v>46.38</v>
      </c>
      <c r="N467" s="3">
        <v>18.34</v>
      </c>
      <c r="O467" s="3"/>
      <c r="P467" s="22">
        <v>45882</v>
      </c>
      <c r="Q467" s="22">
        <v>45882</v>
      </c>
      <c r="R467" s="3">
        <v>22.847999999999999</v>
      </c>
    </row>
    <row r="468" spans="1:19" hidden="1" x14ac:dyDescent="0.25">
      <c r="A468" s="8">
        <v>13</v>
      </c>
      <c r="B468" s="8">
        <v>9</v>
      </c>
      <c r="C468" s="8" t="s">
        <v>248</v>
      </c>
      <c r="D468" s="8" t="s">
        <v>16</v>
      </c>
      <c r="E468" s="8" t="s">
        <v>101</v>
      </c>
      <c r="F468" s="8" t="s">
        <v>849</v>
      </c>
      <c r="G468" s="3">
        <v>29.577000000000002</v>
      </c>
      <c r="H468" s="3">
        <f>IFERROR(INDEX('Tagging key'!D:D, MATCH(F468,'Tagging key'!C:C,0)),"")</f>
        <v>66.78</v>
      </c>
      <c r="I468" s="3">
        <f>IFERROR(INDEX('Tagging key'!E:E, MATCH(F468,'Tagging key'!C:C,0)),"")</f>
        <v>44.92</v>
      </c>
      <c r="J468" s="3">
        <f>IFERROR(INDEX('Tagging key'!F:F, MATCH(F468,'Tagging key'!C:C,0)),"")</f>
        <v>20.190000000000001</v>
      </c>
      <c r="K468" s="3">
        <v>29.379000000000001</v>
      </c>
      <c r="L468" s="3">
        <v>66.430000000000007</v>
      </c>
      <c r="M468" s="3">
        <v>41.98</v>
      </c>
      <c r="N468" s="3">
        <v>16.329999999999998</v>
      </c>
      <c r="O468" s="3"/>
      <c r="P468" s="22">
        <v>45886</v>
      </c>
      <c r="Q468" s="22">
        <v>45886</v>
      </c>
      <c r="R468" s="3"/>
    </row>
    <row r="469" spans="1:19" hidden="1" x14ac:dyDescent="0.25">
      <c r="A469" s="8">
        <v>13</v>
      </c>
      <c r="B469" s="8">
        <v>9</v>
      </c>
      <c r="C469" s="8" t="s">
        <v>248</v>
      </c>
      <c r="D469" s="8" t="s">
        <v>16</v>
      </c>
      <c r="E469" s="8" t="s">
        <v>850</v>
      </c>
      <c r="F469" s="8" t="s">
        <v>851</v>
      </c>
      <c r="G469" s="3">
        <v>23.065999999999999</v>
      </c>
      <c r="H469" s="3">
        <f>IFERROR(INDEX('Tagging key'!D:D, MATCH(F469,'Tagging key'!C:C,0)),"")</f>
        <v>64.47</v>
      </c>
      <c r="I469" s="3">
        <f>IFERROR(INDEX('Tagging key'!E:E, MATCH(F469,'Tagging key'!C:C,0)),"")</f>
        <v>43.44</v>
      </c>
      <c r="J469" s="3">
        <f>IFERROR(INDEX('Tagging key'!F:F, MATCH(F469,'Tagging key'!C:C,0)),"")</f>
        <v>15.89</v>
      </c>
      <c r="K469" s="3">
        <v>22.823</v>
      </c>
      <c r="L469" s="3">
        <v>66.11</v>
      </c>
      <c r="M469" s="3">
        <v>42.96</v>
      </c>
      <c r="N469" s="3">
        <v>14.48</v>
      </c>
      <c r="O469" s="3"/>
      <c r="P469" s="22">
        <v>45877</v>
      </c>
      <c r="Q469" s="22">
        <v>45877</v>
      </c>
      <c r="R469" s="3"/>
    </row>
    <row r="470" spans="1:19" hidden="1" x14ac:dyDescent="0.25">
      <c r="A470" s="8">
        <v>13</v>
      </c>
      <c r="B470" s="8">
        <v>9</v>
      </c>
      <c r="C470" s="8" t="s">
        <v>248</v>
      </c>
      <c r="D470" s="8" t="s">
        <v>16</v>
      </c>
      <c r="E470" s="8" t="s">
        <v>852</v>
      </c>
      <c r="F470" s="8" t="s">
        <v>853</v>
      </c>
      <c r="G470" s="3">
        <v>31.687000000000001</v>
      </c>
      <c r="H470" s="3">
        <f>IFERROR(INDEX('Tagging key'!D:D, MATCH(F470,'Tagging key'!C:C,0)),"")</f>
        <v>68.58</v>
      </c>
      <c r="I470" s="3">
        <f>IFERROR(INDEX('Tagging key'!E:E, MATCH(F470,'Tagging key'!C:C,0)),"")</f>
        <v>43.81</v>
      </c>
      <c r="J470" s="3">
        <f>IFERROR(INDEX('Tagging key'!F:F, MATCH(F470,'Tagging key'!C:C,0)),"")</f>
        <v>17.510000000000002</v>
      </c>
      <c r="K470" s="3">
        <v>31.593</v>
      </c>
      <c r="L470" s="3">
        <v>68.709999999999994</v>
      </c>
      <c r="M470" s="3">
        <v>41.64</v>
      </c>
      <c r="N470" s="3">
        <v>19.2</v>
      </c>
      <c r="O470" s="3"/>
      <c r="P470" s="22">
        <v>45879</v>
      </c>
      <c r="Q470" s="22">
        <v>45879</v>
      </c>
      <c r="R470" s="3"/>
    </row>
    <row r="471" spans="1:19" hidden="1" x14ac:dyDescent="0.25">
      <c r="A471" s="13">
        <v>14</v>
      </c>
      <c r="B471" s="13">
        <v>1</v>
      </c>
      <c r="C471" s="13" t="s">
        <v>176</v>
      </c>
      <c r="D471" s="13" t="s">
        <v>72</v>
      </c>
      <c r="E471" s="13" t="s">
        <v>854</v>
      </c>
      <c r="F471" s="13" t="str">
        <f>LEFT(D471,1)&amp;"_"&amp;E471</f>
        <v>S_G66B</v>
      </c>
      <c r="G471" s="3">
        <v>45.875</v>
      </c>
      <c r="H471" s="3">
        <f>IFERROR(INDEX('Tagging key'!D:D, MATCH(F471,'Tagging key'!C:C,0)),"")</f>
        <v>71</v>
      </c>
      <c r="I471" s="3">
        <f>IFERROR(INDEX('Tagging key'!E:E, MATCH(F471,'Tagging key'!C:C,0)),"")</f>
        <v>76</v>
      </c>
      <c r="J471" s="3">
        <f>IFERROR(INDEX('Tagging key'!F:F, MATCH(F471,'Tagging key'!C:C,0)),"")</f>
        <v>17</v>
      </c>
      <c r="K471" s="3">
        <v>42.584000000000003</v>
      </c>
      <c r="L471" s="3">
        <v>72.099999999999994</v>
      </c>
      <c r="M471" s="3">
        <v>78.55</v>
      </c>
      <c r="N471" s="3">
        <v>19.579999999999998</v>
      </c>
      <c r="O471" s="3"/>
      <c r="P471" s="22">
        <v>45879</v>
      </c>
      <c r="Q471" s="22">
        <v>45879</v>
      </c>
      <c r="R471" s="3"/>
    </row>
    <row r="472" spans="1:19" x14ac:dyDescent="0.25">
      <c r="A472" s="13">
        <v>14</v>
      </c>
      <c r="B472" s="13">
        <v>1</v>
      </c>
      <c r="C472" s="13" t="s">
        <v>176</v>
      </c>
      <c r="D472" s="13" t="s">
        <v>72</v>
      </c>
      <c r="E472" s="13" t="s">
        <v>855</v>
      </c>
      <c r="F472" s="13" t="str">
        <f t="shared" ref="F472:F535" si="5">LEFT(D472,1)&amp;"_"&amp;E472</f>
        <v>S_W88</v>
      </c>
      <c r="G472" s="3">
        <v>56.24</v>
      </c>
      <c r="H472" s="3">
        <f>IFERROR(INDEX('Tagging key'!D:D, MATCH(F472,'Tagging key'!C:C,0)),"")</f>
        <v>78</v>
      </c>
      <c r="I472" s="3">
        <f>IFERROR(INDEX('Tagging key'!E:E, MATCH(F472,'Tagging key'!C:C,0)),"")</f>
        <v>76</v>
      </c>
      <c r="J472" s="3">
        <f>IFERROR(INDEX('Tagging key'!F:F, MATCH(F472,'Tagging key'!C:C,0)),"")</f>
        <v>20</v>
      </c>
      <c r="K472" s="3">
        <v>54.372999999999998</v>
      </c>
      <c r="L472" s="3">
        <v>78.98</v>
      </c>
      <c r="M472" s="3">
        <v>78.849999999999994</v>
      </c>
      <c r="N472" s="3">
        <v>20.9</v>
      </c>
      <c r="O472" s="3"/>
      <c r="P472" s="22">
        <v>45882</v>
      </c>
      <c r="Q472" s="22">
        <v>45882</v>
      </c>
      <c r="R472" s="3">
        <v>25.126000000000001</v>
      </c>
    </row>
    <row r="473" spans="1:19" hidden="1" x14ac:dyDescent="0.25">
      <c r="A473" s="13">
        <v>14</v>
      </c>
      <c r="B473" s="13">
        <v>1</v>
      </c>
      <c r="C473" s="13" t="s">
        <v>176</v>
      </c>
      <c r="D473" s="13" t="s">
        <v>72</v>
      </c>
      <c r="E473" s="13" t="s">
        <v>856</v>
      </c>
      <c r="F473" s="13" t="str">
        <f t="shared" si="5"/>
        <v>S_W82</v>
      </c>
      <c r="G473" s="3">
        <v>49.235999999999997</v>
      </c>
      <c r="H473" s="3">
        <f>IFERROR(INDEX('Tagging key'!D:D, MATCH(F473,'Tagging key'!C:C,0)),"")</f>
        <v>73</v>
      </c>
      <c r="I473" s="3">
        <f>IFERROR(INDEX('Tagging key'!E:E, MATCH(F473,'Tagging key'!C:C,0)),"")</f>
        <v>75</v>
      </c>
      <c r="J473" s="3">
        <f>IFERROR(INDEX('Tagging key'!F:F, MATCH(F473,'Tagging key'!C:C,0)),"")</f>
        <v>19</v>
      </c>
      <c r="K473" s="3">
        <v>45.817999999999998</v>
      </c>
      <c r="L473" s="3">
        <v>73.58</v>
      </c>
      <c r="M473" s="3">
        <v>75</v>
      </c>
      <c r="N473" s="3">
        <v>19.48</v>
      </c>
      <c r="O473" s="3"/>
      <c r="P473" s="22">
        <v>45877</v>
      </c>
      <c r="Q473" s="22">
        <v>45877</v>
      </c>
      <c r="R473" s="3"/>
    </row>
    <row r="474" spans="1:19" hidden="1" x14ac:dyDescent="0.25">
      <c r="A474" s="13">
        <v>14</v>
      </c>
      <c r="B474" s="13">
        <v>1</v>
      </c>
      <c r="C474" s="13" t="s">
        <v>176</v>
      </c>
      <c r="D474" s="13" t="s">
        <v>72</v>
      </c>
      <c r="E474" s="13" t="s">
        <v>857</v>
      </c>
      <c r="F474" s="13" t="str">
        <f t="shared" si="5"/>
        <v>S_G89</v>
      </c>
      <c r="G474" s="3">
        <v>53.848999999999997</v>
      </c>
      <c r="H474" s="3">
        <f>IFERROR(INDEX('Tagging key'!D:D, MATCH(F474,'Tagging key'!C:C,0)),"")</f>
        <v>73</v>
      </c>
      <c r="I474" s="3">
        <f>IFERROR(INDEX('Tagging key'!E:E, MATCH(F474,'Tagging key'!C:C,0)),"")</f>
        <v>72</v>
      </c>
      <c r="J474" s="3">
        <f>IFERROR(INDEX('Tagging key'!F:F, MATCH(F474,'Tagging key'!C:C,0)),"")</f>
        <v>17</v>
      </c>
      <c r="K474" s="3">
        <v>56.530999999999999</v>
      </c>
      <c r="L474" s="3">
        <v>75.290000000000006</v>
      </c>
      <c r="M474" s="3">
        <v>75.010000000000005</v>
      </c>
      <c r="N474" s="3">
        <v>18.350000000000001</v>
      </c>
      <c r="O474" s="3"/>
      <c r="P474" s="22">
        <v>45886</v>
      </c>
      <c r="Q474" s="22">
        <v>45886</v>
      </c>
      <c r="R474" s="3">
        <v>28.893999999999998</v>
      </c>
    </row>
    <row r="475" spans="1:19" hidden="1" x14ac:dyDescent="0.25">
      <c r="A475" s="14">
        <v>14</v>
      </c>
      <c r="B475" s="14">
        <v>2</v>
      </c>
      <c r="C475" s="14" t="s">
        <v>176</v>
      </c>
      <c r="D475" s="14" t="s">
        <v>72</v>
      </c>
      <c r="E475" s="14" t="s">
        <v>578</v>
      </c>
      <c r="F475" s="14" t="str">
        <f t="shared" si="5"/>
        <v>S_G23</v>
      </c>
      <c r="G475" s="3">
        <v>52.204999999999998</v>
      </c>
      <c r="H475" s="3">
        <f>IFERROR(INDEX('Tagging key'!D:D, MATCH(F475,'Tagging key'!C:C,0)),"")</f>
        <v>72.010000000000005</v>
      </c>
      <c r="I475" s="3">
        <f>IFERROR(INDEX('Tagging key'!E:E, MATCH(F475,'Tagging key'!C:C,0)),"")</f>
        <v>76.33</v>
      </c>
      <c r="J475" s="3">
        <f>IFERROR(INDEX('Tagging key'!F:F, MATCH(F475,'Tagging key'!C:C,0)),"")</f>
        <v>20.309999999999999</v>
      </c>
      <c r="K475" s="3">
        <v>53.341999999999999</v>
      </c>
      <c r="L475" s="3">
        <v>74.05</v>
      </c>
      <c r="M475" s="3">
        <v>79.05</v>
      </c>
      <c r="N475" s="3">
        <v>22.97</v>
      </c>
      <c r="O475" s="3"/>
      <c r="P475" s="22">
        <v>45879</v>
      </c>
      <c r="Q475" s="22">
        <v>45879</v>
      </c>
      <c r="R475" s="3"/>
      <c r="S475" t="s">
        <v>858</v>
      </c>
    </row>
    <row r="476" spans="1:19" hidden="1" x14ac:dyDescent="0.25">
      <c r="A476" s="14">
        <v>14</v>
      </c>
      <c r="B476" s="14">
        <v>2</v>
      </c>
      <c r="C476" s="14" t="s">
        <v>176</v>
      </c>
      <c r="D476" s="14" t="s">
        <v>72</v>
      </c>
      <c r="E476" s="14" t="s">
        <v>859</v>
      </c>
      <c r="F476" s="14" t="str">
        <f t="shared" si="5"/>
        <v>S_Y24</v>
      </c>
      <c r="G476" s="3">
        <v>53.441000000000003</v>
      </c>
      <c r="H476" s="3">
        <f>IFERROR(INDEX('Tagging key'!D:D, MATCH(F476,'Tagging key'!C:C,0)),"")</f>
        <v>74</v>
      </c>
      <c r="I476" s="3">
        <f>IFERROR(INDEX('Tagging key'!E:E, MATCH(F476,'Tagging key'!C:C,0)),"")</f>
        <v>78</v>
      </c>
      <c r="J476" s="3">
        <f>IFERROR(INDEX('Tagging key'!F:F, MATCH(F476,'Tagging key'!C:C,0)),"")</f>
        <v>20</v>
      </c>
      <c r="K476" s="3">
        <v>50.64</v>
      </c>
      <c r="L476" s="3">
        <v>75.97</v>
      </c>
      <c r="M476" s="3">
        <v>79.31</v>
      </c>
      <c r="N476" s="3">
        <v>20.58</v>
      </c>
      <c r="O476" s="3"/>
      <c r="P476" s="22">
        <v>45877</v>
      </c>
      <c r="Q476" s="22">
        <v>45877</v>
      </c>
      <c r="R476" s="3"/>
    </row>
    <row r="477" spans="1:19" x14ac:dyDescent="0.25">
      <c r="A477" s="19">
        <v>14</v>
      </c>
      <c r="B477" s="19">
        <v>2</v>
      </c>
      <c r="C477" s="19" t="s">
        <v>176</v>
      </c>
      <c r="D477" s="19" t="s">
        <v>72</v>
      </c>
      <c r="E477" s="19" t="s">
        <v>860</v>
      </c>
      <c r="F477" s="19" t="str">
        <f t="shared" si="5"/>
        <v>S_Y89</v>
      </c>
      <c r="G477" s="19">
        <v>57.415999999999997</v>
      </c>
      <c r="H477" s="19">
        <f>IFERROR(INDEX('Tagging key'!D:D, MATCH(F477,'Tagging key'!C:C,0)),"")</f>
        <v>75</v>
      </c>
      <c r="I477" s="19">
        <f>IFERROR(INDEX('Tagging key'!E:E, MATCH(F477,'Tagging key'!C:C,0)),"")</f>
        <v>79</v>
      </c>
      <c r="J477" s="19">
        <f>IFERROR(INDEX('Tagging key'!F:F, MATCH(F477,'Tagging key'!C:C,0)),"")</f>
        <v>20</v>
      </c>
      <c r="K477" s="19"/>
      <c r="L477" s="19"/>
      <c r="M477" s="19"/>
      <c r="N477" s="19"/>
      <c r="O477" s="19"/>
      <c r="P477" s="19"/>
      <c r="Q477" s="19"/>
      <c r="R477" s="19"/>
      <c r="S477" t="s">
        <v>861</v>
      </c>
    </row>
    <row r="478" spans="1:19" x14ac:dyDescent="0.25">
      <c r="A478" s="14">
        <v>14</v>
      </c>
      <c r="B478" s="14">
        <v>2</v>
      </c>
      <c r="C478" s="14" t="s">
        <v>176</v>
      </c>
      <c r="D478" s="14" t="s">
        <v>72</v>
      </c>
      <c r="E478" s="14" t="s">
        <v>862</v>
      </c>
      <c r="F478" s="14" t="str">
        <f t="shared" si="5"/>
        <v>S_W52</v>
      </c>
      <c r="G478" s="3">
        <v>65.489999999999995</v>
      </c>
      <c r="H478" s="3">
        <f>IFERROR(INDEX('Tagging key'!D:D, MATCH(F478,'Tagging key'!C:C,0)),"")</f>
        <v>76</v>
      </c>
      <c r="I478" s="3">
        <f>IFERROR(INDEX('Tagging key'!E:E, MATCH(F478,'Tagging key'!C:C,0)),"")</f>
        <v>79</v>
      </c>
      <c r="J478" s="3">
        <f>IFERROR(INDEX('Tagging key'!F:F, MATCH(F478,'Tagging key'!C:C,0)),"")</f>
        <v>22</v>
      </c>
      <c r="K478" s="3">
        <v>65.742000000000004</v>
      </c>
      <c r="L478" s="3">
        <v>77.010000000000005</v>
      </c>
      <c r="M478" s="3">
        <v>77.33</v>
      </c>
      <c r="N478" s="3">
        <v>22.07</v>
      </c>
      <c r="O478" s="3"/>
      <c r="P478" s="22">
        <v>45882</v>
      </c>
      <c r="Q478" s="22">
        <v>45882</v>
      </c>
      <c r="R478" s="3">
        <v>31.870999999999999</v>
      </c>
    </row>
    <row r="479" spans="1:19" hidden="1" x14ac:dyDescent="0.25">
      <c r="A479" s="13">
        <v>14</v>
      </c>
      <c r="B479" s="13">
        <v>3</v>
      </c>
      <c r="C479" s="13" t="s">
        <v>176</v>
      </c>
      <c r="D479" s="13" t="s">
        <v>72</v>
      </c>
      <c r="E479" s="13" t="s">
        <v>258</v>
      </c>
      <c r="F479" s="13" t="str">
        <f t="shared" si="5"/>
        <v>S_G35</v>
      </c>
      <c r="G479" s="3">
        <v>61.107999999999997</v>
      </c>
      <c r="H479" s="3">
        <f>IFERROR(INDEX('Tagging key'!D:D, MATCH(F479,'Tagging key'!C:C,0)),"")</f>
        <v>74.19</v>
      </c>
      <c r="I479" s="3">
        <f>IFERROR(INDEX('Tagging key'!E:E, MATCH(F479,'Tagging key'!C:C,0)),"")</f>
        <v>81.44</v>
      </c>
      <c r="J479" s="3">
        <f>IFERROR(INDEX('Tagging key'!F:F, MATCH(F479,'Tagging key'!C:C,0)),"")</f>
        <v>21.15</v>
      </c>
      <c r="K479" s="3">
        <v>57.563000000000002</v>
      </c>
      <c r="L479" s="3">
        <v>74.42</v>
      </c>
      <c r="M479" s="3">
        <v>83.15</v>
      </c>
      <c r="N479" s="3">
        <v>22.12</v>
      </c>
      <c r="O479" s="3"/>
      <c r="P479" s="22">
        <v>45886</v>
      </c>
      <c r="Q479" s="22">
        <v>45886</v>
      </c>
      <c r="R479" s="3">
        <v>24.053000000000001</v>
      </c>
    </row>
    <row r="480" spans="1:19" x14ac:dyDescent="0.25">
      <c r="A480" s="13">
        <v>14</v>
      </c>
      <c r="B480" s="13">
        <v>3</v>
      </c>
      <c r="C480" s="13" t="s">
        <v>176</v>
      </c>
      <c r="D480" s="13" t="s">
        <v>72</v>
      </c>
      <c r="E480" s="13" t="s">
        <v>863</v>
      </c>
      <c r="F480" s="13" t="str">
        <f t="shared" si="5"/>
        <v>S_G18</v>
      </c>
      <c r="G480" s="3">
        <v>59.869</v>
      </c>
      <c r="H480" s="3">
        <f>IFERROR(INDEX('Tagging key'!D:D, MATCH(F480,'Tagging key'!C:C,0)),"")</f>
        <v>69.28</v>
      </c>
      <c r="I480" s="3">
        <f>IFERROR(INDEX('Tagging key'!E:E, MATCH(F480,'Tagging key'!C:C,0)),"")</f>
        <v>76.709999999999994</v>
      </c>
      <c r="J480" s="3">
        <f>IFERROR(INDEX('Tagging key'!F:F, MATCH(F480,'Tagging key'!C:C,0)),"")</f>
        <v>22.07</v>
      </c>
      <c r="K480" s="3">
        <v>59.308</v>
      </c>
      <c r="L480" s="3">
        <v>70.63</v>
      </c>
      <c r="M480" s="3">
        <v>78.23</v>
      </c>
      <c r="N480" s="3">
        <v>23.05</v>
      </c>
      <c r="O480" s="3"/>
      <c r="P480" s="22">
        <v>45882</v>
      </c>
      <c r="Q480" s="22">
        <v>45882</v>
      </c>
      <c r="R480" s="3">
        <v>28.645</v>
      </c>
    </row>
    <row r="481" spans="1:18" hidden="1" x14ac:dyDescent="0.25">
      <c r="A481" s="13">
        <v>14</v>
      </c>
      <c r="B481" s="13">
        <v>3</v>
      </c>
      <c r="C481" s="13" t="s">
        <v>176</v>
      </c>
      <c r="D481" s="13" t="s">
        <v>72</v>
      </c>
      <c r="E481" s="13" t="s">
        <v>864</v>
      </c>
      <c r="F481" s="13" t="str">
        <f t="shared" si="5"/>
        <v>S_Y2</v>
      </c>
      <c r="G481" s="3">
        <v>56.600999999999999</v>
      </c>
      <c r="H481" s="3">
        <f>IFERROR(INDEX('Tagging key'!D:D, MATCH(F481,'Tagging key'!C:C,0)),"")</f>
        <v>74.42</v>
      </c>
      <c r="I481" s="3">
        <f>IFERROR(INDEX('Tagging key'!E:E, MATCH(F481,'Tagging key'!C:C,0)),"")</f>
        <v>75.650000000000006</v>
      </c>
      <c r="J481" s="3">
        <f>IFERROR(INDEX('Tagging key'!F:F, MATCH(F481,'Tagging key'!C:C,0)),"")</f>
        <v>22.77</v>
      </c>
      <c r="K481" s="3">
        <v>57.786000000000001</v>
      </c>
      <c r="L481" s="3">
        <v>75.569999999999993</v>
      </c>
      <c r="M481" s="3">
        <v>78.989999999999995</v>
      </c>
      <c r="N481" s="3">
        <v>23.61</v>
      </c>
      <c r="O481" s="3"/>
      <c r="P481" s="22">
        <v>45877</v>
      </c>
      <c r="Q481" s="22">
        <v>45877</v>
      </c>
      <c r="R481" s="3"/>
    </row>
    <row r="482" spans="1:18" hidden="1" x14ac:dyDescent="0.25">
      <c r="A482" s="13">
        <v>14</v>
      </c>
      <c r="B482" s="13">
        <v>3</v>
      </c>
      <c r="C482" s="13" t="s">
        <v>176</v>
      </c>
      <c r="D482" s="13" t="s">
        <v>72</v>
      </c>
      <c r="E482" s="13" t="s">
        <v>865</v>
      </c>
      <c r="F482" s="13" t="str">
        <f t="shared" si="5"/>
        <v>S_G39</v>
      </c>
      <c r="G482" s="3">
        <v>58.081000000000003</v>
      </c>
      <c r="H482" s="3">
        <f>IFERROR(INDEX('Tagging key'!D:D, MATCH(F482,'Tagging key'!C:C,0)),"")</f>
        <v>74.05</v>
      </c>
      <c r="I482" s="3">
        <f>IFERROR(INDEX('Tagging key'!E:E, MATCH(F482,'Tagging key'!C:C,0)),"")</f>
        <v>76.5</v>
      </c>
      <c r="J482" s="3">
        <f>IFERROR(INDEX('Tagging key'!F:F, MATCH(F482,'Tagging key'!C:C,0)),"")</f>
        <v>20.57</v>
      </c>
      <c r="K482" s="3">
        <v>56.773000000000003</v>
      </c>
      <c r="L482" s="3">
        <v>75.64</v>
      </c>
      <c r="M482" s="3">
        <v>79.400000000000006</v>
      </c>
      <c r="N482" s="3">
        <v>22.91</v>
      </c>
      <c r="O482" s="3"/>
      <c r="P482" s="22">
        <v>45879</v>
      </c>
      <c r="Q482" s="22">
        <v>45879</v>
      </c>
      <c r="R482" s="3"/>
    </row>
    <row r="483" spans="1:18" hidden="1" x14ac:dyDescent="0.25">
      <c r="A483" s="8">
        <v>14</v>
      </c>
      <c r="B483" s="8">
        <v>4</v>
      </c>
      <c r="C483" s="8" t="s">
        <v>176</v>
      </c>
      <c r="D483" s="8" t="s">
        <v>16</v>
      </c>
      <c r="E483" s="8" t="s">
        <v>814</v>
      </c>
      <c r="F483" s="8" t="str">
        <f t="shared" si="5"/>
        <v>O_R47</v>
      </c>
      <c r="G483" s="3">
        <v>37.154000000000003</v>
      </c>
      <c r="H483" s="3">
        <f>IFERROR(INDEX('Tagging key'!D:D, MATCH(F483,'Tagging key'!C:C,0)),"")</f>
        <v>66.75</v>
      </c>
      <c r="I483" s="3">
        <f>IFERROR(INDEX('Tagging key'!E:E, MATCH(F483,'Tagging key'!C:C,0)),"")</f>
        <v>48.68</v>
      </c>
      <c r="J483" s="3">
        <f>IFERROR(INDEX('Tagging key'!F:F, MATCH(F483,'Tagging key'!C:C,0)),"")</f>
        <v>17.59</v>
      </c>
      <c r="K483" s="3">
        <v>37.055999999999997</v>
      </c>
      <c r="L483" s="3">
        <v>69.680000000000007</v>
      </c>
      <c r="M483" s="3">
        <v>49.35</v>
      </c>
      <c r="N483" s="3">
        <v>18.39</v>
      </c>
      <c r="O483" s="3"/>
      <c r="P483" s="22">
        <v>45877</v>
      </c>
      <c r="Q483" s="22">
        <v>45877</v>
      </c>
      <c r="R483" s="3"/>
    </row>
    <row r="484" spans="1:18" x14ac:dyDescent="0.25">
      <c r="A484" s="8">
        <v>14</v>
      </c>
      <c r="B484" s="8">
        <v>4</v>
      </c>
      <c r="C484" s="8" t="s">
        <v>176</v>
      </c>
      <c r="D484" s="8" t="s">
        <v>16</v>
      </c>
      <c r="E484" s="8" t="s">
        <v>260</v>
      </c>
      <c r="F484" s="8" t="str">
        <f t="shared" si="5"/>
        <v>O_R75</v>
      </c>
      <c r="G484" s="3">
        <v>28.138999999999999</v>
      </c>
      <c r="H484" s="3">
        <f>IFERROR(INDEX('Tagging key'!D:D, MATCH(F484,'Tagging key'!C:C,0)),"")</f>
        <v>63.11</v>
      </c>
      <c r="I484" s="3">
        <f>IFERROR(INDEX('Tagging key'!E:E, MATCH(F484,'Tagging key'!C:C,0)),"")</f>
        <v>56.4</v>
      </c>
      <c r="J484" s="3">
        <f>IFERROR(INDEX('Tagging key'!F:F, MATCH(F484,'Tagging key'!C:C,0)),"")</f>
        <v>16.13</v>
      </c>
      <c r="K484" s="3">
        <v>28.117999999999999</v>
      </c>
      <c r="L484" s="3">
        <v>69.489999999999995</v>
      </c>
      <c r="M484" s="3">
        <v>39.04</v>
      </c>
      <c r="N484" s="3">
        <v>16.7</v>
      </c>
      <c r="O484" s="3"/>
      <c r="P484" s="22">
        <v>45882</v>
      </c>
      <c r="Q484" s="22">
        <v>45882</v>
      </c>
      <c r="R484" s="3">
        <v>16.768000000000001</v>
      </c>
    </row>
    <row r="485" spans="1:18" hidden="1" x14ac:dyDescent="0.25">
      <c r="A485" s="8">
        <v>14</v>
      </c>
      <c r="B485" s="8">
        <v>4</v>
      </c>
      <c r="C485" s="8" t="s">
        <v>176</v>
      </c>
      <c r="D485" s="8" t="s">
        <v>16</v>
      </c>
      <c r="E485" s="8" t="s">
        <v>866</v>
      </c>
      <c r="F485" s="8" t="str">
        <f t="shared" si="5"/>
        <v>O_R72</v>
      </c>
      <c r="G485" s="3">
        <v>36.915999999999997</v>
      </c>
      <c r="H485" s="3">
        <f>IFERROR(INDEX('Tagging key'!D:D, MATCH(F485,'Tagging key'!C:C,0)),"")</f>
        <v>63.49</v>
      </c>
      <c r="I485" s="3">
        <f>IFERROR(INDEX('Tagging key'!E:E, MATCH(F485,'Tagging key'!C:C,0)),"")</f>
        <v>52.02</v>
      </c>
      <c r="J485" s="3">
        <f>IFERROR(INDEX('Tagging key'!F:F, MATCH(F485,'Tagging key'!C:C,0)),"")</f>
        <v>18.54</v>
      </c>
      <c r="K485" s="3">
        <v>36.700000000000003</v>
      </c>
      <c r="L485" s="3">
        <v>64.260000000000005</v>
      </c>
      <c r="M485" s="3">
        <v>51.24</v>
      </c>
      <c r="N485" s="3">
        <v>19.21</v>
      </c>
      <c r="O485" s="3"/>
      <c r="P485" s="22">
        <v>45886</v>
      </c>
      <c r="Q485" s="22">
        <v>45886</v>
      </c>
      <c r="R485" s="3">
        <v>25.21</v>
      </c>
    </row>
    <row r="486" spans="1:18" hidden="1" x14ac:dyDescent="0.25">
      <c r="A486" s="8">
        <v>14</v>
      </c>
      <c r="B486" s="8">
        <v>4</v>
      </c>
      <c r="C486" s="8" t="s">
        <v>176</v>
      </c>
      <c r="D486" s="8" t="s">
        <v>16</v>
      </c>
      <c r="E486" s="8" t="s">
        <v>262</v>
      </c>
      <c r="F486" s="8" t="str">
        <f t="shared" si="5"/>
        <v>O_R68</v>
      </c>
      <c r="G486" s="3">
        <v>24.484000000000002</v>
      </c>
      <c r="H486" s="3">
        <f>IFERROR(INDEX('Tagging key'!D:D, MATCH(F486,'Tagging key'!C:C,0)),"")</f>
        <v>68.14</v>
      </c>
      <c r="I486" s="3">
        <f>IFERROR(INDEX('Tagging key'!E:E, MATCH(F486,'Tagging key'!C:C,0)),"")</f>
        <v>39.94</v>
      </c>
      <c r="J486" s="3">
        <f>IFERROR(INDEX('Tagging key'!F:F, MATCH(F486,'Tagging key'!C:C,0)),"")</f>
        <v>16.93</v>
      </c>
      <c r="K486" s="3">
        <v>24.303000000000001</v>
      </c>
      <c r="L486" s="3">
        <v>69.48</v>
      </c>
      <c r="M486" s="3">
        <v>40.130000000000003</v>
      </c>
      <c r="N486" s="3">
        <v>18.559999999999999</v>
      </c>
      <c r="O486" s="3"/>
      <c r="P486" s="22">
        <v>45879</v>
      </c>
      <c r="Q486" s="22">
        <v>45879</v>
      </c>
      <c r="R486" s="3"/>
    </row>
    <row r="487" spans="1:18" x14ac:dyDescent="0.25">
      <c r="A487" s="9">
        <v>14</v>
      </c>
      <c r="B487" s="9">
        <v>5</v>
      </c>
      <c r="C487" s="9" t="s">
        <v>176</v>
      </c>
      <c r="D487" s="9" t="s">
        <v>16</v>
      </c>
      <c r="E487" s="9" t="s">
        <v>867</v>
      </c>
      <c r="F487" s="9" t="str">
        <f t="shared" si="5"/>
        <v>O_R34</v>
      </c>
      <c r="G487" s="3">
        <v>38.588000000000001</v>
      </c>
      <c r="H487" s="3">
        <f>IFERROR(INDEX('Tagging key'!D:D, MATCH(F487,'Tagging key'!C:C,0)),"")</f>
        <v>70.8</v>
      </c>
      <c r="I487" s="3">
        <f>IFERROR(INDEX('Tagging key'!E:E, MATCH(F487,'Tagging key'!C:C,0)),"")</f>
        <v>61.41</v>
      </c>
      <c r="J487" s="3">
        <f>IFERROR(INDEX('Tagging key'!F:F, MATCH(F487,'Tagging key'!C:C,0)),"")</f>
        <v>15.53</v>
      </c>
      <c r="K487" s="3">
        <v>38.262</v>
      </c>
      <c r="L487" s="3">
        <v>76.569999999999993</v>
      </c>
      <c r="M487" s="3">
        <v>50.94</v>
      </c>
      <c r="N487" s="3">
        <v>19.489999999999998</v>
      </c>
      <c r="O487" s="3"/>
      <c r="P487" s="22">
        <v>45882</v>
      </c>
      <c r="Q487" s="22">
        <v>45882</v>
      </c>
      <c r="R487" s="3">
        <v>21.597999999999999</v>
      </c>
    </row>
    <row r="488" spans="1:18" hidden="1" x14ac:dyDescent="0.25">
      <c r="A488" s="9">
        <v>14</v>
      </c>
      <c r="B488" s="9">
        <v>5</v>
      </c>
      <c r="C488" s="9" t="s">
        <v>176</v>
      </c>
      <c r="D488" s="9" t="s">
        <v>16</v>
      </c>
      <c r="E488" s="9" t="s">
        <v>442</v>
      </c>
      <c r="F488" s="9" t="str">
        <f t="shared" si="5"/>
        <v>O_B77</v>
      </c>
      <c r="G488" s="3">
        <v>37.667999999999999</v>
      </c>
      <c r="H488" s="3">
        <f>IFERROR(INDEX('Tagging key'!D:D, MATCH(F488,'Tagging key'!C:C,0)),"")</f>
        <v>75.33</v>
      </c>
      <c r="I488" s="3">
        <f>IFERROR(INDEX('Tagging key'!E:E, MATCH(F488,'Tagging key'!C:C,0)),"")</f>
        <v>47.97</v>
      </c>
      <c r="J488" s="3">
        <f>IFERROR(INDEX('Tagging key'!F:F, MATCH(F488,'Tagging key'!C:C,0)),"")</f>
        <v>16</v>
      </c>
      <c r="K488" s="3">
        <v>37.844000000000001</v>
      </c>
      <c r="L488" s="3">
        <v>76.17</v>
      </c>
      <c r="M488" s="3">
        <v>46.73</v>
      </c>
      <c r="N488" s="3">
        <v>19.32</v>
      </c>
      <c r="O488" s="3"/>
      <c r="P488" s="22">
        <v>45886</v>
      </c>
      <c r="Q488" s="22">
        <v>45886</v>
      </c>
      <c r="R488" s="3">
        <v>23.167999999999999</v>
      </c>
    </row>
    <row r="489" spans="1:18" hidden="1" x14ac:dyDescent="0.25">
      <c r="A489" s="9">
        <v>14</v>
      </c>
      <c r="B489" s="9">
        <v>5</v>
      </c>
      <c r="C489" s="9" t="s">
        <v>176</v>
      </c>
      <c r="D489" s="9" t="s">
        <v>16</v>
      </c>
      <c r="E489" s="9" t="s">
        <v>868</v>
      </c>
      <c r="F489" s="9" t="str">
        <f t="shared" si="5"/>
        <v>O_W2</v>
      </c>
      <c r="G489" s="3">
        <v>46.790999999999997</v>
      </c>
      <c r="H489" s="3">
        <f>IFERROR(INDEX('Tagging key'!D:D, MATCH(F489,'Tagging key'!C:C,0)),"")</f>
        <v>79.06</v>
      </c>
      <c r="I489" s="3">
        <f>IFERROR(INDEX('Tagging key'!E:E, MATCH(F489,'Tagging key'!C:C,0)),"")</f>
        <v>54.15</v>
      </c>
      <c r="J489" s="3">
        <f>IFERROR(INDEX('Tagging key'!F:F, MATCH(F489,'Tagging key'!C:C,0)),"")</f>
        <v>20.71</v>
      </c>
      <c r="K489" s="3">
        <v>46.811999999999998</v>
      </c>
      <c r="L489" s="3">
        <v>79.78</v>
      </c>
      <c r="M489" s="3">
        <v>54.07</v>
      </c>
      <c r="N489" s="3">
        <v>23.19</v>
      </c>
      <c r="O489" s="3"/>
      <c r="P489" s="22">
        <v>45879</v>
      </c>
      <c r="Q489" s="22">
        <v>45879</v>
      </c>
      <c r="R489" s="3"/>
    </row>
    <row r="490" spans="1:18" hidden="1" x14ac:dyDescent="0.25">
      <c r="A490" s="9">
        <v>14</v>
      </c>
      <c r="B490" s="9">
        <v>5</v>
      </c>
      <c r="C490" s="9" t="s">
        <v>176</v>
      </c>
      <c r="D490" s="9" t="s">
        <v>16</v>
      </c>
      <c r="E490" s="9" t="s">
        <v>251</v>
      </c>
      <c r="F490" s="9" t="str">
        <f t="shared" si="5"/>
        <v>O_B26</v>
      </c>
      <c r="G490" s="3">
        <v>28.212</v>
      </c>
      <c r="H490" s="3">
        <f>IFERROR(INDEX('Tagging key'!D:D, MATCH(F490,'Tagging key'!C:C,0)),"")</f>
        <v>63.44</v>
      </c>
      <c r="I490" s="3">
        <f>IFERROR(INDEX('Tagging key'!E:E, MATCH(F490,'Tagging key'!C:C,0)),"")</f>
        <v>47.71</v>
      </c>
      <c r="J490" s="3">
        <f>IFERROR(INDEX('Tagging key'!F:F, MATCH(F490,'Tagging key'!C:C,0)),"")</f>
        <v>17.38</v>
      </c>
      <c r="K490" s="3">
        <v>27.928000000000001</v>
      </c>
      <c r="L490" s="3">
        <v>64.989999999999995</v>
      </c>
      <c r="M490" s="3">
        <v>43.52</v>
      </c>
      <c r="N490" s="3">
        <v>18.52</v>
      </c>
      <c r="O490" s="3"/>
      <c r="P490" s="22">
        <v>45877</v>
      </c>
      <c r="Q490" s="22">
        <v>45877</v>
      </c>
      <c r="R490" s="3"/>
    </row>
    <row r="491" spans="1:18" hidden="1" x14ac:dyDescent="0.25">
      <c r="A491" s="8">
        <v>14</v>
      </c>
      <c r="B491" s="8">
        <v>6</v>
      </c>
      <c r="C491" s="8" t="s">
        <v>176</v>
      </c>
      <c r="D491" s="8" t="s">
        <v>16</v>
      </c>
      <c r="E491" s="8" t="s">
        <v>786</v>
      </c>
      <c r="F491" s="8" t="str">
        <f t="shared" si="5"/>
        <v>O_B66</v>
      </c>
      <c r="G491" s="3">
        <v>48.881999999999998</v>
      </c>
      <c r="H491" s="3">
        <f>IFERROR(INDEX('Tagging key'!D:D, MATCH(F491,'Tagging key'!C:C,0)),"")</f>
        <v>71.58</v>
      </c>
      <c r="I491" s="3">
        <f>IFERROR(INDEX('Tagging key'!E:E, MATCH(F491,'Tagging key'!C:C,0)),"")</f>
        <v>48.32</v>
      </c>
      <c r="J491" s="3">
        <f>IFERROR(INDEX('Tagging key'!F:F, MATCH(F491,'Tagging key'!C:C,0)),"")</f>
        <v>22.87</v>
      </c>
      <c r="K491" s="3">
        <v>48.643999999999998</v>
      </c>
      <c r="L491" s="3">
        <v>73.900000000000006</v>
      </c>
      <c r="M491" s="3">
        <v>48.61</v>
      </c>
      <c r="N491" s="3">
        <v>27.82</v>
      </c>
      <c r="O491" s="3"/>
      <c r="P491" s="22">
        <v>45877</v>
      </c>
      <c r="Q491" s="22">
        <v>45877</v>
      </c>
      <c r="R491" s="3"/>
    </row>
    <row r="492" spans="1:18" hidden="1" x14ac:dyDescent="0.25">
      <c r="A492" s="8">
        <v>14</v>
      </c>
      <c r="B492" s="8">
        <v>6</v>
      </c>
      <c r="C492" s="8" t="s">
        <v>176</v>
      </c>
      <c r="D492" s="8" t="s">
        <v>16</v>
      </c>
      <c r="E492" s="8" t="s">
        <v>869</v>
      </c>
      <c r="F492" s="8" t="str">
        <f t="shared" si="5"/>
        <v>O_R22</v>
      </c>
      <c r="G492" s="3">
        <v>25.614000000000001</v>
      </c>
      <c r="H492" s="3">
        <f>IFERROR(INDEX('Tagging key'!D:D, MATCH(F492,'Tagging key'!C:C,0)),"")</f>
        <v>69.94</v>
      </c>
      <c r="I492" s="3">
        <f>IFERROR(INDEX('Tagging key'!E:E, MATCH(F492,'Tagging key'!C:C,0)),"")</f>
        <v>48.94</v>
      </c>
      <c r="J492" s="3">
        <f>IFERROR(INDEX('Tagging key'!F:F, MATCH(F492,'Tagging key'!C:C,0)),"")</f>
        <v>19.079999999999998</v>
      </c>
      <c r="K492" s="3">
        <v>25.431000000000001</v>
      </c>
      <c r="L492" s="3">
        <v>69.2</v>
      </c>
      <c r="M492" s="3">
        <v>43.54</v>
      </c>
      <c r="N492" s="3">
        <v>14.92</v>
      </c>
      <c r="O492" s="3"/>
      <c r="P492" s="22">
        <v>45879</v>
      </c>
      <c r="Q492" s="22">
        <v>45879</v>
      </c>
      <c r="R492" s="3"/>
    </row>
    <row r="493" spans="1:18" x14ac:dyDescent="0.25">
      <c r="A493" s="8">
        <v>14</v>
      </c>
      <c r="B493" s="8">
        <v>6</v>
      </c>
      <c r="C493" s="8" t="s">
        <v>176</v>
      </c>
      <c r="D493" s="8" t="s">
        <v>16</v>
      </c>
      <c r="E493" s="8" t="s">
        <v>772</v>
      </c>
      <c r="F493" s="8" t="str">
        <f t="shared" si="5"/>
        <v>O_B15</v>
      </c>
      <c r="G493" s="3">
        <v>39.451999999999998</v>
      </c>
      <c r="H493" s="3">
        <f>IFERROR(INDEX('Tagging key'!D:D, MATCH(F493,'Tagging key'!C:C,0)),"")</f>
        <v>80.430000000000007</v>
      </c>
      <c r="I493" s="3">
        <f>IFERROR(INDEX('Tagging key'!E:E, MATCH(F493,'Tagging key'!C:C,0)),"")</f>
        <v>43.15</v>
      </c>
      <c r="J493" s="3">
        <f>IFERROR(INDEX('Tagging key'!F:F, MATCH(F493,'Tagging key'!C:C,0)),"")</f>
        <v>16.440000000000001</v>
      </c>
      <c r="K493" s="3">
        <v>39.537999999999997</v>
      </c>
      <c r="L493" s="3">
        <v>79.5</v>
      </c>
      <c r="M493" s="3">
        <v>42.73</v>
      </c>
      <c r="N493" s="3">
        <v>18.61</v>
      </c>
      <c r="O493" s="3"/>
      <c r="P493" s="22">
        <v>45882</v>
      </c>
      <c r="Q493" s="22">
        <v>45882</v>
      </c>
      <c r="R493" s="3">
        <v>27.151</v>
      </c>
    </row>
    <row r="494" spans="1:18" hidden="1" x14ac:dyDescent="0.25">
      <c r="A494" s="8">
        <v>14</v>
      </c>
      <c r="B494" s="8">
        <v>6</v>
      </c>
      <c r="C494" s="8" t="s">
        <v>176</v>
      </c>
      <c r="D494" s="8" t="s">
        <v>16</v>
      </c>
      <c r="E494" s="8" t="s">
        <v>870</v>
      </c>
      <c r="F494" s="8" t="str">
        <f t="shared" si="5"/>
        <v>O_W28</v>
      </c>
      <c r="G494" s="3">
        <v>28.291</v>
      </c>
      <c r="H494" s="3">
        <f>IFERROR(INDEX('Tagging key'!D:D, MATCH(F494,'Tagging key'!C:C,0)),"")</f>
        <v>63.2</v>
      </c>
      <c r="I494" s="3">
        <f>IFERROR(INDEX('Tagging key'!E:E, MATCH(F494,'Tagging key'!C:C,0)),"")</f>
        <v>46.65</v>
      </c>
      <c r="J494" s="3">
        <f>IFERROR(INDEX('Tagging key'!F:F, MATCH(F494,'Tagging key'!C:C,0)),"")</f>
        <v>21.31</v>
      </c>
      <c r="K494" s="3">
        <v>28.41</v>
      </c>
      <c r="L494" s="3">
        <v>64.069999999999993</v>
      </c>
      <c r="M494" s="3">
        <v>44.5</v>
      </c>
      <c r="N494" s="3">
        <v>21.8</v>
      </c>
      <c r="O494" s="3"/>
      <c r="P494" s="22">
        <v>45886</v>
      </c>
      <c r="Q494" s="22">
        <v>45886</v>
      </c>
      <c r="R494" s="3">
        <v>17.047000000000001</v>
      </c>
    </row>
    <row r="495" spans="1:18" hidden="1" x14ac:dyDescent="0.25">
      <c r="A495" s="11">
        <v>14</v>
      </c>
      <c r="B495" s="11">
        <v>7</v>
      </c>
      <c r="C495" s="11" t="s">
        <v>176</v>
      </c>
      <c r="D495" s="11" t="s">
        <v>46</v>
      </c>
      <c r="E495" s="11" t="s">
        <v>32</v>
      </c>
      <c r="F495" s="11" t="str">
        <f t="shared" si="5"/>
        <v>M_B5</v>
      </c>
      <c r="G495" s="3">
        <v>43.287999999999997</v>
      </c>
      <c r="H495" s="3">
        <f>IFERROR(INDEX('Tagging key'!D:D, MATCH(F495,'Tagging key'!C:C,0)),"")</f>
        <v>76.44</v>
      </c>
      <c r="I495" s="3">
        <f>IFERROR(INDEX('Tagging key'!E:E, MATCH(F495,'Tagging key'!C:C,0)),"")</f>
        <v>40.21</v>
      </c>
      <c r="J495" s="3">
        <f>IFERROR(INDEX('Tagging key'!F:F, MATCH(F495,'Tagging key'!C:C,0)),"")</f>
        <v>26.93</v>
      </c>
      <c r="K495" s="3">
        <v>43.595999999999997</v>
      </c>
      <c r="L495" s="3">
        <v>77.09</v>
      </c>
      <c r="M495" s="3">
        <v>39.18</v>
      </c>
      <c r="N495" s="3">
        <v>28.17</v>
      </c>
      <c r="O495" s="3"/>
      <c r="P495" s="22">
        <v>45877</v>
      </c>
      <c r="Q495" s="22">
        <v>45877</v>
      </c>
      <c r="R495" s="3"/>
    </row>
    <row r="496" spans="1:18" x14ac:dyDescent="0.25">
      <c r="A496" s="11">
        <v>14</v>
      </c>
      <c r="B496" s="11">
        <v>7</v>
      </c>
      <c r="C496" s="11" t="s">
        <v>176</v>
      </c>
      <c r="D496" s="11" t="s">
        <v>46</v>
      </c>
      <c r="E496" s="11" t="s">
        <v>871</v>
      </c>
      <c r="F496" s="11" t="str">
        <f t="shared" si="5"/>
        <v>M_R86</v>
      </c>
      <c r="G496" s="3">
        <v>43.466000000000001</v>
      </c>
      <c r="H496" s="3">
        <f>IFERROR(INDEX('Tagging key'!D:D, MATCH(F496,'Tagging key'!C:C,0)),"")</f>
        <v>75.77</v>
      </c>
      <c r="I496" s="3">
        <f>IFERROR(INDEX('Tagging key'!E:E, MATCH(F496,'Tagging key'!C:C,0)),"")</f>
        <v>37.93</v>
      </c>
      <c r="J496" s="3">
        <f>IFERROR(INDEX('Tagging key'!F:F, MATCH(F496,'Tagging key'!C:C,0)),"")</f>
        <v>28.94</v>
      </c>
      <c r="K496" s="3">
        <v>43.975999999999999</v>
      </c>
      <c r="L496" s="3">
        <v>75.17</v>
      </c>
      <c r="M496" s="3">
        <v>37.07</v>
      </c>
      <c r="N496" s="3">
        <v>29.23</v>
      </c>
      <c r="O496" s="3"/>
      <c r="P496" s="22">
        <v>45882</v>
      </c>
      <c r="Q496" s="22">
        <v>45882</v>
      </c>
      <c r="R496" s="3">
        <v>15.329000000000001</v>
      </c>
    </row>
    <row r="497" spans="1:19" hidden="1" x14ac:dyDescent="0.25">
      <c r="A497" s="11">
        <v>14</v>
      </c>
      <c r="B497" s="11">
        <v>7</v>
      </c>
      <c r="C497" s="11" t="s">
        <v>176</v>
      </c>
      <c r="D497" s="11" t="s">
        <v>46</v>
      </c>
      <c r="E497" s="11" t="s">
        <v>872</v>
      </c>
      <c r="F497" s="11" t="str">
        <f t="shared" si="5"/>
        <v>M_R31</v>
      </c>
      <c r="G497" s="3">
        <v>38.084000000000003</v>
      </c>
      <c r="H497" s="3">
        <f>IFERROR(INDEX('Tagging key'!D:D, MATCH(F497,'Tagging key'!C:C,0)),"")</f>
        <v>64.45</v>
      </c>
      <c r="I497" s="3">
        <f>IFERROR(INDEX('Tagging key'!E:E, MATCH(F497,'Tagging key'!C:C,0)),"")</f>
        <v>32.71</v>
      </c>
      <c r="J497" s="3">
        <f>IFERROR(INDEX('Tagging key'!F:F, MATCH(F497,'Tagging key'!C:C,0)),"")</f>
        <v>31.76</v>
      </c>
      <c r="K497" s="3">
        <v>33.384</v>
      </c>
      <c r="L497" s="3">
        <v>64.27</v>
      </c>
      <c r="M497" s="3">
        <v>30.31</v>
      </c>
      <c r="N497" s="3">
        <v>31.4</v>
      </c>
      <c r="O497" s="3"/>
      <c r="P497" s="22">
        <v>45886</v>
      </c>
      <c r="Q497" s="22">
        <v>45886</v>
      </c>
      <c r="R497" s="3">
        <v>13.151</v>
      </c>
      <c r="S497" s="3">
        <v>17.109000000000002</v>
      </c>
    </row>
    <row r="498" spans="1:19" hidden="1" x14ac:dyDescent="0.25">
      <c r="A498" s="11">
        <v>14</v>
      </c>
      <c r="B498" s="11">
        <v>7</v>
      </c>
      <c r="C498" s="11" t="s">
        <v>176</v>
      </c>
      <c r="D498" s="11" t="s">
        <v>46</v>
      </c>
      <c r="E498" s="11" t="s">
        <v>222</v>
      </c>
      <c r="F498" s="11" t="str">
        <f t="shared" si="5"/>
        <v>M_R65</v>
      </c>
      <c r="G498" s="3">
        <v>41.183</v>
      </c>
      <c r="H498" s="3">
        <f>IFERROR(INDEX('Tagging key'!D:D, MATCH(F498,'Tagging key'!C:C,0)),"")</f>
        <v>72.989999999999995</v>
      </c>
      <c r="I498" s="3">
        <f>IFERROR(INDEX('Tagging key'!E:E, MATCH(F498,'Tagging key'!C:C,0)),"")</f>
        <v>43.04</v>
      </c>
      <c r="J498" s="3">
        <f>IFERROR(INDEX('Tagging key'!F:F, MATCH(F498,'Tagging key'!C:C,0)),"")</f>
        <v>29.57</v>
      </c>
      <c r="K498" s="3">
        <v>42.470999999999997</v>
      </c>
      <c r="L498" s="3">
        <v>74.28</v>
      </c>
      <c r="M498" s="3">
        <v>39.67</v>
      </c>
      <c r="N498" s="3">
        <v>30.08</v>
      </c>
      <c r="O498" s="3"/>
      <c r="P498" s="22">
        <v>45879</v>
      </c>
      <c r="Q498" s="22">
        <v>45879</v>
      </c>
      <c r="R498" s="3"/>
    </row>
    <row r="499" spans="1:19" x14ac:dyDescent="0.25">
      <c r="A499" s="12">
        <v>14</v>
      </c>
      <c r="B499" s="12">
        <v>8</v>
      </c>
      <c r="C499" s="12" t="s">
        <v>176</v>
      </c>
      <c r="D499" s="12" t="s">
        <v>46</v>
      </c>
      <c r="E499" s="12" t="s">
        <v>599</v>
      </c>
      <c r="F499" s="12" t="str">
        <f t="shared" si="5"/>
        <v>M_B11</v>
      </c>
      <c r="G499" s="3">
        <v>43.869</v>
      </c>
      <c r="H499" s="3">
        <f>IFERROR(INDEX('Tagging key'!D:D, MATCH(F499,'Tagging key'!C:C,0)),"")</f>
        <v>73</v>
      </c>
      <c r="I499" s="3">
        <f>IFERROR(INDEX('Tagging key'!E:E, MATCH(F499,'Tagging key'!C:C,0)),"")</f>
        <v>39</v>
      </c>
      <c r="J499" s="3">
        <f>IFERROR(INDEX('Tagging key'!F:F, MATCH(F499,'Tagging key'!C:C,0)),"")</f>
        <v>29</v>
      </c>
      <c r="K499" s="3">
        <v>44.195</v>
      </c>
      <c r="L499" s="3">
        <v>73.13</v>
      </c>
      <c r="M499" s="3">
        <v>39.06</v>
      </c>
      <c r="N499" s="3">
        <v>29.04</v>
      </c>
      <c r="O499" s="3"/>
      <c r="P499" s="22">
        <v>45882</v>
      </c>
      <c r="Q499" s="22">
        <v>45882</v>
      </c>
      <c r="R499" s="3">
        <v>15.474</v>
      </c>
    </row>
    <row r="500" spans="1:19" hidden="1" x14ac:dyDescent="0.25">
      <c r="A500" s="12">
        <v>14</v>
      </c>
      <c r="B500" s="12">
        <v>8</v>
      </c>
      <c r="C500" s="12" t="s">
        <v>176</v>
      </c>
      <c r="D500" s="12" t="s">
        <v>46</v>
      </c>
      <c r="E500" s="12" t="s">
        <v>838</v>
      </c>
      <c r="F500" s="12" t="str">
        <f t="shared" si="5"/>
        <v>M_R16</v>
      </c>
      <c r="G500" s="3">
        <v>22.693999999999999</v>
      </c>
      <c r="H500" s="3">
        <f>IFERROR(INDEX('Tagging key'!D:D, MATCH(F500,'Tagging key'!C:C,0)),"")</f>
        <v>61.77</v>
      </c>
      <c r="I500" s="3">
        <f>IFERROR(INDEX('Tagging key'!E:E, MATCH(F500,'Tagging key'!C:C,0)),"")</f>
        <v>36.42</v>
      </c>
      <c r="J500" s="3">
        <f>IFERROR(INDEX('Tagging key'!F:F, MATCH(F500,'Tagging key'!C:C,0)),"")</f>
        <v>22.85</v>
      </c>
      <c r="K500" s="3">
        <v>22.666</v>
      </c>
      <c r="L500" s="3">
        <v>62.42</v>
      </c>
      <c r="M500" s="3">
        <v>33.96</v>
      </c>
      <c r="N500" s="3">
        <v>23.13</v>
      </c>
      <c r="O500" s="3"/>
      <c r="P500" s="22">
        <v>45877</v>
      </c>
      <c r="Q500" s="22">
        <v>45877</v>
      </c>
      <c r="R500" s="3"/>
    </row>
    <row r="501" spans="1:19" x14ac:dyDescent="0.25">
      <c r="A501" s="12">
        <v>14</v>
      </c>
      <c r="B501" s="12">
        <v>8</v>
      </c>
      <c r="C501" s="12" t="s">
        <v>176</v>
      </c>
      <c r="D501" s="12" t="s">
        <v>46</v>
      </c>
      <c r="E501" s="12" t="s">
        <v>538</v>
      </c>
      <c r="F501" s="12" t="str">
        <f t="shared" si="5"/>
        <v>M_R87</v>
      </c>
      <c r="G501" s="3">
        <v>45.075000000000003</v>
      </c>
      <c r="H501" s="3">
        <f>IFERROR(INDEX('Tagging key'!D:D, MATCH(F501,'Tagging key'!C:C,0)),"")</f>
        <v>77.239999999999995</v>
      </c>
      <c r="I501" s="3">
        <f>IFERROR(INDEX('Tagging key'!E:E, MATCH(F501,'Tagging key'!C:C,0)),"")</f>
        <v>44.21</v>
      </c>
      <c r="J501" s="3">
        <f>IFERROR(INDEX('Tagging key'!F:F, MATCH(F501,'Tagging key'!C:C,0)),"")</f>
        <v>27.84</v>
      </c>
      <c r="K501" s="3">
        <v>45.860999999999997</v>
      </c>
      <c r="L501" s="3">
        <v>78.69</v>
      </c>
      <c r="M501" s="3">
        <v>41.59</v>
      </c>
      <c r="N501" s="3">
        <v>29.85</v>
      </c>
      <c r="O501" s="3"/>
      <c r="P501" s="22">
        <v>45882</v>
      </c>
      <c r="Q501" s="22">
        <v>45882</v>
      </c>
      <c r="R501" s="3"/>
    </row>
    <row r="502" spans="1:19" hidden="1" x14ac:dyDescent="0.25">
      <c r="A502" s="12">
        <v>14</v>
      </c>
      <c r="B502" s="12">
        <v>8</v>
      </c>
      <c r="C502" s="12" t="s">
        <v>176</v>
      </c>
      <c r="D502" s="12" t="s">
        <v>46</v>
      </c>
      <c r="E502" s="12" t="s">
        <v>873</v>
      </c>
      <c r="F502" s="12" t="str">
        <f t="shared" si="5"/>
        <v>M_R98</v>
      </c>
      <c r="G502" s="3">
        <v>23.847999999999999</v>
      </c>
      <c r="H502" s="3">
        <f>IFERROR(INDEX('Tagging key'!D:D, MATCH(F502,'Tagging key'!C:C,0)),"")</f>
        <v>64.010000000000005</v>
      </c>
      <c r="I502" s="3">
        <f>IFERROR(INDEX('Tagging key'!E:E, MATCH(F502,'Tagging key'!C:C,0)),"")</f>
        <v>30.8</v>
      </c>
      <c r="J502" s="3">
        <f>IFERROR(INDEX('Tagging key'!F:F, MATCH(F502,'Tagging key'!C:C,0)),"")</f>
        <v>22.21</v>
      </c>
      <c r="K502" s="3">
        <v>24.518000000000001</v>
      </c>
      <c r="L502" s="3">
        <v>64.13</v>
      </c>
      <c r="M502" s="3">
        <v>34.06</v>
      </c>
      <c r="N502" s="3">
        <v>21.93</v>
      </c>
      <c r="O502" s="3"/>
      <c r="P502" s="22">
        <v>45886</v>
      </c>
      <c r="Q502" s="22">
        <v>45886</v>
      </c>
      <c r="R502" s="3">
        <v>8.9220000000000006</v>
      </c>
    </row>
    <row r="503" spans="1:19" hidden="1" x14ac:dyDescent="0.25">
      <c r="A503" s="11">
        <v>14</v>
      </c>
      <c r="B503" s="11">
        <v>9</v>
      </c>
      <c r="C503" s="11" t="s">
        <v>176</v>
      </c>
      <c r="D503" s="11" t="s">
        <v>46</v>
      </c>
      <c r="E503" s="11" t="s">
        <v>670</v>
      </c>
      <c r="F503" s="11" t="str">
        <f t="shared" si="5"/>
        <v>M_B23</v>
      </c>
      <c r="G503" s="3">
        <v>59.128999999999998</v>
      </c>
      <c r="H503" s="3">
        <f>IFERROR(INDEX('Tagging key'!D:D, MATCH(F503,'Tagging key'!C:C,0)),"")</f>
        <v>81.069999999999993</v>
      </c>
      <c r="I503" s="3">
        <f>IFERROR(INDEX('Tagging key'!E:E, MATCH(F503,'Tagging key'!C:C,0)),"")</f>
        <v>43.87</v>
      </c>
      <c r="J503" s="3">
        <f>IFERROR(INDEX('Tagging key'!F:F, MATCH(F503,'Tagging key'!C:C,0)),"")</f>
        <v>31.13</v>
      </c>
      <c r="K503" s="3">
        <v>59.445</v>
      </c>
      <c r="L503" s="3">
        <v>80.959999999999994</v>
      </c>
      <c r="M503" s="3">
        <v>43.61</v>
      </c>
      <c r="N503" s="3">
        <v>33.19</v>
      </c>
      <c r="O503" s="3"/>
      <c r="P503" s="22">
        <v>45879</v>
      </c>
      <c r="Q503" s="22">
        <v>45879</v>
      </c>
      <c r="R503" s="3"/>
    </row>
    <row r="504" spans="1:19" hidden="1" x14ac:dyDescent="0.25">
      <c r="A504" s="11">
        <v>14</v>
      </c>
      <c r="B504" s="11">
        <v>9</v>
      </c>
      <c r="C504" s="11" t="s">
        <v>176</v>
      </c>
      <c r="D504" s="11" t="s">
        <v>46</v>
      </c>
      <c r="E504" s="11" t="s">
        <v>620</v>
      </c>
      <c r="F504" s="11" t="str">
        <f t="shared" si="5"/>
        <v>M_R64</v>
      </c>
      <c r="G504" s="3">
        <v>60.914000000000001</v>
      </c>
      <c r="H504" s="3">
        <f>IFERROR(INDEX('Tagging key'!D:D, MATCH(F504,'Tagging key'!C:C,0)),"")</f>
        <v>84</v>
      </c>
      <c r="I504" s="3">
        <f>IFERROR(INDEX('Tagging key'!E:E, MATCH(F504,'Tagging key'!C:C,0)),"")</f>
        <v>39</v>
      </c>
      <c r="J504" s="3">
        <f>IFERROR(INDEX('Tagging key'!F:F, MATCH(F504,'Tagging key'!C:C,0)),"")</f>
        <v>31</v>
      </c>
      <c r="K504" s="3">
        <v>60.584000000000003</v>
      </c>
      <c r="L504" s="3">
        <v>85.27</v>
      </c>
      <c r="M504" s="3">
        <v>39.700000000000003</v>
      </c>
      <c r="N504" s="3">
        <v>34.14</v>
      </c>
      <c r="O504" s="3"/>
      <c r="P504" s="22">
        <v>45877</v>
      </c>
      <c r="Q504" s="22">
        <v>45877</v>
      </c>
      <c r="R504" s="3"/>
    </row>
    <row r="505" spans="1:19" hidden="1" x14ac:dyDescent="0.25">
      <c r="A505" s="11">
        <v>14</v>
      </c>
      <c r="B505" s="11">
        <v>9</v>
      </c>
      <c r="C505" s="11" t="s">
        <v>176</v>
      </c>
      <c r="D505" s="11" t="s">
        <v>46</v>
      </c>
      <c r="E505" s="11" t="s">
        <v>386</v>
      </c>
      <c r="F505" s="11" t="str">
        <f t="shared" si="5"/>
        <v>M_B98</v>
      </c>
      <c r="G505" s="3">
        <v>37.424999999999997</v>
      </c>
      <c r="H505" s="3">
        <f>IFERROR(INDEX('Tagging key'!D:D, MATCH(F505,'Tagging key'!C:C,0)),"")</f>
        <v>70</v>
      </c>
      <c r="I505" s="3">
        <f>IFERROR(INDEX('Tagging key'!E:E, MATCH(F505,'Tagging key'!C:C,0)),"")</f>
        <v>36</v>
      </c>
      <c r="J505" s="3">
        <f>IFERROR(INDEX('Tagging key'!F:F, MATCH(F505,'Tagging key'!C:C,0)),"")</f>
        <v>27</v>
      </c>
      <c r="K505" s="3">
        <v>37.520000000000003</v>
      </c>
      <c r="L505" s="3">
        <v>70.13</v>
      </c>
      <c r="M505" s="3">
        <v>35.96</v>
      </c>
      <c r="N505" s="3">
        <v>28.83</v>
      </c>
      <c r="O505" s="3"/>
      <c r="P505" s="22">
        <v>45886</v>
      </c>
      <c r="Q505" s="22">
        <v>45886</v>
      </c>
      <c r="R505" s="3"/>
    </row>
    <row r="506" spans="1:19" x14ac:dyDescent="0.25">
      <c r="A506" s="11">
        <v>14</v>
      </c>
      <c r="B506" s="11">
        <v>9</v>
      </c>
      <c r="C506" s="11" t="s">
        <v>176</v>
      </c>
      <c r="D506" s="11" t="s">
        <v>46</v>
      </c>
      <c r="E506" s="11" t="s">
        <v>608</v>
      </c>
      <c r="F506" s="11" t="str">
        <f t="shared" si="5"/>
        <v>M_B14</v>
      </c>
      <c r="G506" s="3">
        <v>57.197000000000003</v>
      </c>
      <c r="H506" s="3">
        <f>IFERROR(INDEX('Tagging key'!D:D, MATCH(F506,'Tagging key'!C:C,0)),"")</f>
        <v>83</v>
      </c>
      <c r="I506" s="3">
        <f>IFERROR(INDEX('Tagging key'!E:E, MATCH(F506,'Tagging key'!C:C,0)),"")</f>
        <v>38</v>
      </c>
      <c r="J506" s="3">
        <f>IFERROR(INDEX('Tagging key'!F:F, MATCH(F506,'Tagging key'!C:C,0)),"")</f>
        <v>31</v>
      </c>
      <c r="K506" s="3">
        <v>57.960999999999999</v>
      </c>
      <c r="L506" s="3">
        <v>84.23</v>
      </c>
      <c r="M506" s="3">
        <v>40.020000000000003</v>
      </c>
      <c r="N506" s="3">
        <v>30.42</v>
      </c>
      <c r="O506" s="3"/>
      <c r="P506" s="22">
        <v>45882</v>
      </c>
      <c r="Q506" s="22">
        <v>45882</v>
      </c>
      <c r="R506" s="3">
        <v>21.951000000000001</v>
      </c>
    </row>
    <row r="507" spans="1:19" hidden="1" x14ac:dyDescent="0.25">
      <c r="A507" s="8">
        <v>15</v>
      </c>
      <c r="B507" s="8">
        <v>1</v>
      </c>
      <c r="C507" s="8" t="s">
        <v>15</v>
      </c>
      <c r="D507" s="8" t="s">
        <v>16</v>
      </c>
      <c r="E507" s="8" t="s">
        <v>874</v>
      </c>
      <c r="F507" s="8" t="str">
        <f t="shared" si="5"/>
        <v>O_W45</v>
      </c>
      <c r="G507" s="3">
        <v>43.838999999999999</v>
      </c>
      <c r="H507" s="3">
        <f>IFERROR(INDEX('Tagging key'!D:D, MATCH(F507,'Tagging key'!C:C,0)),"")</f>
        <v>65.209999999999994</v>
      </c>
      <c r="I507" s="3">
        <f>IFERROR(INDEX('Tagging key'!E:E, MATCH(F507,'Tagging key'!C:C,0)),"")</f>
        <v>56.84</v>
      </c>
      <c r="J507" s="3">
        <f>IFERROR(INDEX('Tagging key'!F:F, MATCH(F507,'Tagging key'!C:C,0)),"")</f>
        <v>16.27</v>
      </c>
      <c r="K507" s="3">
        <v>43.664999999999999</v>
      </c>
      <c r="L507" s="3">
        <v>60.27</v>
      </c>
      <c r="M507" s="3">
        <v>45.9</v>
      </c>
      <c r="N507" s="3">
        <v>16.8</v>
      </c>
      <c r="O507" s="3"/>
      <c r="P507" s="22">
        <v>45877</v>
      </c>
      <c r="Q507" s="22">
        <v>45877</v>
      </c>
      <c r="R507" s="3"/>
    </row>
    <row r="508" spans="1:19" hidden="1" x14ac:dyDescent="0.25">
      <c r="A508" s="8">
        <v>15</v>
      </c>
      <c r="B508" s="8">
        <v>1</v>
      </c>
      <c r="C508" s="8" t="s">
        <v>15</v>
      </c>
      <c r="D508" s="8" t="s">
        <v>16</v>
      </c>
      <c r="E508" s="8" t="s">
        <v>875</v>
      </c>
      <c r="F508" s="8" t="str">
        <f t="shared" si="5"/>
        <v>O_W19</v>
      </c>
      <c r="G508" s="3">
        <v>23.427</v>
      </c>
      <c r="H508" s="3">
        <f>IFERROR(INDEX('Tagging key'!D:D, MATCH(F508,'Tagging key'!C:C,0)),"")</f>
        <v>71.08</v>
      </c>
      <c r="I508" s="3">
        <f>IFERROR(INDEX('Tagging key'!E:E, MATCH(F508,'Tagging key'!C:C,0)),"")</f>
        <v>40.159999999999997</v>
      </c>
      <c r="J508" s="3">
        <f>IFERROR(INDEX('Tagging key'!F:F, MATCH(F508,'Tagging key'!C:C,0)),"")</f>
        <v>13.37</v>
      </c>
      <c r="K508" s="3">
        <v>23.524000000000001</v>
      </c>
      <c r="L508" s="3">
        <v>70.84</v>
      </c>
      <c r="M508" s="3">
        <v>40.49</v>
      </c>
      <c r="N508" s="3">
        <v>14.61</v>
      </c>
      <c r="O508" s="3"/>
      <c r="P508" s="22">
        <v>45886</v>
      </c>
      <c r="Q508" s="22">
        <v>45886</v>
      </c>
      <c r="R508" s="3">
        <v>15.257999999999999</v>
      </c>
    </row>
    <row r="509" spans="1:19" hidden="1" x14ac:dyDescent="0.25">
      <c r="A509" s="8">
        <v>15</v>
      </c>
      <c r="B509" s="8">
        <v>1</v>
      </c>
      <c r="C509" s="8" t="s">
        <v>15</v>
      </c>
      <c r="D509" s="8" t="s">
        <v>16</v>
      </c>
      <c r="E509" s="8" t="s">
        <v>876</v>
      </c>
      <c r="F509" s="8" t="str">
        <f t="shared" si="5"/>
        <v>O_W46</v>
      </c>
      <c r="G509" s="3">
        <v>31.693000000000001</v>
      </c>
      <c r="H509" s="3">
        <f>IFERROR(INDEX('Tagging key'!D:D, MATCH(F509,'Tagging key'!C:C,0)),"")</f>
        <v>68.81</v>
      </c>
      <c r="I509" s="3">
        <f>IFERROR(INDEX('Tagging key'!E:E, MATCH(F509,'Tagging key'!C:C,0)),"")</f>
        <v>48.12</v>
      </c>
      <c r="J509" s="3">
        <f>IFERROR(INDEX('Tagging key'!F:F, MATCH(F509,'Tagging key'!C:C,0)),"")</f>
        <v>17.559999999999999</v>
      </c>
      <c r="K509" s="3">
        <v>31.219000000000001</v>
      </c>
      <c r="L509" s="3">
        <v>69.61</v>
      </c>
      <c r="M509" s="3">
        <v>49.15</v>
      </c>
      <c r="N509" s="3">
        <v>20.25</v>
      </c>
      <c r="O509" s="3"/>
      <c r="P509" s="22">
        <v>45879</v>
      </c>
      <c r="Q509" s="22">
        <v>45879</v>
      </c>
      <c r="R509" s="3"/>
    </row>
    <row r="510" spans="1:19" x14ac:dyDescent="0.25">
      <c r="A510" s="8">
        <v>15</v>
      </c>
      <c r="B510" s="8">
        <v>1</v>
      </c>
      <c r="C510" s="8" t="s">
        <v>15</v>
      </c>
      <c r="D510" s="8" t="s">
        <v>16</v>
      </c>
      <c r="E510" s="8" t="s">
        <v>873</v>
      </c>
      <c r="F510" s="8" t="str">
        <f t="shared" si="5"/>
        <v>O_R98</v>
      </c>
      <c r="G510" s="3">
        <v>26.951000000000001</v>
      </c>
      <c r="H510" s="3">
        <f>IFERROR(INDEX('Tagging key'!D:D, MATCH(F510,'Tagging key'!C:C,0)),"")</f>
        <v>68.69</v>
      </c>
      <c r="I510" s="3">
        <f>IFERROR(INDEX('Tagging key'!E:E, MATCH(F510,'Tagging key'!C:C,0)),"")</f>
        <v>38.049999999999997</v>
      </c>
      <c r="J510" s="3">
        <f>IFERROR(INDEX('Tagging key'!F:F, MATCH(F510,'Tagging key'!C:C,0)),"")</f>
        <v>13.62</v>
      </c>
      <c r="K510" s="3">
        <v>26.927</v>
      </c>
      <c r="L510" s="3">
        <v>69.319999999999993</v>
      </c>
      <c r="M510" s="3">
        <v>40.33</v>
      </c>
      <c r="N510" s="3">
        <v>15.91</v>
      </c>
      <c r="O510" s="3"/>
      <c r="P510" s="22">
        <v>45882</v>
      </c>
      <c r="Q510" s="22">
        <v>45882</v>
      </c>
      <c r="R510" s="3">
        <v>16.754000000000001</v>
      </c>
    </row>
    <row r="511" spans="1:19" hidden="1" x14ac:dyDescent="0.25">
      <c r="A511" s="9">
        <v>15</v>
      </c>
      <c r="B511" s="9">
        <v>2</v>
      </c>
      <c r="C511" s="9" t="s">
        <v>15</v>
      </c>
      <c r="D511" s="9" t="s">
        <v>16</v>
      </c>
      <c r="E511" s="9" t="s">
        <v>877</v>
      </c>
      <c r="F511" s="9" t="str">
        <f t="shared" si="5"/>
        <v>O_R17</v>
      </c>
      <c r="G511" s="3">
        <v>37.322000000000003</v>
      </c>
      <c r="H511" s="3">
        <f>IFERROR(INDEX('Tagging key'!D:D, MATCH(F511,'Tagging key'!C:C,0)),"")</f>
        <v>78.06</v>
      </c>
      <c r="I511" s="3">
        <f>IFERROR(INDEX('Tagging key'!E:E, MATCH(F511,'Tagging key'!C:C,0)),"")</f>
        <v>55.62</v>
      </c>
      <c r="J511" s="3">
        <f>IFERROR(INDEX('Tagging key'!F:F, MATCH(F511,'Tagging key'!C:C,0)),"")</f>
        <v>27.44</v>
      </c>
      <c r="K511" s="3">
        <v>34.21</v>
      </c>
      <c r="L511" s="3">
        <v>72.28</v>
      </c>
      <c r="M511" s="3">
        <v>40.79</v>
      </c>
      <c r="N511" s="3">
        <v>17.63</v>
      </c>
      <c r="O511" s="3"/>
      <c r="P511" s="22">
        <v>45877</v>
      </c>
      <c r="Q511" s="22">
        <v>45877</v>
      </c>
      <c r="R511" s="3"/>
      <c r="S511" t="s">
        <v>878</v>
      </c>
    </row>
    <row r="512" spans="1:19" x14ac:dyDescent="0.25">
      <c r="A512" s="9">
        <v>15</v>
      </c>
      <c r="B512" s="9">
        <v>2</v>
      </c>
      <c r="C512" s="9" t="s">
        <v>15</v>
      </c>
      <c r="D512" s="9" t="s">
        <v>16</v>
      </c>
      <c r="E512" s="9" t="s">
        <v>389</v>
      </c>
      <c r="F512" s="9" t="str">
        <f t="shared" si="5"/>
        <v>O_B82</v>
      </c>
      <c r="G512" s="3">
        <v>35.393999999999998</v>
      </c>
      <c r="H512" s="3">
        <f>IFERROR(INDEX('Tagging key'!D:D, MATCH(F512,'Tagging key'!C:C,0)),"")</f>
        <v>64.989999999999995</v>
      </c>
      <c r="I512" s="3">
        <f>IFERROR(INDEX('Tagging key'!E:E, MATCH(F512,'Tagging key'!C:C,0)),"")</f>
        <v>51.64</v>
      </c>
      <c r="J512" s="3">
        <f>IFERROR(INDEX('Tagging key'!F:F, MATCH(F512,'Tagging key'!C:C,0)),"")</f>
        <v>21.83</v>
      </c>
      <c r="K512" s="3">
        <v>35.511000000000003</v>
      </c>
      <c r="L512" s="3">
        <v>64.319999999999993</v>
      </c>
      <c r="M512" s="3">
        <v>51.44</v>
      </c>
      <c r="N512" s="3">
        <v>20.57</v>
      </c>
      <c r="O512" s="3"/>
      <c r="P512" s="22">
        <v>45882</v>
      </c>
      <c r="Q512" s="22">
        <v>45882</v>
      </c>
      <c r="R512" s="3">
        <v>20.823</v>
      </c>
    </row>
    <row r="513" spans="1:19" hidden="1" x14ac:dyDescent="0.25">
      <c r="A513" s="9">
        <v>15</v>
      </c>
      <c r="B513" s="9">
        <v>2</v>
      </c>
      <c r="C513" s="9" t="s">
        <v>15</v>
      </c>
      <c r="D513" s="9" t="s">
        <v>16</v>
      </c>
      <c r="E513" s="9" t="s">
        <v>879</v>
      </c>
      <c r="F513" s="9" t="str">
        <f t="shared" si="5"/>
        <v>O_W36</v>
      </c>
      <c r="G513" s="3">
        <v>40.454999999999998</v>
      </c>
      <c r="H513" s="3">
        <f>IFERROR(INDEX('Tagging key'!D:D, MATCH(F513,'Tagging key'!C:C,0)),"")</f>
        <v>72.790000000000006</v>
      </c>
      <c r="I513" s="3">
        <f>IFERROR(INDEX('Tagging key'!E:E, MATCH(F513,'Tagging key'!C:C,0)),"")</f>
        <v>55.14</v>
      </c>
      <c r="J513" s="3">
        <f>IFERROR(INDEX('Tagging key'!F:F, MATCH(F513,'Tagging key'!C:C,0)),"")</f>
        <v>18.93</v>
      </c>
      <c r="K513" s="3">
        <v>40.122</v>
      </c>
      <c r="L513" s="3">
        <v>72.86</v>
      </c>
      <c r="M513" s="3">
        <v>47.37</v>
      </c>
      <c r="N513" s="3">
        <v>21.63</v>
      </c>
      <c r="O513" s="3"/>
      <c r="P513" s="22">
        <v>45886</v>
      </c>
      <c r="Q513" s="22">
        <v>45886</v>
      </c>
      <c r="R513" s="3">
        <v>23.606000000000002</v>
      </c>
    </row>
    <row r="514" spans="1:19" hidden="1" x14ac:dyDescent="0.25">
      <c r="A514" s="9">
        <v>15</v>
      </c>
      <c r="B514" s="9">
        <v>2</v>
      </c>
      <c r="C514" s="9" t="s">
        <v>15</v>
      </c>
      <c r="D514" s="9" t="s">
        <v>16</v>
      </c>
      <c r="E514" s="9" t="s">
        <v>425</v>
      </c>
      <c r="F514" s="9" t="str">
        <f t="shared" si="5"/>
        <v>O_R76</v>
      </c>
      <c r="G514" s="3">
        <v>46.746000000000002</v>
      </c>
      <c r="H514" s="3">
        <f>IFERROR(INDEX('Tagging key'!D:D, MATCH(F514,'Tagging key'!C:C,0)),"")</f>
        <v>83.2</v>
      </c>
      <c r="I514" s="3">
        <f>IFERROR(INDEX('Tagging key'!E:E, MATCH(F514,'Tagging key'!C:C,0)),"")</f>
        <v>53.55</v>
      </c>
      <c r="J514" s="3">
        <f>IFERROR(INDEX('Tagging key'!F:F, MATCH(F514,'Tagging key'!C:C,0)),"")</f>
        <v>17.05</v>
      </c>
      <c r="K514" s="3">
        <v>46.341000000000001</v>
      </c>
      <c r="L514" s="3">
        <v>85.9</v>
      </c>
      <c r="M514" s="3">
        <v>45.47</v>
      </c>
      <c r="N514" s="3">
        <v>19.149999999999999</v>
      </c>
      <c r="O514" s="3"/>
      <c r="P514" s="22">
        <v>45879</v>
      </c>
      <c r="Q514" s="22">
        <v>45879</v>
      </c>
      <c r="R514" s="3"/>
    </row>
    <row r="515" spans="1:19" hidden="1" x14ac:dyDescent="0.25">
      <c r="A515" s="8">
        <v>15</v>
      </c>
      <c r="B515" s="8">
        <v>3</v>
      </c>
      <c r="C515" s="8" t="s">
        <v>15</v>
      </c>
      <c r="D515" s="8" t="s">
        <v>16</v>
      </c>
      <c r="E515" s="8" t="s">
        <v>725</v>
      </c>
      <c r="F515" s="8" t="str">
        <f t="shared" si="5"/>
        <v>O_R79</v>
      </c>
      <c r="G515" s="3">
        <v>27.571999999999999</v>
      </c>
      <c r="H515" s="3">
        <f>IFERROR(INDEX('Tagging key'!D:D, MATCH(F515,'Tagging key'!C:C,0)),"")</f>
        <v>56.09</v>
      </c>
      <c r="I515" s="3">
        <f>IFERROR(INDEX('Tagging key'!E:E, MATCH(F515,'Tagging key'!C:C,0)),"")</f>
        <v>54.63</v>
      </c>
      <c r="J515" s="3">
        <f>IFERROR(INDEX('Tagging key'!F:F, MATCH(F515,'Tagging key'!C:C,0)),"")</f>
        <v>16.850000000000001</v>
      </c>
      <c r="K515" s="3">
        <v>27.454999999999998</v>
      </c>
      <c r="L515" s="3">
        <v>55.74</v>
      </c>
      <c r="M515" s="3">
        <v>48.37</v>
      </c>
      <c r="N515" s="3">
        <v>18.170000000000002</v>
      </c>
      <c r="O515" s="3"/>
      <c r="P515" s="22">
        <v>45879</v>
      </c>
      <c r="Q515" s="22">
        <v>45879</v>
      </c>
      <c r="R515" s="3"/>
    </row>
    <row r="516" spans="1:19" x14ac:dyDescent="0.25">
      <c r="A516" s="8">
        <v>15</v>
      </c>
      <c r="B516" s="8">
        <v>3</v>
      </c>
      <c r="C516" s="8" t="s">
        <v>15</v>
      </c>
      <c r="D516" s="8" t="s">
        <v>16</v>
      </c>
      <c r="E516" s="8" t="s">
        <v>880</v>
      </c>
      <c r="F516" s="8" t="str">
        <f t="shared" si="5"/>
        <v>O_W29</v>
      </c>
      <c r="G516" s="3">
        <v>28.108000000000001</v>
      </c>
      <c r="H516" s="3">
        <f>IFERROR(INDEX('Tagging key'!D:D, MATCH(F516,'Tagging key'!C:C,0)),"")</f>
        <v>58.71</v>
      </c>
      <c r="I516" s="3">
        <f>IFERROR(INDEX('Tagging key'!E:E, MATCH(F516,'Tagging key'!C:C,0)),"")</f>
        <v>46.6</v>
      </c>
      <c r="J516" s="3">
        <f>IFERROR(INDEX('Tagging key'!F:F, MATCH(F516,'Tagging key'!C:C,0)),"")</f>
        <v>15.85</v>
      </c>
      <c r="K516" s="3">
        <v>27.954999999999998</v>
      </c>
      <c r="L516" s="3">
        <v>58.53</v>
      </c>
      <c r="M516" s="3">
        <v>46.47</v>
      </c>
      <c r="N516" s="3">
        <v>16.47</v>
      </c>
      <c r="O516" s="3"/>
      <c r="P516" s="22">
        <v>45882</v>
      </c>
      <c r="Q516" s="22">
        <v>45882</v>
      </c>
      <c r="R516" s="3">
        <v>18.843</v>
      </c>
    </row>
    <row r="517" spans="1:19" hidden="1" x14ac:dyDescent="0.25">
      <c r="A517" s="8">
        <v>15</v>
      </c>
      <c r="B517" s="8">
        <v>3</v>
      </c>
      <c r="C517" s="8" t="s">
        <v>15</v>
      </c>
      <c r="D517" s="8" t="s">
        <v>16</v>
      </c>
      <c r="E517" s="8" t="s">
        <v>660</v>
      </c>
      <c r="F517" s="8" t="str">
        <f t="shared" si="5"/>
        <v>O_R74</v>
      </c>
      <c r="G517" s="3">
        <v>29.184999999999999</v>
      </c>
      <c r="H517" s="3">
        <f>IFERROR(INDEX('Tagging key'!D:D, MATCH(F517,'Tagging key'!C:C,0)),"")</f>
        <v>65.09</v>
      </c>
      <c r="I517" s="3">
        <f>IFERROR(INDEX('Tagging key'!E:E, MATCH(F517,'Tagging key'!C:C,0)),"")</f>
        <v>52.35</v>
      </c>
      <c r="J517" s="3">
        <f>IFERROR(INDEX('Tagging key'!F:F, MATCH(F517,'Tagging key'!C:C,0)),"")</f>
        <v>17.72</v>
      </c>
      <c r="K517" s="3">
        <v>28.917999999999999</v>
      </c>
      <c r="L517" s="3">
        <v>60.48</v>
      </c>
      <c r="M517" s="3">
        <v>39.450000000000003</v>
      </c>
      <c r="N517" s="3">
        <v>14.09</v>
      </c>
      <c r="O517" s="3"/>
      <c r="P517" s="22">
        <v>45877</v>
      </c>
      <c r="Q517" s="22">
        <v>45877</v>
      </c>
      <c r="R517" s="3"/>
    </row>
    <row r="518" spans="1:19" x14ac:dyDescent="0.25">
      <c r="A518" s="19">
        <v>15</v>
      </c>
      <c r="B518" s="19">
        <v>3</v>
      </c>
      <c r="C518" s="19" t="s">
        <v>15</v>
      </c>
      <c r="D518" s="19" t="s">
        <v>16</v>
      </c>
      <c r="E518" s="19" t="s">
        <v>374</v>
      </c>
      <c r="F518" s="19" t="str">
        <f t="shared" si="5"/>
        <v>O_B12</v>
      </c>
      <c r="G518" s="19">
        <v>37.787999999999997</v>
      </c>
      <c r="H518" s="19">
        <f>IFERROR(INDEX('Tagging key'!D:D, MATCH(F518,'Tagging key'!C:C,0)),"")</f>
        <v>58.7</v>
      </c>
      <c r="I518" s="19">
        <f>IFERROR(INDEX('Tagging key'!E:E, MATCH(F518,'Tagging key'!C:C,0)),"")</f>
        <v>59.58</v>
      </c>
      <c r="J518" s="19">
        <f>IFERROR(INDEX('Tagging key'!F:F, MATCH(F518,'Tagging key'!C:C,0)),"")</f>
        <v>20.54</v>
      </c>
      <c r="K518" s="19"/>
      <c r="L518" s="19"/>
      <c r="M518" s="19"/>
      <c r="N518" s="19"/>
      <c r="O518" s="19"/>
      <c r="P518" s="27"/>
      <c r="Q518" s="27"/>
      <c r="R518" s="19"/>
      <c r="S518" t="s">
        <v>605</v>
      </c>
    </row>
    <row r="519" spans="1:19" x14ac:dyDescent="0.25">
      <c r="A519" s="13">
        <v>15</v>
      </c>
      <c r="B519" s="13">
        <v>4</v>
      </c>
      <c r="C519" s="13" t="s">
        <v>15</v>
      </c>
      <c r="D519" s="13" t="s">
        <v>72</v>
      </c>
      <c r="E519" s="13" t="s">
        <v>185</v>
      </c>
      <c r="F519" s="13" t="str">
        <f t="shared" si="5"/>
        <v>S_G17</v>
      </c>
      <c r="G519" s="3">
        <v>50.134999999999998</v>
      </c>
      <c r="H519" s="3">
        <f>IFERROR(INDEX('Tagging key'!D:D, MATCH(F519,'Tagging key'!C:C,0)),"")</f>
        <v>71.41</v>
      </c>
      <c r="I519" s="3">
        <f>IFERROR(INDEX('Tagging key'!E:E, MATCH(F519,'Tagging key'!C:C,0)),"")</f>
        <v>70.849999999999994</v>
      </c>
      <c r="J519" s="3">
        <f>IFERROR(INDEX('Tagging key'!F:F, MATCH(F519,'Tagging key'!C:C,0)),"")</f>
        <v>18.5</v>
      </c>
      <c r="K519" s="3">
        <v>46.59</v>
      </c>
      <c r="L519" s="3">
        <v>72.349999999999994</v>
      </c>
      <c r="M519" s="3">
        <v>74.180000000000007</v>
      </c>
      <c r="N519" s="3">
        <v>20.27</v>
      </c>
      <c r="O519" s="3"/>
      <c r="P519" s="22">
        <v>45882</v>
      </c>
      <c r="Q519" s="22">
        <v>45882</v>
      </c>
      <c r="R519" s="3">
        <v>21.02</v>
      </c>
    </row>
    <row r="520" spans="1:19" hidden="1" x14ac:dyDescent="0.25">
      <c r="A520" s="13">
        <v>15</v>
      </c>
      <c r="B520" s="13">
        <v>4</v>
      </c>
      <c r="C520" s="13" t="s">
        <v>15</v>
      </c>
      <c r="D520" s="13" t="s">
        <v>72</v>
      </c>
      <c r="E520" s="13" t="s">
        <v>881</v>
      </c>
      <c r="F520" s="13" t="str">
        <f t="shared" si="5"/>
        <v>S_G63</v>
      </c>
      <c r="G520" s="3">
        <v>59.481000000000002</v>
      </c>
      <c r="H520" s="3">
        <f>IFERROR(INDEX('Tagging key'!D:D, MATCH(F520,'Tagging key'!C:C,0)),"")</f>
        <v>71</v>
      </c>
      <c r="I520" s="3">
        <f>IFERROR(INDEX('Tagging key'!E:E, MATCH(F520,'Tagging key'!C:C,0)),"")</f>
        <v>73</v>
      </c>
      <c r="J520" s="3">
        <f>IFERROR(INDEX('Tagging key'!F:F, MATCH(F520,'Tagging key'!C:C,0)),"")</f>
        <v>19</v>
      </c>
      <c r="K520" s="3">
        <v>58.197000000000003</v>
      </c>
      <c r="L520" s="3">
        <v>74.19</v>
      </c>
      <c r="M520" s="3">
        <v>75.569999999999993</v>
      </c>
      <c r="N520" s="3">
        <v>24.41</v>
      </c>
      <c r="O520" s="3"/>
      <c r="P520" s="22">
        <v>45879</v>
      </c>
      <c r="Q520" s="22">
        <v>45879</v>
      </c>
      <c r="R520" s="3"/>
    </row>
    <row r="521" spans="1:19" hidden="1" x14ac:dyDescent="0.25">
      <c r="A521" s="13">
        <v>15</v>
      </c>
      <c r="B521" s="13">
        <v>4</v>
      </c>
      <c r="C521" s="13" t="s">
        <v>15</v>
      </c>
      <c r="D521" s="13" t="s">
        <v>72</v>
      </c>
      <c r="E521" s="13" t="s">
        <v>482</v>
      </c>
      <c r="F521" s="13" t="str">
        <f t="shared" si="5"/>
        <v>S_G16</v>
      </c>
      <c r="G521" s="3">
        <v>48.078000000000003</v>
      </c>
      <c r="H521" s="3">
        <f>IFERROR(INDEX('Tagging key'!D:D, MATCH(F521,'Tagging key'!C:C,0)),"")</f>
        <v>69.77</v>
      </c>
      <c r="I521" s="3">
        <f>IFERROR(INDEX('Tagging key'!E:E, MATCH(F521,'Tagging key'!C:C,0)),"")</f>
        <v>75.87</v>
      </c>
      <c r="J521" s="3">
        <f>IFERROR(INDEX('Tagging key'!F:F, MATCH(F521,'Tagging key'!C:C,0)),"")</f>
        <v>17.940000000000001</v>
      </c>
      <c r="K521" s="3">
        <v>43.884999999999998</v>
      </c>
      <c r="L521" s="3">
        <v>69.95</v>
      </c>
      <c r="M521" s="3">
        <v>76.97</v>
      </c>
      <c r="N521" s="3">
        <v>20.12</v>
      </c>
      <c r="O521" s="3"/>
      <c r="P521" s="22">
        <v>45886</v>
      </c>
      <c r="Q521" s="22">
        <v>45886</v>
      </c>
      <c r="R521" s="3">
        <v>19.385000000000002</v>
      </c>
    </row>
    <row r="522" spans="1:19" hidden="1" x14ac:dyDescent="0.25">
      <c r="A522" s="13">
        <v>15</v>
      </c>
      <c r="B522" s="13">
        <v>4</v>
      </c>
      <c r="C522" s="13" t="s">
        <v>15</v>
      </c>
      <c r="D522" s="13" t="s">
        <v>72</v>
      </c>
      <c r="E522" s="13" t="s">
        <v>480</v>
      </c>
      <c r="F522" s="13" t="str">
        <f t="shared" si="5"/>
        <v>S_G32</v>
      </c>
      <c r="G522" s="3">
        <v>46.921999999999997</v>
      </c>
      <c r="H522" s="3">
        <f>IFERROR(INDEX('Tagging key'!D:D, MATCH(F522,'Tagging key'!C:C,0)),"")</f>
        <v>72.13</v>
      </c>
      <c r="I522" s="3">
        <f>IFERROR(INDEX('Tagging key'!E:E, MATCH(F522,'Tagging key'!C:C,0)),"")</f>
        <v>71.16</v>
      </c>
      <c r="J522" s="3">
        <f>IFERROR(INDEX('Tagging key'!F:F, MATCH(F522,'Tagging key'!C:C,0)),"")</f>
        <v>18.600000000000001</v>
      </c>
      <c r="K522" s="3">
        <v>44.393999999999998</v>
      </c>
      <c r="L522" s="3">
        <v>72.86</v>
      </c>
      <c r="M522" s="3">
        <v>73.11</v>
      </c>
      <c r="N522" s="3">
        <v>19.07</v>
      </c>
      <c r="O522" s="3"/>
      <c r="P522" s="22">
        <v>45877</v>
      </c>
      <c r="Q522" s="22">
        <v>45877</v>
      </c>
      <c r="R522" s="3"/>
    </row>
    <row r="523" spans="1:19" hidden="1" x14ac:dyDescent="0.25">
      <c r="A523" s="14">
        <v>15</v>
      </c>
      <c r="B523" s="14">
        <v>5</v>
      </c>
      <c r="C523" s="14" t="s">
        <v>15</v>
      </c>
      <c r="D523" s="14" t="s">
        <v>72</v>
      </c>
      <c r="E523" s="14" t="s">
        <v>882</v>
      </c>
      <c r="F523" s="14" t="str">
        <f t="shared" si="5"/>
        <v>S_W59</v>
      </c>
      <c r="G523" s="3">
        <v>53.113999999999997</v>
      </c>
      <c r="H523" s="3">
        <f>IFERROR(INDEX('Tagging key'!D:D, MATCH(F523,'Tagging key'!C:C,0)),"")</f>
        <v>73</v>
      </c>
      <c r="I523" s="3">
        <f>IFERROR(INDEX('Tagging key'!E:E, MATCH(F523,'Tagging key'!C:C,0)),"")</f>
        <v>75</v>
      </c>
      <c r="J523" s="3">
        <f>IFERROR(INDEX('Tagging key'!F:F, MATCH(F523,'Tagging key'!C:C,0)),"")</f>
        <v>17</v>
      </c>
      <c r="K523" s="3">
        <v>48.38</v>
      </c>
      <c r="L523" s="3">
        <v>74.790000000000006</v>
      </c>
      <c r="M523" s="3">
        <v>77.569999999999993</v>
      </c>
      <c r="N523" s="3">
        <v>19.79</v>
      </c>
      <c r="O523" s="3"/>
      <c r="P523" s="22">
        <v>45886</v>
      </c>
      <c r="Q523" s="22">
        <v>45886</v>
      </c>
    </row>
    <row r="524" spans="1:19" hidden="1" x14ac:dyDescent="0.25">
      <c r="A524" s="14">
        <v>15</v>
      </c>
      <c r="B524" s="14">
        <v>5</v>
      </c>
      <c r="C524" s="14" t="s">
        <v>15</v>
      </c>
      <c r="D524" s="14" t="s">
        <v>72</v>
      </c>
      <c r="E524" s="14" t="s">
        <v>883</v>
      </c>
      <c r="F524" s="14" t="str">
        <f t="shared" si="5"/>
        <v>S_W66</v>
      </c>
      <c r="G524" s="3">
        <v>46.302999999999997</v>
      </c>
      <c r="H524" s="3">
        <f>IFERROR(INDEX('Tagging key'!D:D, MATCH(F524,'Tagging key'!C:C,0)),"")</f>
        <v>70</v>
      </c>
      <c r="I524" s="3">
        <f>IFERROR(INDEX('Tagging key'!E:E, MATCH(F524,'Tagging key'!C:C,0)),"")</f>
        <v>70</v>
      </c>
      <c r="J524" s="3">
        <f>IFERROR(INDEX('Tagging key'!F:F, MATCH(F524,'Tagging key'!C:C,0)),"")</f>
        <v>16</v>
      </c>
      <c r="K524" s="3">
        <v>42.927999999999997</v>
      </c>
      <c r="L524" s="3">
        <v>65.56</v>
      </c>
      <c r="M524" s="3">
        <v>65.239999999999995</v>
      </c>
      <c r="N524" s="3">
        <v>15.94</v>
      </c>
      <c r="O524" s="3"/>
      <c r="P524" s="22">
        <v>45879</v>
      </c>
      <c r="Q524" s="22">
        <v>45879</v>
      </c>
      <c r="R524" s="3"/>
    </row>
    <row r="525" spans="1:19" x14ac:dyDescent="0.25">
      <c r="A525" s="14">
        <v>15</v>
      </c>
      <c r="B525" s="14">
        <v>5</v>
      </c>
      <c r="C525" s="14" t="s">
        <v>15</v>
      </c>
      <c r="D525" s="14" t="s">
        <v>72</v>
      </c>
      <c r="E525" s="14" t="s">
        <v>884</v>
      </c>
      <c r="F525" s="14" t="str">
        <f t="shared" si="5"/>
        <v>S_G5</v>
      </c>
      <c r="G525" s="3">
        <v>57.055</v>
      </c>
      <c r="H525" s="3">
        <f>IFERROR(INDEX('Tagging key'!D:D, MATCH(F525,'Tagging key'!C:C,0)),"")</f>
        <v>75.08</v>
      </c>
      <c r="I525" s="3">
        <f>IFERROR(INDEX('Tagging key'!E:E, MATCH(F525,'Tagging key'!C:C,0)),"")</f>
        <v>78.260000000000005</v>
      </c>
      <c r="J525" s="3">
        <f>IFERROR(INDEX('Tagging key'!F:F, MATCH(F525,'Tagging key'!C:C,0)),"")</f>
        <v>19.350000000000001</v>
      </c>
      <c r="K525" s="3">
        <v>53.884</v>
      </c>
      <c r="L525" s="3">
        <v>75.180000000000007</v>
      </c>
      <c r="M525" s="3">
        <v>78.87</v>
      </c>
      <c r="N525" s="3">
        <v>20.96</v>
      </c>
      <c r="O525" s="3"/>
      <c r="P525" s="22">
        <v>45882</v>
      </c>
      <c r="Q525" s="22">
        <v>45882</v>
      </c>
      <c r="R525" s="3">
        <v>26.875</v>
      </c>
    </row>
    <row r="526" spans="1:19" hidden="1" x14ac:dyDescent="0.25">
      <c r="A526" s="14">
        <v>15</v>
      </c>
      <c r="B526" s="14">
        <v>5</v>
      </c>
      <c r="C526" s="14" t="s">
        <v>15</v>
      </c>
      <c r="D526" s="14" t="s">
        <v>72</v>
      </c>
      <c r="E526" s="14" t="s">
        <v>885</v>
      </c>
      <c r="F526" s="14" t="str">
        <f t="shared" si="5"/>
        <v>S_Y52</v>
      </c>
      <c r="G526" s="3">
        <v>45.944000000000003</v>
      </c>
      <c r="H526" s="3">
        <f>IFERROR(INDEX('Tagging key'!D:D, MATCH(F526,'Tagging key'!C:C,0)),"")</f>
        <v>69</v>
      </c>
      <c r="I526" s="3">
        <f>IFERROR(INDEX('Tagging key'!E:E, MATCH(F526,'Tagging key'!C:C,0)),"")</f>
        <v>73</v>
      </c>
      <c r="J526" s="3">
        <f>IFERROR(INDEX('Tagging key'!F:F, MATCH(F526,'Tagging key'!C:C,0)),"")</f>
        <v>18</v>
      </c>
      <c r="K526" s="3">
        <v>44.906999999999996</v>
      </c>
      <c r="L526" s="3">
        <v>64.900000000000006</v>
      </c>
      <c r="M526" s="3">
        <v>69.19</v>
      </c>
      <c r="N526" s="3">
        <v>14.45</v>
      </c>
      <c r="O526" s="3"/>
      <c r="P526" s="22">
        <v>45877</v>
      </c>
      <c r="Q526" s="22">
        <v>45877</v>
      </c>
      <c r="R526" s="3"/>
    </row>
    <row r="527" spans="1:19" hidden="1" x14ac:dyDescent="0.25">
      <c r="A527" s="13">
        <v>15</v>
      </c>
      <c r="B527" s="13">
        <v>6</v>
      </c>
      <c r="C527" s="13" t="s">
        <v>15</v>
      </c>
      <c r="D527" s="13" t="s">
        <v>72</v>
      </c>
      <c r="E527" s="13" t="s">
        <v>886</v>
      </c>
      <c r="F527" s="13" t="str">
        <f t="shared" si="5"/>
        <v>S_G94</v>
      </c>
      <c r="G527" s="3">
        <v>46.005000000000003</v>
      </c>
      <c r="H527" s="3">
        <f>IFERROR(INDEX('Tagging key'!D:D, MATCH(F527,'Tagging key'!C:C,0)),"")</f>
        <v>70</v>
      </c>
      <c r="I527" s="3">
        <f>IFERROR(INDEX('Tagging key'!E:E, MATCH(F527,'Tagging key'!C:C,0)),"")</f>
        <v>75</v>
      </c>
      <c r="J527" s="3">
        <f>IFERROR(INDEX('Tagging key'!F:F, MATCH(F527,'Tagging key'!C:C,0)),"")</f>
        <v>19</v>
      </c>
      <c r="K527" s="3">
        <v>43.957000000000001</v>
      </c>
      <c r="L527" s="3">
        <v>70.73</v>
      </c>
      <c r="M527" s="3">
        <v>78.37</v>
      </c>
      <c r="N527" s="3">
        <v>14.37</v>
      </c>
      <c r="O527" s="3"/>
      <c r="P527" s="22">
        <v>45879</v>
      </c>
      <c r="Q527" s="22">
        <v>45879</v>
      </c>
      <c r="R527" s="3"/>
    </row>
    <row r="528" spans="1:19" hidden="1" x14ac:dyDescent="0.25">
      <c r="A528" s="13">
        <v>15</v>
      </c>
      <c r="B528" s="13">
        <v>6</v>
      </c>
      <c r="C528" s="13" t="s">
        <v>15</v>
      </c>
      <c r="D528" s="13" t="s">
        <v>72</v>
      </c>
      <c r="E528" s="13" t="s">
        <v>887</v>
      </c>
      <c r="F528" s="13" t="str">
        <f t="shared" si="5"/>
        <v>S_G64</v>
      </c>
      <c r="G528" s="3">
        <v>56.042000000000002</v>
      </c>
      <c r="H528" s="3">
        <f>IFERROR(INDEX('Tagging key'!D:D, MATCH(F528,'Tagging key'!C:C,0)),"")</f>
        <v>74</v>
      </c>
      <c r="I528" s="3">
        <f>IFERROR(INDEX('Tagging key'!E:E, MATCH(F528,'Tagging key'!C:C,0)),"")</f>
        <v>76</v>
      </c>
      <c r="J528" s="3">
        <f>IFERROR(INDEX('Tagging key'!F:F, MATCH(F528,'Tagging key'!C:C,0)),"")</f>
        <v>19</v>
      </c>
      <c r="K528" s="3">
        <v>53.366999999999997</v>
      </c>
      <c r="L528" s="3">
        <v>69.319999999999993</v>
      </c>
      <c r="M528" s="3">
        <v>73.95</v>
      </c>
      <c r="N528" s="3">
        <v>16.3</v>
      </c>
      <c r="O528" s="3"/>
      <c r="P528" s="22">
        <v>45877</v>
      </c>
      <c r="Q528" s="22">
        <v>45877</v>
      </c>
      <c r="R528" s="3"/>
    </row>
    <row r="529" spans="1:18" x14ac:dyDescent="0.25">
      <c r="A529" s="13">
        <v>15</v>
      </c>
      <c r="B529" s="13">
        <v>6</v>
      </c>
      <c r="C529" s="13" t="s">
        <v>15</v>
      </c>
      <c r="D529" s="13" t="s">
        <v>72</v>
      </c>
      <c r="E529" s="13" t="s">
        <v>888</v>
      </c>
      <c r="F529" s="13" t="str">
        <f t="shared" si="5"/>
        <v>S_Y95</v>
      </c>
      <c r="G529" s="3">
        <v>59.671999999999997</v>
      </c>
      <c r="H529" s="3">
        <f>IFERROR(INDEX('Tagging key'!D:D, MATCH(F529,'Tagging key'!C:C,0)),"")</f>
        <v>76</v>
      </c>
      <c r="I529" s="3">
        <f>IFERROR(INDEX('Tagging key'!E:E, MATCH(F529,'Tagging key'!C:C,0)),"")</f>
        <v>79</v>
      </c>
      <c r="J529" s="3">
        <f>IFERROR(INDEX('Tagging key'!F:F, MATCH(F529,'Tagging key'!C:C,0)),"")</f>
        <v>20</v>
      </c>
      <c r="K529" s="3">
        <v>56.264000000000003</v>
      </c>
      <c r="L529" s="3">
        <v>76.599999999999994</v>
      </c>
      <c r="M529" s="3">
        <v>80</v>
      </c>
      <c r="N529" s="3">
        <v>23.02</v>
      </c>
      <c r="O529" s="3"/>
      <c r="P529" s="22">
        <v>45882</v>
      </c>
      <c r="Q529" s="22">
        <v>45882</v>
      </c>
      <c r="R529" s="3">
        <v>24.105</v>
      </c>
    </row>
    <row r="530" spans="1:18" hidden="1" x14ac:dyDescent="0.25">
      <c r="A530" s="13">
        <v>15</v>
      </c>
      <c r="B530" s="13">
        <v>6</v>
      </c>
      <c r="C530" s="13" t="s">
        <v>15</v>
      </c>
      <c r="D530" s="13" t="s">
        <v>72</v>
      </c>
      <c r="E530" s="13" t="s">
        <v>889</v>
      </c>
      <c r="F530" s="13" t="str">
        <f t="shared" si="5"/>
        <v>S_G81</v>
      </c>
      <c r="G530" s="3">
        <v>72.658000000000001</v>
      </c>
      <c r="H530" s="3">
        <f>IFERROR(INDEX('Tagging key'!D:D, MATCH(F530,'Tagging key'!C:C,0)),"")</f>
        <v>79</v>
      </c>
      <c r="I530" s="3">
        <f>IFERROR(INDEX('Tagging key'!E:E, MATCH(F530,'Tagging key'!C:C,0)),"")</f>
        <v>81</v>
      </c>
      <c r="J530" s="3">
        <f>IFERROR(INDEX('Tagging key'!F:F, MATCH(F530,'Tagging key'!C:C,0)),"")</f>
        <v>21</v>
      </c>
      <c r="K530" s="3">
        <v>66.816999999999993</v>
      </c>
      <c r="L530" s="3">
        <v>80.53</v>
      </c>
      <c r="M530" s="3">
        <v>82.44</v>
      </c>
      <c r="N530" s="3">
        <v>22.53</v>
      </c>
      <c r="O530" s="3"/>
      <c r="P530" s="22">
        <v>45886</v>
      </c>
      <c r="Q530" s="22">
        <v>45886</v>
      </c>
      <c r="R530" s="3">
        <v>33.369</v>
      </c>
    </row>
    <row r="531" spans="1:18" hidden="1" x14ac:dyDescent="0.25">
      <c r="A531" s="11">
        <v>15</v>
      </c>
      <c r="B531" s="11">
        <v>7</v>
      </c>
      <c r="C531" s="11" t="s">
        <v>15</v>
      </c>
      <c r="D531" s="11" t="s">
        <v>46</v>
      </c>
      <c r="E531" s="11" t="s">
        <v>554</v>
      </c>
      <c r="F531" s="11" t="str">
        <f t="shared" si="5"/>
        <v>M_B72</v>
      </c>
      <c r="G531" s="3">
        <v>76.605999999999995</v>
      </c>
      <c r="H531" s="3">
        <f>IFERROR(INDEX('Tagging key'!D:D, MATCH(F531,'Tagging key'!C:C,0)),"")</f>
        <v>86</v>
      </c>
      <c r="I531" s="3">
        <f>IFERROR(INDEX('Tagging key'!E:E, MATCH(F531,'Tagging key'!C:C,0)),"")</f>
        <v>47</v>
      </c>
      <c r="J531" s="3">
        <f>IFERROR(INDEX('Tagging key'!F:F, MATCH(F531,'Tagging key'!C:C,0)),"")</f>
        <v>33</v>
      </c>
      <c r="K531" s="3">
        <v>77.156000000000006</v>
      </c>
      <c r="L531" s="3">
        <v>89.12</v>
      </c>
      <c r="M531" s="3">
        <v>47.54</v>
      </c>
      <c r="N531" s="3">
        <v>33.369999999999997</v>
      </c>
      <c r="O531" s="3"/>
      <c r="P531" s="22">
        <v>45886</v>
      </c>
      <c r="Q531" s="22">
        <v>45886</v>
      </c>
      <c r="R531" s="3">
        <v>27.652000000000001</v>
      </c>
    </row>
    <row r="532" spans="1:18" x14ac:dyDescent="0.25">
      <c r="A532" s="11">
        <v>15</v>
      </c>
      <c r="B532" s="11">
        <v>7</v>
      </c>
      <c r="C532" s="11" t="s">
        <v>15</v>
      </c>
      <c r="D532" s="11" t="s">
        <v>46</v>
      </c>
      <c r="E532" s="11" t="s">
        <v>216</v>
      </c>
      <c r="F532" s="11" t="str">
        <f t="shared" si="5"/>
        <v>M_B35</v>
      </c>
      <c r="G532" s="3">
        <v>62.716000000000001</v>
      </c>
      <c r="H532" s="3">
        <f>IFERROR(INDEX('Tagging key'!D:D, MATCH(F532,'Tagging key'!C:C,0)),"")</f>
        <v>85.75</v>
      </c>
      <c r="I532" s="3">
        <f>IFERROR(INDEX('Tagging key'!E:E, MATCH(F532,'Tagging key'!C:C,0)),"")</f>
        <v>41.71</v>
      </c>
      <c r="J532" s="3">
        <f>IFERROR(INDEX('Tagging key'!F:F, MATCH(F532,'Tagging key'!C:C,0)),"")</f>
        <v>31.39</v>
      </c>
      <c r="K532" s="3">
        <v>63.194000000000003</v>
      </c>
      <c r="L532" s="3">
        <v>85.32</v>
      </c>
      <c r="M532" s="3">
        <v>39.22</v>
      </c>
      <c r="N532" s="3">
        <v>33.700000000000003</v>
      </c>
      <c r="O532" s="3"/>
      <c r="P532" s="22">
        <v>45882</v>
      </c>
      <c r="Q532" s="22">
        <v>45882</v>
      </c>
      <c r="R532" s="3">
        <v>21.706</v>
      </c>
    </row>
    <row r="533" spans="1:18" hidden="1" x14ac:dyDescent="0.25">
      <c r="A533" s="11">
        <v>15</v>
      </c>
      <c r="B533" s="11">
        <v>7</v>
      </c>
      <c r="C533" s="11" t="s">
        <v>15</v>
      </c>
      <c r="D533" s="11" t="s">
        <v>46</v>
      </c>
      <c r="E533" s="11" t="s">
        <v>214</v>
      </c>
      <c r="F533" s="11" t="str">
        <f t="shared" si="5"/>
        <v>M_B96</v>
      </c>
      <c r="G533" s="3">
        <v>72.766999999999996</v>
      </c>
      <c r="H533" s="3">
        <f>IFERROR(INDEX('Tagging key'!D:D, MATCH(F533,'Tagging key'!C:C,0)),"")</f>
        <v>92</v>
      </c>
      <c r="I533" s="3">
        <f>IFERROR(INDEX('Tagging key'!E:E, MATCH(F533,'Tagging key'!C:C,0)),"")</f>
        <v>45</v>
      </c>
      <c r="J533" s="3">
        <f>IFERROR(INDEX('Tagging key'!F:F, MATCH(F533,'Tagging key'!C:C,0)),"")</f>
        <v>33</v>
      </c>
      <c r="K533" s="3">
        <v>73.332999999999998</v>
      </c>
      <c r="L533" s="3">
        <v>95.09</v>
      </c>
      <c r="M533" s="3">
        <v>47.1</v>
      </c>
      <c r="N533" s="3">
        <v>35.83</v>
      </c>
      <c r="O533" s="3"/>
      <c r="P533" s="22">
        <v>45879</v>
      </c>
      <c r="Q533" s="22">
        <v>45879</v>
      </c>
      <c r="R533" s="3"/>
    </row>
    <row r="534" spans="1:18" hidden="1" x14ac:dyDescent="0.25">
      <c r="A534" s="11">
        <v>15</v>
      </c>
      <c r="B534" s="11">
        <v>7</v>
      </c>
      <c r="C534" s="11" t="s">
        <v>15</v>
      </c>
      <c r="D534" s="11" t="s">
        <v>46</v>
      </c>
      <c r="E534" s="11" t="s">
        <v>449</v>
      </c>
      <c r="F534" s="11" t="str">
        <f t="shared" si="5"/>
        <v>M_R43</v>
      </c>
      <c r="G534" s="3">
        <v>35.357999999999997</v>
      </c>
      <c r="H534" s="3">
        <f>IFERROR(INDEX('Tagging key'!D:D, MATCH(F534,'Tagging key'!C:C,0)),"")</f>
        <v>72.5</v>
      </c>
      <c r="I534" s="3">
        <f>IFERROR(INDEX('Tagging key'!E:E, MATCH(F534,'Tagging key'!C:C,0)),"")</f>
        <v>39.99</v>
      </c>
      <c r="J534" s="3">
        <f>IFERROR(INDEX('Tagging key'!F:F, MATCH(F534,'Tagging key'!C:C,0)),"")</f>
        <v>26.72</v>
      </c>
      <c r="K534" s="3">
        <v>35.901000000000003</v>
      </c>
      <c r="L534" s="3">
        <v>67.37</v>
      </c>
      <c r="M534" s="3">
        <v>32.369999999999997</v>
      </c>
      <c r="N534" s="3">
        <v>22.28</v>
      </c>
      <c r="O534" s="3"/>
      <c r="P534" s="22">
        <v>45877</v>
      </c>
      <c r="Q534" s="22">
        <v>45877</v>
      </c>
      <c r="R534" s="3"/>
    </row>
    <row r="535" spans="1:18" hidden="1" x14ac:dyDescent="0.25">
      <c r="A535" s="12">
        <v>15</v>
      </c>
      <c r="B535" s="12">
        <v>8</v>
      </c>
      <c r="C535" s="12" t="s">
        <v>15</v>
      </c>
      <c r="D535" s="12" t="s">
        <v>46</v>
      </c>
      <c r="E535" s="12" t="s">
        <v>456</v>
      </c>
      <c r="F535" s="12" t="str">
        <f t="shared" si="5"/>
        <v>M_B74</v>
      </c>
      <c r="G535" s="3">
        <v>28.844999999999999</v>
      </c>
      <c r="H535" s="3">
        <f>IFERROR(INDEX('Tagging key'!D:D, MATCH(F535,'Tagging key'!C:C,0)),"")</f>
        <v>65.77</v>
      </c>
      <c r="I535" s="3">
        <f>IFERROR(INDEX('Tagging key'!E:E, MATCH(F535,'Tagging key'!C:C,0)),"")</f>
        <v>38.18</v>
      </c>
      <c r="J535" s="3">
        <f>IFERROR(INDEX('Tagging key'!F:F, MATCH(F535,'Tagging key'!C:C,0)),"")</f>
        <v>24.89</v>
      </c>
      <c r="K535" s="3">
        <v>29.879000000000001</v>
      </c>
      <c r="L535" s="3">
        <v>60.61</v>
      </c>
      <c r="M535" s="3">
        <v>30.77</v>
      </c>
      <c r="N535" s="3">
        <v>19.649999999999999</v>
      </c>
      <c r="O535" s="3"/>
      <c r="P535" s="22">
        <v>45877</v>
      </c>
      <c r="Q535" s="22">
        <v>45877</v>
      </c>
      <c r="R535" s="3"/>
    </row>
    <row r="536" spans="1:18" x14ac:dyDescent="0.25">
      <c r="A536" s="12">
        <v>15</v>
      </c>
      <c r="B536" s="12">
        <v>8</v>
      </c>
      <c r="C536" s="12" t="s">
        <v>15</v>
      </c>
      <c r="D536" s="12" t="s">
        <v>46</v>
      </c>
      <c r="E536" s="12" t="s">
        <v>890</v>
      </c>
      <c r="F536" s="12" t="str">
        <f t="shared" ref="F536:F578" si="6">LEFT(D536,1)&amp;"_"&amp;E536</f>
        <v>M_R19</v>
      </c>
      <c r="G536" s="3">
        <v>29.141999999999999</v>
      </c>
      <c r="H536" s="3">
        <f>IFERROR(INDEX('Tagging key'!D:D, MATCH(F536,'Tagging key'!C:C,0)),"")</f>
        <v>67.02</v>
      </c>
      <c r="I536" s="3">
        <f>IFERROR(INDEX('Tagging key'!E:E, MATCH(F536,'Tagging key'!C:C,0)),"")</f>
        <v>36.32</v>
      </c>
      <c r="J536" s="3">
        <f>IFERROR(INDEX('Tagging key'!F:F, MATCH(F536,'Tagging key'!C:C,0)),"")</f>
        <v>24.72</v>
      </c>
      <c r="K536" s="3">
        <v>29.768000000000001</v>
      </c>
      <c r="L536" s="3">
        <v>66.88</v>
      </c>
      <c r="M536" s="3">
        <v>35.96</v>
      </c>
      <c r="N536" s="3">
        <v>24.94</v>
      </c>
      <c r="O536" s="3"/>
      <c r="P536" s="22">
        <v>45882</v>
      </c>
      <c r="Q536" s="22">
        <v>45882</v>
      </c>
      <c r="R536" s="3"/>
    </row>
    <row r="537" spans="1:18" hidden="1" x14ac:dyDescent="0.25">
      <c r="A537" s="12">
        <v>15</v>
      </c>
      <c r="B537" s="12">
        <v>8</v>
      </c>
      <c r="C537" s="12" t="s">
        <v>15</v>
      </c>
      <c r="D537" s="12" t="s">
        <v>46</v>
      </c>
      <c r="E537" s="12" t="s">
        <v>835</v>
      </c>
      <c r="F537" s="12" t="str">
        <f t="shared" si="6"/>
        <v>M_B70</v>
      </c>
      <c r="G537" s="3">
        <v>61.345999999999997</v>
      </c>
      <c r="H537" s="3">
        <f>IFERROR(INDEX('Tagging key'!D:D, MATCH(F537,'Tagging key'!C:C,0)),"")</f>
        <v>88.88</v>
      </c>
      <c r="I537" s="3">
        <f>IFERROR(INDEX('Tagging key'!E:E, MATCH(F537,'Tagging key'!C:C,0)),"")</f>
        <v>42.31</v>
      </c>
      <c r="J537" s="3">
        <f>IFERROR(INDEX('Tagging key'!F:F, MATCH(F537,'Tagging key'!C:C,0)),"")</f>
        <v>29.85</v>
      </c>
      <c r="K537" s="3">
        <v>61.47</v>
      </c>
      <c r="L537" s="3">
        <v>88.19</v>
      </c>
      <c r="M537" s="3">
        <v>40.659999999999997</v>
      </c>
      <c r="N537" s="3">
        <v>31.62</v>
      </c>
      <c r="O537" s="3"/>
      <c r="P537" s="22">
        <v>45886</v>
      </c>
      <c r="Q537" s="22">
        <v>45886</v>
      </c>
      <c r="R537" s="3">
        <v>22.92</v>
      </c>
    </row>
    <row r="538" spans="1:18" hidden="1" x14ac:dyDescent="0.25">
      <c r="A538" s="12">
        <v>15</v>
      </c>
      <c r="B538" s="12">
        <v>8</v>
      </c>
      <c r="C538" s="12" t="s">
        <v>15</v>
      </c>
      <c r="D538" s="12" t="s">
        <v>46</v>
      </c>
      <c r="E538" s="12" t="s">
        <v>891</v>
      </c>
      <c r="F538" s="12" t="str">
        <f t="shared" si="6"/>
        <v>M_B63</v>
      </c>
      <c r="G538" s="3">
        <v>34.293999999999997</v>
      </c>
      <c r="H538" s="3">
        <f>IFERROR(INDEX('Tagging key'!D:D, MATCH(F538,'Tagging key'!C:C,0)),"")</f>
        <v>70.81</v>
      </c>
      <c r="I538" s="3">
        <f>IFERROR(INDEX('Tagging key'!E:E, MATCH(F538,'Tagging key'!C:C,0)),"")</f>
        <v>36.82</v>
      </c>
      <c r="J538" s="3">
        <f>IFERROR(INDEX('Tagging key'!F:F, MATCH(F538,'Tagging key'!C:C,0)),"")</f>
        <v>27.51</v>
      </c>
      <c r="K538" s="3">
        <v>35.270000000000003</v>
      </c>
      <c r="L538" s="3">
        <v>71.510000000000005</v>
      </c>
      <c r="M538" s="3">
        <v>34.47</v>
      </c>
      <c r="N538" s="3">
        <v>28.36</v>
      </c>
      <c r="O538" s="3"/>
      <c r="P538" s="22">
        <v>45879</v>
      </c>
      <c r="Q538" s="22">
        <v>45879</v>
      </c>
      <c r="R538" s="3"/>
    </row>
    <row r="539" spans="1:18" x14ac:dyDescent="0.25">
      <c r="A539" s="11">
        <v>15</v>
      </c>
      <c r="B539" s="11">
        <v>9</v>
      </c>
      <c r="C539" s="11" t="s">
        <v>15</v>
      </c>
      <c r="D539" s="11" t="s">
        <v>46</v>
      </c>
      <c r="E539" s="11" t="s">
        <v>542</v>
      </c>
      <c r="F539" s="11" t="str">
        <f t="shared" si="6"/>
        <v>M_R44</v>
      </c>
      <c r="G539" s="3">
        <v>37.207999999999998</v>
      </c>
      <c r="H539" s="3">
        <f>IFERROR(INDEX('Tagging key'!D:D, MATCH(F539,'Tagging key'!C:C,0)),"")</f>
        <v>72.91</v>
      </c>
      <c r="I539" s="3">
        <f>IFERROR(INDEX('Tagging key'!E:E, MATCH(F539,'Tagging key'!C:C,0)),"")</f>
        <v>39.729999999999997</v>
      </c>
      <c r="J539" s="3">
        <f>IFERROR(INDEX('Tagging key'!F:F, MATCH(F539,'Tagging key'!C:C,0)),"")</f>
        <v>26.31</v>
      </c>
      <c r="K539" s="3">
        <v>37.462000000000003</v>
      </c>
      <c r="L539" s="3">
        <v>72.510000000000005</v>
      </c>
      <c r="M539" s="3">
        <v>36.51</v>
      </c>
      <c r="N539" s="3">
        <v>26.49</v>
      </c>
      <c r="O539" s="3"/>
      <c r="P539" s="22">
        <v>45882</v>
      </c>
      <c r="Q539" s="22">
        <v>45882</v>
      </c>
      <c r="R539" s="3">
        <v>13.034000000000001</v>
      </c>
    </row>
    <row r="540" spans="1:18" hidden="1" x14ac:dyDescent="0.25">
      <c r="A540" s="11">
        <v>15</v>
      </c>
      <c r="B540" s="11">
        <v>9</v>
      </c>
      <c r="C540" s="11" t="s">
        <v>15</v>
      </c>
      <c r="D540" s="11" t="s">
        <v>46</v>
      </c>
      <c r="E540" s="11" t="s">
        <v>892</v>
      </c>
      <c r="F540" s="11" t="str">
        <f t="shared" si="6"/>
        <v>M_R71</v>
      </c>
      <c r="G540" s="3">
        <v>37.590000000000003</v>
      </c>
      <c r="H540" s="3">
        <f>IFERROR(INDEX('Tagging key'!D:D, MATCH(F540,'Tagging key'!C:C,0)),"")</f>
        <v>72</v>
      </c>
      <c r="I540" s="3">
        <f>IFERROR(INDEX('Tagging key'!E:E, MATCH(F540,'Tagging key'!C:C,0)),"")</f>
        <v>39</v>
      </c>
      <c r="J540" s="3">
        <f>IFERROR(INDEX('Tagging key'!F:F, MATCH(F540,'Tagging key'!C:C,0)),"")</f>
        <v>26</v>
      </c>
      <c r="K540" s="3">
        <v>37.811</v>
      </c>
      <c r="L540" s="3">
        <v>73.27</v>
      </c>
      <c r="M540" s="3">
        <v>38.58</v>
      </c>
      <c r="N540" s="3">
        <v>27.45</v>
      </c>
      <c r="O540" s="3"/>
      <c r="P540" s="22">
        <v>45877</v>
      </c>
      <c r="Q540" s="22">
        <v>45877</v>
      </c>
      <c r="R540" s="3"/>
    </row>
    <row r="541" spans="1:18" hidden="1" x14ac:dyDescent="0.25">
      <c r="A541" s="11">
        <v>15</v>
      </c>
      <c r="B541" s="11">
        <v>9</v>
      </c>
      <c r="C541" s="11" t="s">
        <v>15</v>
      </c>
      <c r="D541" s="11" t="s">
        <v>46</v>
      </c>
      <c r="E541" s="11" t="s">
        <v>893</v>
      </c>
      <c r="F541" s="11" t="str">
        <f t="shared" si="6"/>
        <v>M_R70</v>
      </c>
      <c r="G541" s="3">
        <v>37.104999999999997</v>
      </c>
      <c r="H541" s="3">
        <f>IFERROR(INDEX('Tagging key'!D:D, MATCH(F541,'Tagging key'!C:C,0)),"")</f>
        <v>74.63</v>
      </c>
      <c r="I541" s="3">
        <f>IFERROR(INDEX('Tagging key'!E:E, MATCH(F541,'Tagging key'!C:C,0)),"")</f>
        <v>38.24</v>
      </c>
      <c r="J541" s="3">
        <f>IFERROR(INDEX('Tagging key'!F:F, MATCH(F541,'Tagging key'!C:C,0)),"")</f>
        <v>25.86</v>
      </c>
      <c r="K541" s="3">
        <v>37.630000000000003</v>
      </c>
      <c r="L541" s="3">
        <v>74.11</v>
      </c>
      <c r="M541" s="3">
        <v>35.229999999999997</v>
      </c>
      <c r="N541" s="3">
        <v>26.45</v>
      </c>
      <c r="O541" s="3"/>
      <c r="P541" s="22">
        <v>45886</v>
      </c>
      <c r="Q541" s="22">
        <v>45886</v>
      </c>
      <c r="R541" s="3">
        <v>13.111000000000001</v>
      </c>
    </row>
    <row r="542" spans="1:18" hidden="1" x14ac:dyDescent="0.25">
      <c r="A542" s="11">
        <v>15</v>
      </c>
      <c r="B542" s="11">
        <v>9</v>
      </c>
      <c r="C542" s="11" t="s">
        <v>15</v>
      </c>
      <c r="D542" s="11" t="s">
        <v>46</v>
      </c>
      <c r="E542" s="11" t="s">
        <v>558</v>
      </c>
      <c r="F542" s="11" t="str">
        <f t="shared" si="6"/>
        <v>M_G40</v>
      </c>
      <c r="G542" s="3">
        <v>59.386000000000003</v>
      </c>
      <c r="H542" s="3">
        <f>IFERROR(INDEX('Tagging key'!D:D, MATCH(F542,'Tagging key'!C:C,0)),"")</f>
        <v>83</v>
      </c>
      <c r="I542" s="3">
        <f>IFERROR(INDEX('Tagging key'!E:E, MATCH(F542,'Tagging key'!C:C,0)),"")</f>
        <v>38</v>
      </c>
      <c r="J542" s="3">
        <f>IFERROR(INDEX('Tagging key'!F:F, MATCH(F542,'Tagging key'!C:C,0)),"")</f>
        <v>33</v>
      </c>
      <c r="K542" s="3">
        <v>60.405000000000001</v>
      </c>
      <c r="L542" s="3">
        <v>85.64</v>
      </c>
      <c r="M542" s="3">
        <v>38.46</v>
      </c>
      <c r="N542" s="3">
        <v>35.03</v>
      </c>
      <c r="O542" s="3"/>
      <c r="P542" s="22">
        <v>45879</v>
      </c>
      <c r="Q542" s="22">
        <v>45879</v>
      </c>
      <c r="R542" s="3"/>
    </row>
    <row r="543" spans="1:18" hidden="1" x14ac:dyDescent="0.25">
      <c r="A543" s="13">
        <v>16</v>
      </c>
      <c r="B543" s="13">
        <v>1</v>
      </c>
      <c r="C543" s="13" t="s">
        <v>105</v>
      </c>
      <c r="D543" s="13" t="s">
        <v>72</v>
      </c>
      <c r="E543" s="13" t="s">
        <v>894</v>
      </c>
      <c r="F543" s="13" t="str">
        <f t="shared" si="6"/>
        <v>S_W50</v>
      </c>
      <c r="G543" s="3">
        <v>48.005000000000003</v>
      </c>
      <c r="H543" s="3">
        <f>IFERROR(INDEX('Tagging key'!D:D, MATCH(F543,'Tagging key'!C:C,0)),"")</f>
        <v>73</v>
      </c>
      <c r="I543" s="3">
        <f>IFERROR(INDEX('Tagging key'!E:E, MATCH(F543,'Tagging key'!C:C,0)),"")</f>
        <v>75</v>
      </c>
      <c r="J543" s="3">
        <f>IFERROR(INDEX('Tagging key'!F:F, MATCH(F543,'Tagging key'!C:C,0)),"")</f>
        <v>18</v>
      </c>
      <c r="K543" s="3">
        <v>44.978000000000002</v>
      </c>
      <c r="L543" s="3">
        <v>74.23</v>
      </c>
      <c r="M543" s="3">
        <v>75.36</v>
      </c>
      <c r="N543" s="3">
        <v>22.14</v>
      </c>
      <c r="O543" s="3"/>
      <c r="P543" s="22">
        <v>45877</v>
      </c>
      <c r="Q543" s="22">
        <v>45877</v>
      </c>
      <c r="R543" s="3"/>
    </row>
    <row r="544" spans="1:18" hidden="1" x14ac:dyDescent="0.25">
      <c r="A544" s="13">
        <v>16</v>
      </c>
      <c r="B544" s="13">
        <v>1</v>
      </c>
      <c r="C544" s="13" t="s">
        <v>105</v>
      </c>
      <c r="D544" s="13" t="s">
        <v>72</v>
      </c>
      <c r="E544" s="13" t="s">
        <v>895</v>
      </c>
      <c r="F544" s="13" t="str">
        <f t="shared" si="6"/>
        <v>S_G43</v>
      </c>
      <c r="G544" s="3">
        <v>63.755000000000003</v>
      </c>
      <c r="H544" s="3">
        <f>IFERROR(INDEX('Tagging key'!D:D, MATCH(F544,'Tagging key'!C:C,0)),"")</f>
        <v>75.98</v>
      </c>
      <c r="I544" s="3">
        <f>IFERROR(INDEX('Tagging key'!E:E, MATCH(F544,'Tagging key'!C:C,0)),"")</f>
        <v>80.040000000000006</v>
      </c>
      <c r="J544" s="3">
        <f>IFERROR(INDEX('Tagging key'!F:F, MATCH(F544,'Tagging key'!C:C,0)),"")</f>
        <v>20.190000000000001</v>
      </c>
      <c r="K544" s="3">
        <v>56.935000000000002</v>
      </c>
      <c r="L544" s="3">
        <v>76.89</v>
      </c>
      <c r="M544" s="3">
        <v>80.38</v>
      </c>
      <c r="N544" s="3">
        <v>21.12</v>
      </c>
      <c r="O544" s="3"/>
      <c r="P544" s="22">
        <v>45886</v>
      </c>
      <c r="Q544" s="22">
        <v>45886</v>
      </c>
      <c r="R544" s="3"/>
    </row>
    <row r="545" spans="1:19" x14ac:dyDescent="0.25">
      <c r="A545" s="13">
        <v>16</v>
      </c>
      <c r="B545" s="13">
        <v>1</v>
      </c>
      <c r="C545" s="13" t="s">
        <v>105</v>
      </c>
      <c r="D545" s="13" t="s">
        <v>72</v>
      </c>
      <c r="E545" s="13" t="s">
        <v>896</v>
      </c>
      <c r="F545" s="13" t="str">
        <f t="shared" si="6"/>
        <v>S_G90</v>
      </c>
      <c r="G545" s="3">
        <v>61.436999999999998</v>
      </c>
      <c r="H545" s="3">
        <f>IFERROR(INDEX('Tagging key'!D:D, MATCH(F545,'Tagging key'!C:C,0)),"")</f>
        <v>79</v>
      </c>
      <c r="I545" s="3">
        <f>IFERROR(INDEX('Tagging key'!E:E, MATCH(F545,'Tagging key'!C:C,0)),"")</f>
        <v>78</v>
      </c>
      <c r="J545" s="3">
        <f>IFERROR(INDEX('Tagging key'!F:F, MATCH(F545,'Tagging key'!C:C,0)),"")</f>
        <v>18</v>
      </c>
      <c r="K545" s="3">
        <v>55.768000000000001</v>
      </c>
      <c r="L545" s="3">
        <v>79.28</v>
      </c>
      <c r="M545" s="3">
        <v>77.680000000000007</v>
      </c>
      <c r="N545" s="3">
        <v>19.22</v>
      </c>
      <c r="O545" s="3"/>
      <c r="P545" s="22">
        <v>45882</v>
      </c>
      <c r="Q545" s="22">
        <v>45882</v>
      </c>
      <c r="R545" s="3">
        <v>27.198</v>
      </c>
    </row>
    <row r="546" spans="1:19" hidden="1" x14ac:dyDescent="0.25">
      <c r="A546" s="13">
        <v>16</v>
      </c>
      <c r="B546" s="13">
        <v>1</v>
      </c>
      <c r="C546" s="13" t="s">
        <v>105</v>
      </c>
      <c r="D546" s="13" t="s">
        <v>72</v>
      </c>
      <c r="E546" s="13" t="s">
        <v>897</v>
      </c>
      <c r="F546" s="13" t="str">
        <f t="shared" si="6"/>
        <v>S_W62</v>
      </c>
      <c r="G546" s="3">
        <v>51.25</v>
      </c>
      <c r="H546" s="3">
        <f>IFERROR(INDEX('Tagging key'!D:D, MATCH(F546,'Tagging key'!C:C,0)),"")</f>
        <v>71</v>
      </c>
      <c r="I546" s="3">
        <f>IFERROR(INDEX('Tagging key'!E:E, MATCH(F546,'Tagging key'!C:C,0)),"")</f>
        <v>74</v>
      </c>
      <c r="J546" s="3">
        <f>IFERROR(INDEX('Tagging key'!F:F, MATCH(F546,'Tagging key'!C:C,0)),"")</f>
        <v>18</v>
      </c>
      <c r="K546" s="3">
        <v>45.442999999999998</v>
      </c>
      <c r="L546" s="3">
        <v>68.77</v>
      </c>
      <c r="M546" s="3">
        <v>75.64</v>
      </c>
      <c r="N546" s="3">
        <v>21.28</v>
      </c>
      <c r="O546" s="3"/>
      <c r="P546" s="22">
        <v>45879</v>
      </c>
      <c r="Q546" s="22">
        <v>45879</v>
      </c>
      <c r="R546" s="3"/>
    </row>
    <row r="547" spans="1:19" hidden="1" x14ac:dyDescent="0.25">
      <c r="A547" s="14">
        <v>16</v>
      </c>
      <c r="B547" s="14">
        <v>2</v>
      </c>
      <c r="C547" s="14" t="s">
        <v>105</v>
      </c>
      <c r="D547" s="14" t="s">
        <v>72</v>
      </c>
      <c r="E547" s="14" t="s">
        <v>377</v>
      </c>
      <c r="F547" s="14" t="str">
        <f t="shared" si="6"/>
        <v>S_G52</v>
      </c>
      <c r="G547" s="3">
        <v>69.995999999999995</v>
      </c>
      <c r="H547" s="3">
        <f>IFERROR(INDEX('Tagging key'!D:D, MATCH(F547,'Tagging key'!C:C,0)),"")</f>
        <v>77</v>
      </c>
      <c r="I547" s="3">
        <f>IFERROR(INDEX('Tagging key'!E:E, MATCH(F547,'Tagging key'!C:C,0)),"")</f>
        <v>81</v>
      </c>
      <c r="J547" s="3">
        <f>IFERROR(INDEX('Tagging key'!F:F, MATCH(F547,'Tagging key'!C:C,0)),"")</f>
        <v>21</v>
      </c>
      <c r="K547" s="3">
        <v>64.656000000000006</v>
      </c>
      <c r="L547" s="3">
        <v>77.069999999999993</v>
      </c>
      <c r="M547" s="3">
        <v>82.77</v>
      </c>
      <c r="N547" s="3">
        <v>22.29</v>
      </c>
      <c r="O547" s="3"/>
      <c r="P547" s="22">
        <v>45886</v>
      </c>
      <c r="Q547" s="22">
        <v>45886</v>
      </c>
      <c r="R547" s="3">
        <v>30.327999999999999</v>
      </c>
    </row>
    <row r="548" spans="1:19" x14ac:dyDescent="0.25">
      <c r="A548" s="14">
        <v>16</v>
      </c>
      <c r="B548" s="14">
        <v>2</v>
      </c>
      <c r="C548" s="14" t="s">
        <v>105</v>
      </c>
      <c r="D548" s="14" t="s">
        <v>72</v>
      </c>
      <c r="E548" s="14" t="s">
        <v>898</v>
      </c>
      <c r="F548" s="14" t="str">
        <f t="shared" si="6"/>
        <v>S_G67</v>
      </c>
      <c r="G548" s="3">
        <v>48.228999999999999</v>
      </c>
      <c r="H548" s="3">
        <f>IFERROR(INDEX('Tagging key'!D:D, MATCH(F548,'Tagging key'!C:C,0)),"")</f>
        <v>70</v>
      </c>
      <c r="I548" s="3">
        <f>IFERROR(INDEX('Tagging key'!E:E, MATCH(F548,'Tagging key'!C:C,0)),"")</f>
        <v>71</v>
      </c>
      <c r="J548" s="3">
        <f>IFERROR(INDEX('Tagging key'!F:F, MATCH(F548,'Tagging key'!C:C,0)),"")</f>
        <v>18</v>
      </c>
      <c r="K548" s="3">
        <v>45.131</v>
      </c>
      <c r="L548" s="3">
        <v>71.459999999999994</v>
      </c>
      <c r="M548" s="3">
        <v>71.25</v>
      </c>
      <c r="N548" s="3">
        <v>20.67</v>
      </c>
      <c r="O548" s="3"/>
      <c r="P548" s="22">
        <v>45882</v>
      </c>
      <c r="Q548" s="22">
        <v>45882</v>
      </c>
      <c r="R548" s="3">
        <v>22.864999999999998</v>
      </c>
    </row>
    <row r="549" spans="1:19" hidden="1" x14ac:dyDescent="0.25">
      <c r="A549" s="14">
        <v>16</v>
      </c>
      <c r="B549" s="14">
        <v>2</v>
      </c>
      <c r="C549" s="14" t="s">
        <v>105</v>
      </c>
      <c r="D549" s="14" t="s">
        <v>72</v>
      </c>
      <c r="E549" s="14" t="s">
        <v>899</v>
      </c>
      <c r="F549" s="14" t="str">
        <f t="shared" si="6"/>
        <v>S_W70</v>
      </c>
      <c r="G549" s="3">
        <v>70.933000000000007</v>
      </c>
      <c r="H549" s="3">
        <f>IFERROR(INDEX('Tagging key'!D:D, MATCH(F549,'Tagging key'!C:C,0)),"")</f>
        <v>77</v>
      </c>
      <c r="I549" s="3">
        <f>IFERROR(INDEX('Tagging key'!E:E, MATCH(F549,'Tagging key'!C:C,0)),"")</f>
        <v>81</v>
      </c>
      <c r="J549" s="3">
        <f>IFERROR(INDEX('Tagging key'!F:F, MATCH(F549,'Tagging key'!C:C,0)),"")</f>
        <v>18</v>
      </c>
      <c r="K549" s="3">
        <v>66.105000000000004</v>
      </c>
      <c r="L549" s="3">
        <v>78.959999999999994</v>
      </c>
      <c r="M549" s="3">
        <v>81.02</v>
      </c>
      <c r="N549" s="3">
        <v>22.42</v>
      </c>
      <c r="O549" s="3"/>
      <c r="P549" s="22">
        <v>45877</v>
      </c>
      <c r="Q549" s="22">
        <v>45877</v>
      </c>
      <c r="R549" s="3"/>
    </row>
    <row r="550" spans="1:19" hidden="1" x14ac:dyDescent="0.25">
      <c r="A550" s="14">
        <v>16</v>
      </c>
      <c r="B550" s="14">
        <v>2</v>
      </c>
      <c r="C550" s="14" t="s">
        <v>105</v>
      </c>
      <c r="D550" s="14" t="s">
        <v>72</v>
      </c>
      <c r="E550" s="14" t="s">
        <v>900</v>
      </c>
      <c r="F550" s="14" t="str">
        <f t="shared" si="6"/>
        <v>S_Y91</v>
      </c>
      <c r="G550" s="3">
        <v>64.364000000000004</v>
      </c>
      <c r="H550" s="3">
        <f>IFERROR(INDEX('Tagging key'!D:D, MATCH(F550,'Tagging key'!C:C,0)),"")</f>
        <v>78</v>
      </c>
      <c r="I550" s="3">
        <f>IFERROR(INDEX('Tagging key'!E:E, MATCH(F550,'Tagging key'!C:C,0)),"")</f>
        <v>80</v>
      </c>
      <c r="J550" s="3">
        <f>IFERROR(INDEX('Tagging key'!F:F, MATCH(F550,'Tagging key'!C:C,0)),"")</f>
        <v>21</v>
      </c>
      <c r="K550" s="3">
        <v>60.442</v>
      </c>
      <c r="L550" s="3">
        <v>79.02</v>
      </c>
      <c r="M550" s="3">
        <v>81.14</v>
      </c>
      <c r="N550" s="3">
        <v>20.11</v>
      </c>
      <c r="O550" s="3"/>
      <c r="P550" s="22">
        <v>45879</v>
      </c>
      <c r="Q550" s="22">
        <v>45879</v>
      </c>
      <c r="R550" s="3"/>
    </row>
    <row r="551" spans="1:19" hidden="1" x14ac:dyDescent="0.25">
      <c r="A551" s="13">
        <v>16</v>
      </c>
      <c r="B551" s="13">
        <v>3</v>
      </c>
      <c r="C551" s="13" t="s">
        <v>105</v>
      </c>
      <c r="D551" s="13" t="s">
        <v>72</v>
      </c>
      <c r="E551" s="13" t="s">
        <v>901</v>
      </c>
      <c r="F551" s="13" t="str">
        <f t="shared" si="6"/>
        <v>S_Y36</v>
      </c>
      <c r="G551" s="3">
        <v>56.575000000000003</v>
      </c>
      <c r="H551" s="3">
        <f>IFERROR(INDEX('Tagging key'!D:D, MATCH(F551,'Tagging key'!C:C,0)),"")</f>
        <v>74.5</v>
      </c>
      <c r="I551" s="3">
        <f>IFERROR(INDEX('Tagging key'!E:E, MATCH(F551,'Tagging key'!C:C,0)),"")</f>
        <v>77</v>
      </c>
      <c r="J551" s="3">
        <f>IFERROR(INDEX('Tagging key'!F:F, MATCH(F551,'Tagging key'!C:C,0)),"")</f>
        <v>19.5</v>
      </c>
      <c r="K551" s="3">
        <v>53.326000000000001</v>
      </c>
      <c r="L551" s="3">
        <v>74.290000000000006</v>
      </c>
      <c r="M551" s="3">
        <v>76.540000000000006</v>
      </c>
      <c r="N551" s="3">
        <v>22.46</v>
      </c>
      <c r="O551" s="3"/>
      <c r="P551" s="22">
        <v>45877</v>
      </c>
      <c r="Q551" s="22">
        <v>45877</v>
      </c>
      <c r="R551" s="3"/>
    </row>
    <row r="552" spans="1:19" x14ac:dyDescent="0.25">
      <c r="A552" s="19">
        <v>16</v>
      </c>
      <c r="B552" s="19">
        <v>3</v>
      </c>
      <c r="C552" s="19" t="s">
        <v>105</v>
      </c>
      <c r="D552" s="19" t="s">
        <v>72</v>
      </c>
      <c r="E552" s="19" t="s">
        <v>902</v>
      </c>
      <c r="F552" s="19" t="str">
        <f t="shared" si="6"/>
        <v>S_G83</v>
      </c>
      <c r="G552" s="19">
        <v>40.890999999999998</v>
      </c>
      <c r="H552" s="19">
        <f>IFERROR(INDEX('Tagging key'!D:D, MATCH(F552,'Tagging key'!C:C,0)),"")</f>
        <v>66</v>
      </c>
      <c r="I552" s="19">
        <f>IFERROR(INDEX('Tagging key'!E:E, MATCH(F552,'Tagging key'!C:C,0)),"")</f>
        <v>69</v>
      </c>
      <c r="J552" s="19">
        <f>IFERROR(INDEX('Tagging key'!F:F, MATCH(F552,'Tagging key'!C:C,0)),"")</f>
        <v>16</v>
      </c>
      <c r="K552" s="19"/>
      <c r="L552" s="19"/>
      <c r="M552" s="19"/>
      <c r="N552" s="19"/>
      <c r="O552" s="19"/>
      <c r="P552" s="19"/>
      <c r="Q552" s="19"/>
      <c r="R552" s="19"/>
      <c r="S552" t="s">
        <v>903</v>
      </c>
    </row>
    <row r="553" spans="1:19" x14ac:dyDescent="0.25">
      <c r="A553" s="19">
        <v>16</v>
      </c>
      <c r="B553" s="19">
        <v>3</v>
      </c>
      <c r="C553" s="19" t="s">
        <v>105</v>
      </c>
      <c r="D553" s="19" t="s">
        <v>72</v>
      </c>
      <c r="E553" s="19" t="s">
        <v>904</v>
      </c>
      <c r="F553" s="19" t="str">
        <f t="shared" si="6"/>
        <v>S_Y14</v>
      </c>
      <c r="G553" s="19">
        <v>46.067</v>
      </c>
      <c r="H553" s="19">
        <f>IFERROR(INDEX('Tagging key'!D:D, MATCH(F553,'Tagging key'!C:C,0)),"")</f>
        <v>71</v>
      </c>
      <c r="I553" s="19">
        <f>IFERROR(INDEX('Tagging key'!E:E, MATCH(F553,'Tagging key'!C:C,0)),"")</f>
        <v>74</v>
      </c>
      <c r="J553" s="19">
        <f>IFERROR(INDEX('Tagging key'!F:F, MATCH(F553,'Tagging key'!C:C,0)),"")</f>
        <v>17.5</v>
      </c>
      <c r="K553" s="19"/>
      <c r="L553" s="19"/>
      <c r="M553" s="19"/>
      <c r="N553" s="19"/>
      <c r="O553" s="19"/>
      <c r="P553" s="19"/>
      <c r="Q553" s="19"/>
      <c r="R553" s="19"/>
      <c r="S553" t="s">
        <v>905</v>
      </c>
    </row>
    <row r="554" spans="1:19" x14ac:dyDescent="0.25">
      <c r="A554" s="19">
        <v>16</v>
      </c>
      <c r="B554" s="19">
        <v>3</v>
      </c>
      <c r="C554" s="19" t="s">
        <v>105</v>
      </c>
      <c r="D554" s="19" t="s">
        <v>72</v>
      </c>
      <c r="E554" s="19" t="s">
        <v>906</v>
      </c>
      <c r="F554" s="19" t="str">
        <f t="shared" si="6"/>
        <v>S_Y29</v>
      </c>
      <c r="G554" s="19">
        <v>67.974999999999994</v>
      </c>
      <c r="H554" s="19">
        <f>IFERROR(INDEX('Tagging key'!D:D, MATCH(F554,'Tagging key'!C:C,0)),"")</f>
        <v>78.5</v>
      </c>
      <c r="I554" s="19">
        <f>IFERROR(INDEX('Tagging key'!E:E, MATCH(F554,'Tagging key'!C:C,0)),"")</f>
        <v>83.5</v>
      </c>
      <c r="J554" s="19">
        <f>IFERROR(INDEX('Tagging key'!F:F, MATCH(F554,'Tagging key'!C:C,0)),"")</f>
        <v>20</v>
      </c>
      <c r="K554" s="19"/>
      <c r="L554" s="19"/>
      <c r="M554" s="19"/>
      <c r="N554" s="19"/>
      <c r="O554" s="19"/>
      <c r="P554" s="19"/>
      <c r="Q554" s="19"/>
      <c r="R554" s="19"/>
      <c r="S554" t="s">
        <v>907</v>
      </c>
    </row>
    <row r="555" spans="1:19" x14ac:dyDescent="0.25">
      <c r="A555" s="11">
        <v>16</v>
      </c>
      <c r="B555" s="11">
        <v>4</v>
      </c>
      <c r="C555" s="11" t="s">
        <v>105</v>
      </c>
      <c r="D555" s="11" t="s">
        <v>46</v>
      </c>
      <c r="E555" s="11" t="s">
        <v>908</v>
      </c>
      <c r="F555" s="11" t="str">
        <f t="shared" si="6"/>
        <v>M_G19</v>
      </c>
      <c r="G555" s="3">
        <v>45.646000000000001</v>
      </c>
      <c r="H555" s="3">
        <f>IFERROR(INDEX('Tagging key'!D:D, MATCH(F555,'Tagging key'!C:C,0)),"")</f>
        <v>81</v>
      </c>
      <c r="I555" s="3">
        <f>IFERROR(INDEX('Tagging key'!E:E, MATCH(F555,'Tagging key'!C:C,0)),"")</f>
        <v>38</v>
      </c>
      <c r="J555" s="3">
        <f>IFERROR(INDEX('Tagging key'!F:F, MATCH(F555,'Tagging key'!C:C,0)),"")</f>
        <v>27</v>
      </c>
      <c r="K555" s="3">
        <v>46.845999999999997</v>
      </c>
      <c r="L555" s="3">
        <v>83.04</v>
      </c>
      <c r="M555" s="3">
        <v>37.5</v>
      </c>
      <c r="N555" s="3">
        <v>27.89</v>
      </c>
      <c r="O555" s="3"/>
      <c r="P555" s="22">
        <v>45882</v>
      </c>
      <c r="Q555" s="22">
        <v>45882</v>
      </c>
      <c r="R555" s="3">
        <v>16.815000000000001</v>
      </c>
    </row>
    <row r="556" spans="1:19" hidden="1" x14ac:dyDescent="0.25">
      <c r="A556" s="11">
        <v>16</v>
      </c>
      <c r="B556" s="11">
        <v>4</v>
      </c>
      <c r="C556" s="11" t="s">
        <v>105</v>
      </c>
      <c r="D556" s="11" t="s">
        <v>46</v>
      </c>
      <c r="E556" s="11" t="s">
        <v>459</v>
      </c>
      <c r="F556" s="11" t="str">
        <f t="shared" si="6"/>
        <v>M_B13</v>
      </c>
      <c r="G556" s="3">
        <v>36.497</v>
      </c>
      <c r="H556" s="3">
        <f>IFERROR(INDEX('Tagging key'!D:D, MATCH(F556,'Tagging key'!C:C,0)),"")</f>
        <v>66.91</v>
      </c>
      <c r="I556" s="3">
        <f>IFERROR(INDEX('Tagging key'!E:E, MATCH(F556,'Tagging key'!C:C,0)),"")</f>
        <v>43.2</v>
      </c>
      <c r="J556" s="3">
        <f>IFERROR(INDEX('Tagging key'!F:F, MATCH(F556,'Tagging key'!C:C,0)),"")</f>
        <v>27.97</v>
      </c>
      <c r="K556" s="3">
        <v>37.177</v>
      </c>
      <c r="L556" s="3">
        <v>68.38</v>
      </c>
      <c r="M556" s="3">
        <v>39.42</v>
      </c>
      <c r="N556" s="3">
        <v>28.96</v>
      </c>
      <c r="O556" s="3"/>
      <c r="P556" s="22">
        <v>45877</v>
      </c>
      <c r="Q556" s="22">
        <v>45877</v>
      </c>
      <c r="R556" s="3"/>
    </row>
    <row r="557" spans="1:19" hidden="1" x14ac:dyDescent="0.25">
      <c r="A557" s="11">
        <v>16</v>
      </c>
      <c r="B557" s="11">
        <v>4</v>
      </c>
      <c r="C557" s="11" t="s">
        <v>105</v>
      </c>
      <c r="D557" s="11" t="s">
        <v>46</v>
      </c>
      <c r="E557" s="11" t="s">
        <v>760</v>
      </c>
      <c r="F557" s="11" t="str">
        <f t="shared" si="6"/>
        <v>M_R14</v>
      </c>
      <c r="G557" s="3">
        <v>52.392000000000003</v>
      </c>
      <c r="H557" s="3">
        <f>IFERROR(INDEX('Tagging key'!D:D, MATCH(F557,'Tagging key'!C:C,0)),"")</f>
        <v>80.900000000000006</v>
      </c>
      <c r="I557" s="3">
        <f>IFERROR(INDEX('Tagging key'!E:E, MATCH(F557,'Tagging key'!C:C,0)),"")</f>
        <v>39.43</v>
      </c>
      <c r="J557" s="3">
        <f>IFERROR(INDEX('Tagging key'!F:F, MATCH(F557,'Tagging key'!C:C,0)),"")</f>
        <v>33.18</v>
      </c>
      <c r="K557" s="3">
        <v>53.322000000000003</v>
      </c>
      <c r="L557" s="3">
        <v>81.150000000000006</v>
      </c>
      <c r="M557" s="3">
        <v>38.57</v>
      </c>
      <c r="N557" s="3">
        <v>34.4</v>
      </c>
      <c r="O557" s="3"/>
      <c r="P557" s="22">
        <v>45879</v>
      </c>
      <c r="Q557" s="22">
        <v>45879</v>
      </c>
      <c r="R557" s="3"/>
    </row>
    <row r="558" spans="1:19" hidden="1" x14ac:dyDescent="0.25">
      <c r="A558" s="11">
        <v>16</v>
      </c>
      <c r="B558" s="11">
        <v>4</v>
      </c>
      <c r="C558" s="11" t="s">
        <v>105</v>
      </c>
      <c r="D558" s="11" t="s">
        <v>46</v>
      </c>
      <c r="E558" s="11" t="s">
        <v>763</v>
      </c>
      <c r="F558" s="11" t="str">
        <f t="shared" si="6"/>
        <v>M_B95</v>
      </c>
      <c r="G558" s="3">
        <v>32.179000000000002</v>
      </c>
      <c r="H558" s="3">
        <f>IFERROR(INDEX('Tagging key'!D:D, MATCH(F558,'Tagging key'!C:C,0)),"")</f>
        <v>67</v>
      </c>
      <c r="I558" s="3">
        <f>IFERROR(INDEX('Tagging key'!E:E, MATCH(F558,'Tagging key'!C:C,0)),"")</f>
        <v>35</v>
      </c>
      <c r="J558" s="3">
        <f>IFERROR(INDEX('Tagging key'!F:F, MATCH(F558,'Tagging key'!C:C,0)),"")</f>
        <v>25</v>
      </c>
      <c r="K558" s="3">
        <v>32.908000000000001</v>
      </c>
      <c r="L558" s="3">
        <v>68.87</v>
      </c>
      <c r="M558" s="3">
        <v>35.44</v>
      </c>
      <c r="N558" s="3">
        <v>26.04</v>
      </c>
      <c r="O558" s="3"/>
      <c r="P558" s="22">
        <v>45886</v>
      </c>
      <c r="Q558" s="22">
        <v>45886</v>
      </c>
      <c r="R558" s="3"/>
    </row>
    <row r="559" spans="1:19" hidden="1" x14ac:dyDescent="0.25">
      <c r="A559" s="12">
        <v>16</v>
      </c>
      <c r="B559" s="12">
        <v>5</v>
      </c>
      <c r="C559" s="12" t="s">
        <v>105</v>
      </c>
      <c r="D559" s="12" t="s">
        <v>46</v>
      </c>
      <c r="E559" s="12" t="s">
        <v>865</v>
      </c>
      <c r="F559" s="12" t="str">
        <f t="shared" si="6"/>
        <v>M_G39</v>
      </c>
      <c r="G559" s="3">
        <v>83.343999999999994</v>
      </c>
      <c r="H559" s="3">
        <f>IFERROR(INDEX('Tagging key'!D:D, MATCH(F559,'Tagging key'!C:C,0)),"")</f>
        <v>93</v>
      </c>
      <c r="I559" s="3">
        <f>IFERROR(INDEX('Tagging key'!E:E, MATCH(F559,'Tagging key'!C:C,0)),"")</f>
        <v>45</v>
      </c>
      <c r="J559" s="3">
        <f>IFERROR(INDEX('Tagging key'!F:F, MATCH(F559,'Tagging key'!C:C,0)),"")</f>
        <v>33</v>
      </c>
      <c r="K559" s="3">
        <v>83.745999999999995</v>
      </c>
      <c r="L559" s="3">
        <v>96</v>
      </c>
      <c r="M559" s="3">
        <v>46.3</v>
      </c>
      <c r="N559" s="3">
        <v>33.549999999999997</v>
      </c>
      <c r="O559" s="3"/>
      <c r="P559" s="22">
        <v>45877</v>
      </c>
      <c r="Q559" s="22">
        <v>45877</v>
      </c>
      <c r="R559" s="3"/>
    </row>
    <row r="560" spans="1:19" x14ac:dyDescent="0.25">
      <c r="A560" s="12">
        <v>16</v>
      </c>
      <c r="B560" s="12">
        <v>5</v>
      </c>
      <c r="C560" s="12" t="s">
        <v>105</v>
      </c>
      <c r="D560" s="12" t="s">
        <v>46</v>
      </c>
      <c r="E560" s="12" t="s">
        <v>833</v>
      </c>
      <c r="F560" s="12" t="str">
        <f t="shared" si="6"/>
        <v>M_G24</v>
      </c>
      <c r="G560" s="3">
        <v>63.155999999999999</v>
      </c>
      <c r="H560" s="3">
        <f>IFERROR(INDEX('Tagging key'!D:D, MATCH(F560,'Tagging key'!C:C,0)),"")</f>
        <v>86</v>
      </c>
      <c r="I560" s="3">
        <f>IFERROR(INDEX('Tagging key'!E:E, MATCH(F560,'Tagging key'!C:C,0)),"")</f>
        <v>42</v>
      </c>
      <c r="J560" s="3">
        <f>IFERROR(INDEX('Tagging key'!F:F, MATCH(F560,'Tagging key'!C:C,0)),"")</f>
        <v>33</v>
      </c>
      <c r="K560" s="3">
        <v>63.741999999999997</v>
      </c>
      <c r="L560" s="3">
        <v>89.17</v>
      </c>
      <c r="M560" s="3">
        <v>43.88</v>
      </c>
      <c r="N560" s="3">
        <v>33.700000000000003</v>
      </c>
      <c r="O560" s="3"/>
      <c r="P560" s="22">
        <v>45882</v>
      </c>
      <c r="Q560" s="22">
        <v>45882</v>
      </c>
      <c r="R560" s="3">
        <v>20.379000000000001</v>
      </c>
    </row>
    <row r="561" spans="1:19" hidden="1" x14ac:dyDescent="0.25">
      <c r="A561" s="12">
        <v>16</v>
      </c>
      <c r="B561" s="12">
        <v>5</v>
      </c>
      <c r="C561" s="12" t="s">
        <v>105</v>
      </c>
      <c r="D561" s="12" t="s">
        <v>46</v>
      </c>
      <c r="E561" s="12" t="s">
        <v>101</v>
      </c>
      <c r="F561" s="12" t="str">
        <f t="shared" si="6"/>
        <v>M_B1</v>
      </c>
      <c r="G561" s="3">
        <v>63.35</v>
      </c>
      <c r="H561" s="3">
        <f>IFERROR(INDEX('Tagging key'!D:D, MATCH(F561,'Tagging key'!C:C,0)),"")</f>
        <v>90</v>
      </c>
      <c r="I561" s="3">
        <f>IFERROR(INDEX('Tagging key'!E:E, MATCH(F561,'Tagging key'!C:C,0)),"")</f>
        <v>41</v>
      </c>
      <c r="J561" s="3">
        <f>IFERROR(INDEX('Tagging key'!F:F, MATCH(F561,'Tagging key'!C:C,0)),"")</f>
        <v>30</v>
      </c>
      <c r="K561" s="3">
        <v>63.694000000000003</v>
      </c>
      <c r="L561" s="3">
        <v>89.86</v>
      </c>
      <c r="M561" s="3">
        <v>41.42</v>
      </c>
      <c r="N561" s="3">
        <v>29.48</v>
      </c>
      <c r="O561" s="3"/>
      <c r="P561" s="22">
        <v>45886</v>
      </c>
      <c r="Q561" s="22">
        <v>45886</v>
      </c>
      <c r="R561" s="3">
        <v>24.905999999999999</v>
      </c>
    </row>
    <row r="562" spans="1:19" hidden="1" x14ac:dyDescent="0.25">
      <c r="A562" s="12">
        <v>16</v>
      </c>
      <c r="B562" s="12">
        <v>5</v>
      </c>
      <c r="C562" s="12" t="s">
        <v>105</v>
      </c>
      <c r="D562" s="12" t="s">
        <v>46</v>
      </c>
      <c r="E562" s="12" t="s">
        <v>877</v>
      </c>
      <c r="F562" s="12" t="str">
        <f t="shared" si="6"/>
        <v>M_R17</v>
      </c>
      <c r="G562" s="3">
        <v>26.332999999999998</v>
      </c>
      <c r="H562" s="3">
        <f>IFERROR(INDEX('Tagging key'!D:D, MATCH(F562,'Tagging key'!C:C,0)),"")</f>
        <v>71.650000000000006</v>
      </c>
      <c r="I562" s="3">
        <f>IFERROR(INDEX('Tagging key'!E:E, MATCH(F562,'Tagging key'!C:C,0)),"")</f>
        <v>41.09</v>
      </c>
      <c r="J562" s="3">
        <f>IFERROR(INDEX('Tagging key'!F:F, MATCH(F562,'Tagging key'!C:C,0)),"")</f>
        <v>30.04</v>
      </c>
      <c r="K562" s="3">
        <v>28.661999999999999</v>
      </c>
      <c r="L562" s="3">
        <v>68.52</v>
      </c>
      <c r="M562" s="3">
        <v>35.06</v>
      </c>
      <c r="N562" s="3">
        <v>24.93</v>
      </c>
      <c r="O562" s="3"/>
      <c r="P562" s="22">
        <v>45879</v>
      </c>
      <c r="Q562" s="22">
        <v>45879</v>
      </c>
      <c r="R562" s="3"/>
    </row>
    <row r="563" spans="1:19" x14ac:dyDescent="0.25">
      <c r="A563" s="19">
        <v>16</v>
      </c>
      <c r="B563" s="19">
        <v>6</v>
      </c>
      <c r="C563" s="19" t="s">
        <v>105</v>
      </c>
      <c r="D563" s="19" t="s">
        <v>46</v>
      </c>
      <c r="E563" s="19" t="s">
        <v>708</v>
      </c>
      <c r="F563" s="19" t="str">
        <f t="shared" si="6"/>
        <v>M_G6</v>
      </c>
      <c r="G563" s="19">
        <v>61.043999999999997</v>
      </c>
      <c r="H563" s="19">
        <f>IFERROR(INDEX('Tagging key'!D:D, MATCH(F563,'Tagging key'!C:C,0)),"")</f>
        <v>86</v>
      </c>
      <c r="I563" s="19">
        <f>IFERROR(INDEX('Tagging key'!E:E, MATCH(F563,'Tagging key'!C:C,0)),"")</f>
        <v>40</v>
      </c>
      <c r="J563" s="19">
        <f>IFERROR(INDEX('Tagging key'!F:F, MATCH(F563,'Tagging key'!C:C,0)),"")</f>
        <v>29</v>
      </c>
      <c r="K563" s="19"/>
      <c r="L563" s="19"/>
      <c r="M563" s="19"/>
      <c r="N563" s="19"/>
      <c r="O563" s="19"/>
      <c r="P563" s="19"/>
      <c r="Q563" s="19"/>
      <c r="R563" s="19"/>
      <c r="S563" t="s">
        <v>909</v>
      </c>
    </row>
    <row r="564" spans="1:19" hidden="1" x14ac:dyDescent="0.25">
      <c r="A564" s="11">
        <v>16</v>
      </c>
      <c r="B564" s="11">
        <v>6</v>
      </c>
      <c r="C564" s="11" t="s">
        <v>105</v>
      </c>
      <c r="D564" s="11" t="s">
        <v>46</v>
      </c>
      <c r="E564" s="11" t="s">
        <v>410</v>
      </c>
      <c r="F564" s="11" t="str">
        <f t="shared" si="6"/>
        <v>M_G25</v>
      </c>
      <c r="G564" s="3">
        <v>29.529</v>
      </c>
      <c r="H564" s="3">
        <f>IFERROR(INDEX('Tagging key'!D:D, MATCH(F564,'Tagging key'!C:C,0)),"")</f>
        <v>66</v>
      </c>
      <c r="I564" s="3">
        <f>IFERROR(INDEX('Tagging key'!E:E, MATCH(F564,'Tagging key'!C:C,0)),"")</f>
        <v>35</v>
      </c>
      <c r="J564" s="3">
        <f>IFERROR(INDEX('Tagging key'!F:F, MATCH(F564,'Tagging key'!C:C,0)),"")</f>
        <v>24</v>
      </c>
      <c r="K564" s="3">
        <v>29.969000000000001</v>
      </c>
      <c r="L564" s="3">
        <v>68.239999999999995</v>
      </c>
      <c r="M564" s="3">
        <v>38.28</v>
      </c>
      <c r="N564" s="3">
        <v>24.18</v>
      </c>
      <c r="O564" s="3"/>
      <c r="P564" s="22">
        <v>45879</v>
      </c>
      <c r="Q564" s="22">
        <v>45879</v>
      </c>
      <c r="R564" s="3"/>
    </row>
    <row r="565" spans="1:19" hidden="1" x14ac:dyDescent="0.25">
      <c r="A565" s="11">
        <v>16</v>
      </c>
      <c r="B565" s="11">
        <v>6</v>
      </c>
      <c r="C565" s="11" t="s">
        <v>105</v>
      </c>
      <c r="D565" s="11" t="s">
        <v>46</v>
      </c>
      <c r="E565" s="11" t="s">
        <v>910</v>
      </c>
      <c r="F565" s="11" t="str">
        <f t="shared" si="6"/>
        <v>M_G34</v>
      </c>
      <c r="G565" s="3">
        <v>15.361000000000001</v>
      </c>
      <c r="H565" s="3">
        <f>IFERROR(INDEX('Tagging key'!D:D, MATCH(F565,'Tagging key'!C:C,0)),"")</f>
        <v>76</v>
      </c>
      <c r="I565" s="3">
        <f>IFERROR(INDEX('Tagging key'!E:E, MATCH(F565,'Tagging key'!C:C,0)),"")</f>
        <v>40</v>
      </c>
      <c r="J565" s="3">
        <f>IFERROR(INDEX('Tagging key'!F:F, MATCH(F565,'Tagging key'!C:C,0)),"")</f>
        <v>29</v>
      </c>
      <c r="K565" s="3">
        <v>51.512999999999998</v>
      </c>
      <c r="L565" s="3">
        <v>77.44</v>
      </c>
      <c r="M565" s="3">
        <v>40.049999999999997</v>
      </c>
      <c r="N565" s="3">
        <v>30.32</v>
      </c>
      <c r="O565" s="3"/>
      <c r="P565" s="22">
        <v>45877</v>
      </c>
      <c r="Q565" s="22">
        <v>45877</v>
      </c>
      <c r="R565" s="3"/>
    </row>
    <row r="566" spans="1:19" x14ac:dyDescent="0.25">
      <c r="A566" s="19">
        <v>16</v>
      </c>
      <c r="B566" s="19">
        <v>6</v>
      </c>
      <c r="C566" s="19" t="s">
        <v>105</v>
      </c>
      <c r="D566" s="19" t="s">
        <v>46</v>
      </c>
      <c r="E566" s="19" t="s">
        <v>556</v>
      </c>
      <c r="F566" s="19" t="str">
        <f t="shared" si="6"/>
        <v>M_R62</v>
      </c>
      <c r="G566" s="19">
        <v>26.765999999999998</v>
      </c>
      <c r="H566" s="19">
        <f>IFERROR(INDEX('Tagging key'!D:D, MATCH(F566,'Tagging key'!C:C,0)),"")</f>
        <v>64.59</v>
      </c>
      <c r="I566" s="19">
        <f>IFERROR(INDEX('Tagging key'!E:E, MATCH(F566,'Tagging key'!C:C,0)),"")</f>
        <v>35.03</v>
      </c>
      <c r="J566" s="19">
        <f>IFERROR(INDEX('Tagging key'!F:F, MATCH(F566,'Tagging key'!C:C,0)),"")</f>
        <v>24.73</v>
      </c>
      <c r="K566" s="19"/>
      <c r="L566" s="19"/>
      <c r="M566" s="19"/>
      <c r="N566" s="19"/>
      <c r="O566" s="19"/>
      <c r="P566" s="19"/>
      <c r="Q566" s="19"/>
      <c r="R566" s="19"/>
      <c r="S566" t="s">
        <v>911</v>
      </c>
    </row>
    <row r="567" spans="1:19" x14ac:dyDescent="0.25">
      <c r="A567" s="8">
        <v>16</v>
      </c>
      <c r="B567" s="8">
        <v>7</v>
      </c>
      <c r="C567" s="8" t="s">
        <v>105</v>
      </c>
      <c r="D567" s="8" t="s">
        <v>16</v>
      </c>
      <c r="E567" s="8" t="s">
        <v>649</v>
      </c>
      <c r="F567" s="8" t="str">
        <f t="shared" si="6"/>
        <v>O_R80</v>
      </c>
      <c r="G567" s="3">
        <v>36.770000000000003</v>
      </c>
      <c r="H567" s="3">
        <f>IFERROR(INDEX('Tagging key'!D:D, MATCH(F567,'Tagging key'!C:C,0)),"")</f>
        <v>74.349999999999994</v>
      </c>
      <c r="I567" s="3">
        <f>IFERROR(INDEX('Tagging key'!E:E, MATCH(F567,'Tagging key'!C:C,0)),"")</f>
        <v>47.94</v>
      </c>
      <c r="J567" s="3">
        <f>IFERROR(INDEX('Tagging key'!F:F, MATCH(F567,'Tagging key'!C:C,0)),"")</f>
        <v>17.79</v>
      </c>
      <c r="K567" s="3">
        <v>36.732999999999997</v>
      </c>
      <c r="L567" s="3">
        <v>75.430000000000007</v>
      </c>
      <c r="M567" s="3">
        <v>41.98</v>
      </c>
      <c r="N567" s="3">
        <v>16.96</v>
      </c>
      <c r="O567" s="3"/>
      <c r="P567" s="22">
        <v>45882</v>
      </c>
      <c r="Q567" s="22">
        <v>45882</v>
      </c>
      <c r="R567" s="3"/>
    </row>
    <row r="568" spans="1:19" hidden="1" x14ac:dyDescent="0.25">
      <c r="A568" s="8">
        <v>16</v>
      </c>
      <c r="B568" s="8">
        <v>7</v>
      </c>
      <c r="C568" s="8" t="s">
        <v>105</v>
      </c>
      <c r="D568" s="8" t="s">
        <v>16</v>
      </c>
      <c r="E568" s="8" t="s">
        <v>912</v>
      </c>
      <c r="F568" s="8" t="str">
        <f t="shared" si="6"/>
        <v>O_W24</v>
      </c>
      <c r="G568" s="3">
        <v>26.776</v>
      </c>
      <c r="H568" s="3">
        <f>IFERROR(INDEX('Tagging key'!D:D, MATCH(F568,'Tagging key'!C:C,0)),"")</f>
        <v>88</v>
      </c>
      <c r="I568" s="3">
        <f>IFERROR(INDEX('Tagging key'!E:E, MATCH(F568,'Tagging key'!C:C,0)),"")</f>
        <v>38.5</v>
      </c>
      <c r="J568" s="3">
        <f>IFERROR(INDEX('Tagging key'!F:F, MATCH(F568,'Tagging key'!C:C,0)),"")</f>
        <v>9.5</v>
      </c>
      <c r="K568" s="3">
        <v>26.661999999999999</v>
      </c>
      <c r="L568" s="3">
        <v>89.48</v>
      </c>
      <c r="M568" s="3">
        <v>38.78</v>
      </c>
      <c r="N568" s="3">
        <v>14.72</v>
      </c>
      <c r="O568" s="3"/>
      <c r="P568" s="22">
        <v>45879</v>
      </c>
      <c r="Q568" s="22">
        <v>45879</v>
      </c>
      <c r="R568" s="3"/>
    </row>
    <row r="569" spans="1:19" hidden="1" x14ac:dyDescent="0.25">
      <c r="A569" s="8">
        <v>16</v>
      </c>
      <c r="B569" s="8">
        <v>7</v>
      </c>
      <c r="C569" s="8" t="s">
        <v>105</v>
      </c>
      <c r="D569" s="8" t="s">
        <v>16</v>
      </c>
      <c r="E569" s="8" t="s">
        <v>913</v>
      </c>
      <c r="F569" s="8" t="str">
        <f t="shared" si="6"/>
        <v>O_W7</v>
      </c>
      <c r="G569" s="3">
        <v>31.018999999999998</v>
      </c>
      <c r="H569" s="3">
        <f>IFERROR(INDEX('Tagging key'!D:D, MATCH(F569,'Tagging key'!C:C,0)),"")</f>
        <v>68.31</v>
      </c>
      <c r="I569" s="3">
        <f>IFERROR(INDEX('Tagging key'!E:E, MATCH(F569,'Tagging key'!C:C,0)),"")</f>
        <v>45.82</v>
      </c>
      <c r="J569" s="3">
        <f>IFERROR(INDEX('Tagging key'!F:F, MATCH(F569,'Tagging key'!C:C,0)),"")</f>
        <v>17.399999999999999</v>
      </c>
      <c r="K569" s="3">
        <v>30.896999999999998</v>
      </c>
      <c r="L569" s="3">
        <v>68.569999999999993</v>
      </c>
      <c r="M569" s="3">
        <v>44.71</v>
      </c>
      <c r="N569" s="3">
        <v>17.510000000000002</v>
      </c>
      <c r="O569" s="3"/>
      <c r="P569" s="22">
        <v>45886</v>
      </c>
      <c r="Q569" s="22">
        <v>45886</v>
      </c>
      <c r="R569" s="3"/>
    </row>
    <row r="570" spans="1:19" hidden="1" x14ac:dyDescent="0.25">
      <c r="A570" s="8">
        <v>16</v>
      </c>
      <c r="B570" s="8">
        <v>7</v>
      </c>
      <c r="C570" s="8" t="s">
        <v>105</v>
      </c>
      <c r="D570" s="8" t="s">
        <v>16</v>
      </c>
      <c r="E570" s="8" t="s">
        <v>914</v>
      </c>
      <c r="F570" s="8" t="str">
        <f t="shared" si="6"/>
        <v>O_W32</v>
      </c>
      <c r="G570" s="3">
        <v>33.933999999999997</v>
      </c>
      <c r="H570" s="3">
        <f>IFERROR(INDEX('Tagging key'!D:D, MATCH(F570,'Tagging key'!C:C,0)),"")</f>
        <v>71.099999999999994</v>
      </c>
      <c r="I570" s="3">
        <f>IFERROR(INDEX('Tagging key'!E:E, MATCH(F570,'Tagging key'!C:C,0)),"")</f>
        <v>48.73</v>
      </c>
      <c r="J570" s="3">
        <f>IFERROR(INDEX('Tagging key'!F:F, MATCH(F570,'Tagging key'!C:C,0)),"")</f>
        <v>17.41</v>
      </c>
      <c r="K570" s="3">
        <v>33.573</v>
      </c>
      <c r="L570" s="3">
        <v>70.040000000000006</v>
      </c>
      <c r="M570" s="3">
        <v>43.11</v>
      </c>
      <c r="N570" s="3">
        <v>18.95</v>
      </c>
      <c r="O570" s="3"/>
      <c r="P570" s="22">
        <v>45877</v>
      </c>
      <c r="Q570" s="22">
        <v>45877</v>
      </c>
      <c r="R570" s="3"/>
    </row>
    <row r="571" spans="1:19" hidden="1" x14ac:dyDescent="0.25">
      <c r="A571" s="9">
        <v>16</v>
      </c>
      <c r="B571" s="9">
        <v>8</v>
      </c>
      <c r="C571" s="9" t="s">
        <v>105</v>
      </c>
      <c r="D571" s="9" t="s">
        <v>16</v>
      </c>
      <c r="E571" s="9" t="s">
        <v>915</v>
      </c>
      <c r="F571" s="9" t="str">
        <f t="shared" si="6"/>
        <v>O_W30</v>
      </c>
      <c r="G571" s="3">
        <v>37.682000000000002</v>
      </c>
      <c r="H571" s="3">
        <f>IFERROR(INDEX('Tagging key'!D:D, MATCH(F571,'Tagging key'!C:C,0)),"")</f>
        <v>65.709999999999994</v>
      </c>
      <c r="I571" s="3">
        <f>IFERROR(INDEX('Tagging key'!E:E, MATCH(F571,'Tagging key'!C:C,0)),"")</f>
        <v>60.48</v>
      </c>
      <c r="J571" s="3">
        <f>IFERROR(INDEX('Tagging key'!F:F, MATCH(F571,'Tagging key'!C:C,0)),"")</f>
        <v>17.420000000000002</v>
      </c>
      <c r="K571" s="3">
        <v>37.377000000000002</v>
      </c>
      <c r="L571" s="3">
        <v>71.55</v>
      </c>
      <c r="M571" s="3">
        <v>41.9</v>
      </c>
      <c r="N571" s="3">
        <v>19.170000000000002</v>
      </c>
      <c r="O571" s="3"/>
      <c r="P571" s="22">
        <v>45877</v>
      </c>
      <c r="Q571" s="22">
        <v>45877</v>
      </c>
      <c r="R571" s="3"/>
    </row>
    <row r="572" spans="1:19" x14ac:dyDescent="0.25">
      <c r="A572" s="9">
        <v>16</v>
      </c>
      <c r="B572" s="9">
        <v>8</v>
      </c>
      <c r="C572" s="9" t="s">
        <v>105</v>
      </c>
      <c r="D572" s="9" t="s">
        <v>16</v>
      </c>
      <c r="E572" s="9" t="s">
        <v>916</v>
      </c>
      <c r="F572" s="9" t="str">
        <f t="shared" si="6"/>
        <v>O_W37</v>
      </c>
      <c r="G572" s="3">
        <v>37.222000000000001</v>
      </c>
      <c r="H572" s="3">
        <f>IFERROR(INDEX('Tagging key'!D:D, MATCH(F572,'Tagging key'!C:C,0)),"")</f>
        <v>86</v>
      </c>
      <c r="I572" s="3">
        <f>IFERROR(INDEX('Tagging key'!E:E, MATCH(F572,'Tagging key'!C:C,0)),"")</f>
        <v>45.53</v>
      </c>
      <c r="J572" s="3">
        <f>IFERROR(INDEX('Tagging key'!F:F, MATCH(F572,'Tagging key'!C:C,0)),"")</f>
        <v>14.65</v>
      </c>
      <c r="K572" s="3">
        <v>36.526000000000003</v>
      </c>
      <c r="L572" s="3">
        <v>87.01</v>
      </c>
      <c r="M572" s="3">
        <v>46.46</v>
      </c>
      <c r="N572" s="3">
        <v>16.46</v>
      </c>
      <c r="O572" s="3"/>
      <c r="P572" s="22">
        <v>45882</v>
      </c>
      <c r="Q572" s="22">
        <v>45882</v>
      </c>
      <c r="R572" s="3">
        <v>22.306999999999999</v>
      </c>
    </row>
    <row r="573" spans="1:19" hidden="1" x14ac:dyDescent="0.25">
      <c r="A573" s="9">
        <v>16</v>
      </c>
      <c r="B573" s="9">
        <v>8</v>
      </c>
      <c r="C573" s="9" t="s">
        <v>105</v>
      </c>
      <c r="D573" s="9" t="s">
        <v>16</v>
      </c>
      <c r="E573" s="9" t="s">
        <v>917</v>
      </c>
      <c r="F573" s="9" t="str">
        <f t="shared" si="6"/>
        <v>O_R8</v>
      </c>
      <c r="G573" s="3">
        <v>25.954000000000001</v>
      </c>
      <c r="H573" s="3">
        <f>IFERROR(INDEX('Tagging key'!D:D, MATCH(F573,'Tagging key'!C:C,0)),"")</f>
        <v>62.28</v>
      </c>
      <c r="I573" s="3">
        <f>IFERROR(INDEX('Tagging key'!E:E, MATCH(F573,'Tagging key'!C:C,0)),"")</f>
        <v>34.51</v>
      </c>
      <c r="J573" s="3">
        <f>IFERROR(INDEX('Tagging key'!F:F, MATCH(F573,'Tagging key'!C:C,0)),"")</f>
        <v>17.47</v>
      </c>
      <c r="K573" s="3">
        <v>25.516999999999999</v>
      </c>
      <c r="L573" s="3">
        <v>63</v>
      </c>
      <c r="M573" s="3">
        <v>36.29</v>
      </c>
      <c r="N573" s="3">
        <v>18.47</v>
      </c>
      <c r="P573" s="22">
        <v>45886</v>
      </c>
      <c r="Q573" s="22">
        <v>45886</v>
      </c>
      <c r="R573" s="3">
        <v>15.686999999999999</v>
      </c>
    </row>
    <row r="574" spans="1:19" hidden="1" x14ac:dyDescent="0.25">
      <c r="A574" s="9">
        <v>16</v>
      </c>
      <c r="B574" s="9">
        <v>8</v>
      </c>
      <c r="C574" s="9" t="s">
        <v>105</v>
      </c>
      <c r="D574" s="9" t="s">
        <v>16</v>
      </c>
      <c r="E574" s="9" t="s">
        <v>918</v>
      </c>
      <c r="F574" s="9" t="str">
        <f t="shared" si="6"/>
        <v>O_B73</v>
      </c>
      <c r="G574" s="3">
        <v>23.445</v>
      </c>
      <c r="H574" s="3">
        <f>IFERROR(INDEX('Tagging key'!D:D, MATCH(F574,'Tagging key'!C:C,0)),"")</f>
        <v>71.95</v>
      </c>
      <c r="I574" s="3">
        <f>IFERROR(INDEX('Tagging key'!E:E, MATCH(F574,'Tagging key'!C:C,0)),"")</f>
        <v>42.32</v>
      </c>
      <c r="J574" s="3">
        <f>IFERROR(INDEX('Tagging key'!F:F, MATCH(F574,'Tagging key'!C:C,0)),"")</f>
        <v>17.739999999999998</v>
      </c>
      <c r="K574" s="3">
        <v>23.341999999999999</v>
      </c>
      <c r="L574" s="3">
        <v>71.94</v>
      </c>
      <c r="M574" s="3">
        <v>44.33</v>
      </c>
      <c r="N574" s="3">
        <v>18.45</v>
      </c>
      <c r="O574" s="3"/>
      <c r="P574" s="22">
        <v>45879</v>
      </c>
      <c r="Q574" s="22">
        <v>45879</v>
      </c>
      <c r="R574" s="3"/>
    </row>
    <row r="575" spans="1:19" hidden="1" x14ac:dyDescent="0.25">
      <c r="A575" s="8">
        <v>16</v>
      </c>
      <c r="B575" s="8">
        <v>9</v>
      </c>
      <c r="C575" s="8" t="s">
        <v>105</v>
      </c>
      <c r="D575" s="8" t="s">
        <v>16</v>
      </c>
      <c r="E575" s="8" t="s">
        <v>818</v>
      </c>
      <c r="F575" s="8" t="str">
        <f t="shared" si="6"/>
        <v>O_B87</v>
      </c>
      <c r="G575" s="3">
        <v>33.823</v>
      </c>
      <c r="H575" s="3">
        <f>IFERROR(INDEX('Tagging key'!D:D, MATCH(F575,'Tagging key'!C:C,0)),"")</f>
        <v>69.31</v>
      </c>
      <c r="I575" s="3">
        <f>IFERROR(INDEX('Tagging key'!E:E, MATCH(F575,'Tagging key'!C:C,0)),"")</f>
        <v>42.54</v>
      </c>
      <c r="J575" s="3">
        <f>IFERROR(INDEX('Tagging key'!F:F, MATCH(F575,'Tagging key'!C:C,0)),"")</f>
        <v>18.079999999999998</v>
      </c>
      <c r="K575" s="3">
        <v>33.68</v>
      </c>
      <c r="L575" s="3">
        <v>69.680000000000007</v>
      </c>
      <c r="M575" s="3">
        <v>41.7</v>
      </c>
      <c r="N575" s="3">
        <v>25.03</v>
      </c>
      <c r="O575" s="3"/>
      <c r="P575" s="22">
        <v>45877</v>
      </c>
      <c r="Q575" s="22">
        <v>45877</v>
      </c>
      <c r="R575" s="3"/>
    </row>
    <row r="576" spans="1:19" hidden="1" x14ac:dyDescent="0.25">
      <c r="A576" s="8">
        <v>16</v>
      </c>
      <c r="B576" s="8">
        <v>9</v>
      </c>
      <c r="C576" s="8" t="s">
        <v>105</v>
      </c>
      <c r="D576" s="8" t="s">
        <v>16</v>
      </c>
      <c r="E576" s="8" t="s">
        <v>440</v>
      </c>
      <c r="F576" s="8" t="str">
        <f t="shared" si="6"/>
        <v>O_B6</v>
      </c>
      <c r="G576" s="3">
        <v>32.177999999999997</v>
      </c>
      <c r="H576" s="3">
        <f>IFERROR(INDEX('Tagging key'!D:D, MATCH(F576,'Tagging key'!C:C,0)),"")</f>
        <v>72.12</v>
      </c>
      <c r="I576" s="3">
        <f>IFERROR(INDEX('Tagging key'!E:E, MATCH(F576,'Tagging key'!C:C,0)),"")</f>
        <v>47.84</v>
      </c>
      <c r="J576" s="3">
        <f>IFERROR(INDEX('Tagging key'!F:F, MATCH(F576,'Tagging key'!C:C,0)),"")</f>
        <v>16.95</v>
      </c>
      <c r="K576" s="3">
        <v>31.942</v>
      </c>
      <c r="L576" s="3">
        <v>74.44</v>
      </c>
      <c r="M576" s="3">
        <v>48.61</v>
      </c>
      <c r="N576" s="3">
        <v>17.97</v>
      </c>
      <c r="O576" s="3"/>
      <c r="P576" s="22">
        <v>45879</v>
      </c>
      <c r="Q576" s="22">
        <v>45879</v>
      </c>
      <c r="R576" s="3"/>
    </row>
    <row r="577" spans="1:19" hidden="1" x14ac:dyDescent="0.25">
      <c r="A577" s="8">
        <v>16</v>
      </c>
      <c r="B577" s="8">
        <v>9</v>
      </c>
      <c r="C577" s="8" t="s">
        <v>105</v>
      </c>
      <c r="D577" s="8" t="s">
        <v>16</v>
      </c>
      <c r="E577" s="8" t="s">
        <v>486</v>
      </c>
      <c r="F577" s="8" t="str">
        <f t="shared" si="6"/>
        <v>O_R69</v>
      </c>
      <c r="G577" s="3">
        <v>20.73</v>
      </c>
      <c r="H577" s="3">
        <f>IFERROR(INDEX('Tagging key'!D:D, MATCH(F577,'Tagging key'!C:C,0)),"")</f>
        <v>67.61</v>
      </c>
      <c r="I577" s="3">
        <f>IFERROR(INDEX('Tagging key'!E:E, MATCH(F577,'Tagging key'!C:C,0)),"")</f>
        <v>39.6</v>
      </c>
      <c r="J577" s="3">
        <f>IFERROR(INDEX('Tagging key'!F:F, MATCH(F577,'Tagging key'!C:C,0)),"")</f>
        <v>13.71</v>
      </c>
      <c r="K577" s="3">
        <v>20.571999999999999</v>
      </c>
      <c r="L577" s="3">
        <v>67.53</v>
      </c>
      <c r="M577" s="3">
        <v>39.15</v>
      </c>
      <c r="N577" s="3">
        <v>15.61</v>
      </c>
      <c r="O577" s="3"/>
      <c r="P577" s="22">
        <v>45886</v>
      </c>
      <c r="Q577" s="22">
        <v>45886</v>
      </c>
      <c r="R577" s="3">
        <v>10.548</v>
      </c>
    </row>
    <row r="578" spans="1:19" x14ac:dyDescent="0.25">
      <c r="A578" s="8">
        <v>16</v>
      </c>
      <c r="B578" s="8">
        <v>9</v>
      </c>
      <c r="C578" s="8" t="s">
        <v>105</v>
      </c>
      <c r="D578" s="8" t="s">
        <v>16</v>
      </c>
      <c r="E578" s="8" t="s">
        <v>469</v>
      </c>
      <c r="F578" s="8" t="str">
        <f t="shared" si="6"/>
        <v>O_R35</v>
      </c>
      <c r="G578" s="3">
        <v>23.548999999999999</v>
      </c>
      <c r="H578" s="3">
        <f>IFERROR(INDEX('Tagging key'!D:D, MATCH(F578,'Tagging key'!C:C,0)),"")</f>
        <v>68.69</v>
      </c>
      <c r="I578" s="3">
        <f>IFERROR(INDEX('Tagging key'!E:E, MATCH(F578,'Tagging key'!C:C,0)),"")</f>
        <v>43.03</v>
      </c>
      <c r="J578" s="3">
        <f>IFERROR(INDEX('Tagging key'!F:F, MATCH(F578,'Tagging key'!C:C,0)),"")</f>
        <v>15.04</v>
      </c>
      <c r="K578" s="3">
        <v>23.215</v>
      </c>
      <c r="L578" s="3">
        <v>68.11</v>
      </c>
      <c r="M578" s="3">
        <v>40.840000000000003</v>
      </c>
      <c r="N578" s="3">
        <v>15.08</v>
      </c>
      <c r="O578" s="3"/>
      <c r="P578" s="22">
        <v>45882</v>
      </c>
      <c r="Q578" s="22">
        <v>45882</v>
      </c>
      <c r="R578" s="3">
        <v>13.63</v>
      </c>
    </row>
    <row r="579" spans="1:19" x14ac:dyDescent="0.25">
      <c r="A579" s="9">
        <v>17</v>
      </c>
      <c r="B579" s="9">
        <v>1</v>
      </c>
      <c r="C579" s="9" t="s">
        <v>15</v>
      </c>
      <c r="D579" s="9" t="s">
        <v>16</v>
      </c>
      <c r="E579" s="9" t="s">
        <v>890</v>
      </c>
      <c r="F579" s="9" t="str">
        <f t="shared" ref="F579:F602" si="7">LEFT(D579,1)&amp;"_"&amp;E579</f>
        <v>O_R19</v>
      </c>
      <c r="G579" s="3">
        <v>25.001000000000001</v>
      </c>
      <c r="H579" s="3">
        <f>IFERROR(INDEX('Tagging key'!D:D, MATCH(F579,'Tagging key'!C:C,0)),"")</f>
        <v>66.739999999999995</v>
      </c>
      <c r="I579" s="3">
        <f>IFERROR(INDEX('Tagging key'!E:E, MATCH(F579,'Tagging key'!C:C,0)),"")</f>
        <v>44.98</v>
      </c>
      <c r="J579" s="3">
        <f>IFERROR(INDEX('Tagging key'!F:F, MATCH(F579,'Tagging key'!C:C,0)),"")</f>
        <v>13.67</v>
      </c>
      <c r="K579" s="3">
        <v>24.992000000000001</v>
      </c>
      <c r="L579" s="3">
        <v>66.959999999999994</v>
      </c>
      <c r="M579" s="3">
        <v>42.64</v>
      </c>
      <c r="N579" s="3">
        <v>15.68</v>
      </c>
      <c r="O579" s="3"/>
      <c r="P579" s="22">
        <v>45882</v>
      </c>
      <c r="Q579" s="22">
        <v>45882</v>
      </c>
      <c r="R579" s="3">
        <v>16.542000000000002</v>
      </c>
    </row>
    <row r="580" spans="1:19" hidden="1" x14ac:dyDescent="0.25">
      <c r="A580" s="9">
        <v>17</v>
      </c>
      <c r="B580" s="9">
        <v>1</v>
      </c>
      <c r="C580" s="9" t="s">
        <v>15</v>
      </c>
      <c r="D580" s="9" t="s">
        <v>16</v>
      </c>
      <c r="E580" s="9" t="s">
        <v>919</v>
      </c>
      <c r="F580" s="9" t="str">
        <f t="shared" si="7"/>
        <v>O_W12</v>
      </c>
      <c r="G580" s="3">
        <v>18.844000000000001</v>
      </c>
      <c r="H580" s="3">
        <f>IFERROR(INDEX('Tagging key'!D:D, MATCH(F580,'Tagging key'!C:C,0)),"")</f>
        <v>74.66</v>
      </c>
      <c r="I580" s="3">
        <f>IFERROR(INDEX('Tagging key'!E:E, MATCH(F580,'Tagging key'!C:C,0)),"")</f>
        <v>42.18</v>
      </c>
      <c r="J580" s="3">
        <f>IFERROR(INDEX('Tagging key'!F:F, MATCH(F580,'Tagging key'!C:C,0)),"")</f>
        <v>10.29</v>
      </c>
      <c r="K580" s="3">
        <v>18.943999999999999</v>
      </c>
      <c r="L580" s="3">
        <v>74.73</v>
      </c>
      <c r="M580" s="3">
        <v>41.38</v>
      </c>
      <c r="N580" s="3">
        <v>12.35</v>
      </c>
      <c r="O580" s="3"/>
      <c r="P580" s="22">
        <v>45886</v>
      </c>
      <c r="Q580" s="22">
        <v>45886</v>
      </c>
      <c r="R580" s="3">
        <v>10.882999999999999</v>
      </c>
      <c r="S580" t="s">
        <v>920</v>
      </c>
    </row>
    <row r="581" spans="1:19" hidden="1" x14ac:dyDescent="0.25">
      <c r="A581" s="9">
        <v>17</v>
      </c>
      <c r="B581" s="9">
        <v>1</v>
      </c>
      <c r="C581" s="9" t="s">
        <v>15</v>
      </c>
      <c r="D581" s="9" t="s">
        <v>16</v>
      </c>
      <c r="E581" s="9" t="s">
        <v>720</v>
      </c>
      <c r="F581" s="9" t="str">
        <f t="shared" si="7"/>
        <v>O_R20</v>
      </c>
      <c r="G581" s="3">
        <v>31.21</v>
      </c>
      <c r="H581" s="3">
        <f>IFERROR(INDEX('Tagging key'!D:D, MATCH(F581,'Tagging key'!C:C,0)),"")</f>
        <v>65</v>
      </c>
      <c r="I581" s="3">
        <f>IFERROR(INDEX('Tagging key'!E:E, MATCH(F581,'Tagging key'!C:C,0)),"")</f>
        <v>43.53</v>
      </c>
      <c r="J581" s="3">
        <f>IFERROR(INDEX('Tagging key'!F:F, MATCH(F581,'Tagging key'!C:C,0)),"")</f>
        <v>16.920000000000002</v>
      </c>
      <c r="K581" s="3">
        <v>30.861999999999998</v>
      </c>
      <c r="L581" s="3">
        <v>69.989999999999995</v>
      </c>
      <c r="M581" s="3">
        <v>44.5</v>
      </c>
      <c r="N581" s="3">
        <v>17.829999999999998</v>
      </c>
      <c r="O581" s="3"/>
      <c r="P581" s="22">
        <v>45877</v>
      </c>
      <c r="Q581" s="22">
        <v>45877</v>
      </c>
      <c r="R581" s="3"/>
    </row>
    <row r="582" spans="1:19" hidden="1" x14ac:dyDescent="0.25">
      <c r="A582" s="9">
        <v>17</v>
      </c>
      <c r="B582" s="9">
        <v>1</v>
      </c>
      <c r="C582" s="9" t="s">
        <v>15</v>
      </c>
      <c r="D582" s="9" t="s">
        <v>16</v>
      </c>
      <c r="E582" s="9" t="s">
        <v>921</v>
      </c>
      <c r="F582" s="9" t="str">
        <f t="shared" si="7"/>
        <v>O_R48</v>
      </c>
      <c r="G582" s="3">
        <v>31.852</v>
      </c>
      <c r="H582" s="3">
        <f>IFERROR(INDEX('Tagging key'!D:D, MATCH(F582,'Tagging key'!C:C,0)),"")</f>
        <v>67.45</v>
      </c>
      <c r="I582" s="3">
        <f>IFERROR(INDEX('Tagging key'!E:E, MATCH(F582,'Tagging key'!C:C,0)),"")</f>
        <v>62.01</v>
      </c>
      <c r="J582" s="3">
        <f>IFERROR(INDEX('Tagging key'!F:F, MATCH(F582,'Tagging key'!C:C,0)),"")</f>
        <v>14.2</v>
      </c>
      <c r="K582" s="3">
        <v>31.559000000000001</v>
      </c>
      <c r="L582" s="3">
        <v>75.42</v>
      </c>
      <c r="M582" s="3">
        <v>39.46</v>
      </c>
      <c r="N582" s="3">
        <v>17.260000000000002</v>
      </c>
      <c r="O582" s="3"/>
      <c r="P582" s="22">
        <v>45879</v>
      </c>
      <c r="Q582" s="22">
        <v>45879</v>
      </c>
      <c r="R582" s="3"/>
    </row>
    <row r="583" spans="1:19" hidden="1" x14ac:dyDescent="0.25">
      <c r="A583" s="8">
        <v>17</v>
      </c>
      <c r="B583" s="8">
        <v>2</v>
      </c>
      <c r="C583" s="8" t="s">
        <v>15</v>
      </c>
      <c r="D583" s="8" t="s">
        <v>16</v>
      </c>
      <c r="E583" s="8" t="s">
        <v>582</v>
      </c>
      <c r="F583" s="8" t="str">
        <f t="shared" si="7"/>
        <v>O_B84</v>
      </c>
      <c r="G583" s="3">
        <v>30.103999999999999</v>
      </c>
      <c r="H583" s="3">
        <f>IFERROR(INDEX('Tagging key'!D:D, MATCH(F583,'Tagging key'!C:C,0)),"")</f>
        <v>51.33</v>
      </c>
      <c r="I583" s="3">
        <f>IFERROR(INDEX('Tagging key'!E:E, MATCH(F583,'Tagging key'!C:C,0)),"")</f>
        <v>54.12</v>
      </c>
      <c r="J583" s="3">
        <f>IFERROR(INDEX('Tagging key'!F:F, MATCH(F583,'Tagging key'!C:C,0)),"")</f>
        <v>20.58</v>
      </c>
      <c r="K583" s="3">
        <v>29.768999999999998</v>
      </c>
      <c r="L583" s="3">
        <v>52.48</v>
      </c>
      <c r="M583" s="3">
        <v>46.91</v>
      </c>
      <c r="N583" s="3">
        <v>19.25</v>
      </c>
      <c r="O583" s="3"/>
      <c r="P583" s="22">
        <v>45886</v>
      </c>
      <c r="Q583" s="22">
        <v>45886</v>
      </c>
      <c r="R583" s="3">
        <v>21.654</v>
      </c>
      <c r="S583" t="s">
        <v>922</v>
      </c>
    </row>
    <row r="584" spans="1:19" hidden="1" x14ac:dyDescent="0.25">
      <c r="A584" s="8">
        <v>17</v>
      </c>
      <c r="B584" s="8">
        <v>2</v>
      </c>
      <c r="C584" s="8" t="s">
        <v>15</v>
      </c>
      <c r="D584" s="8" t="s">
        <v>16</v>
      </c>
      <c r="E584" s="8" t="s">
        <v>727</v>
      </c>
      <c r="F584" s="8" t="str">
        <f t="shared" si="7"/>
        <v>O_R33</v>
      </c>
      <c r="G584" s="3">
        <v>34.406999999999996</v>
      </c>
      <c r="H584" s="3">
        <f>IFERROR(INDEX('Tagging key'!D:D, MATCH(F584,'Tagging key'!C:C,0)),"")</f>
        <v>73.84</v>
      </c>
      <c r="I584" s="3">
        <f>IFERROR(INDEX('Tagging key'!E:E, MATCH(F584,'Tagging key'!C:C,0)),"")</f>
        <v>43.78</v>
      </c>
      <c r="J584" s="3">
        <f>IFERROR(INDEX('Tagging key'!F:F, MATCH(F584,'Tagging key'!C:C,0)),"")</f>
        <v>19.690000000000001</v>
      </c>
      <c r="K584" s="3">
        <v>34.453000000000003</v>
      </c>
      <c r="L584" s="3">
        <v>74.02</v>
      </c>
      <c r="M584" s="3">
        <v>45.11</v>
      </c>
      <c r="N584" s="3">
        <v>16.96</v>
      </c>
      <c r="O584" s="3"/>
      <c r="P584" s="22">
        <v>45877</v>
      </c>
      <c r="Q584" s="22">
        <v>45877</v>
      </c>
      <c r="R584" s="3"/>
    </row>
    <row r="585" spans="1:19" hidden="1" x14ac:dyDescent="0.25">
      <c r="A585" s="8">
        <v>17</v>
      </c>
      <c r="B585" s="8">
        <v>2</v>
      </c>
      <c r="C585" s="8" t="s">
        <v>15</v>
      </c>
      <c r="D585" s="8" t="s">
        <v>16</v>
      </c>
      <c r="E585" s="8" t="s">
        <v>159</v>
      </c>
      <c r="F585" s="8" t="str">
        <f t="shared" si="7"/>
        <v>O_B38</v>
      </c>
      <c r="G585" s="3">
        <v>25.664000000000001</v>
      </c>
      <c r="H585" s="3">
        <f>IFERROR(INDEX('Tagging key'!D:D, MATCH(F585,'Tagging key'!C:C,0)),"")</f>
        <v>62.48</v>
      </c>
      <c r="I585" s="3">
        <f>IFERROR(INDEX('Tagging key'!E:E, MATCH(F585,'Tagging key'!C:C,0)),"")</f>
        <v>47.16</v>
      </c>
      <c r="J585" s="3">
        <f>IFERROR(INDEX('Tagging key'!F:F, MATCH(F585,'Tagging key'!C:C,0)),"")</f>
        <v>14.17</v>
      </c>
      <c r="K585" s="3">
        <v>25.635000000000002</v>
      </c>
      <c r="L585" s="3">
        <v>64.78</v>
      </c>
      <c r="M585" s="3">
        <v>44.8</v>
      </c>
      <c r="N585" s="3">
        <v>15.04</v>
      </c>
      <c r="O585" s="3"/>
      <c r="P585" s="22">
        <v>45879</v>
      </c>
      <c r="Q585" s="22">
        <v>45879</v>
      </c>
      <c r="R585" s="3"/>
    </row>
    <row r="586" spans="1:19" x14ac:dyDescent="0.25">
      <c r="A586" s="8">
        <v>17</v>
      </c>
      <c r="B586" s="8">
        <v>2</v>
      </c>
      <c r="C586" s="8" t="s">
        <v>15</v>
      </c>
      <c r="D586" s="8" t="s">
        <v>16</v>
      </c>
      <c r="E586" s="8" t="s">
        <v>652</v>
      </c>
      <c r="F586" s="8" t="str">
        <f t="shared" si="7"/>
        <v>O_R45</v>
      </c>
      <c r="G586" s="3">
        <v>33.363</v>
      </c>
      <c r="H586" s="3">
        <f>IFERROR(INDEX('Tagging key'!D:D, MATCH(F586,'Tagging key'!C:C,0)),"")</f>
        <v>70.91</v>
      </c>
      <c r="I586" s="3">
        <f>IFERROR(INDEX('Tagging key'!E:E, MATCH(F586,'Tagging key'!C:C,0)),"")</f>
        <v>53.97</v>
      </c>
      <c r="J586" s="3">
        <f>IFERROR(INDEX('Tagging key'!F:F, MATCH(F586,'Tagging key'!C:C,0)),"")</f>
        <v>17.239999999999998</v>
      </c>
      <c r="K586" s="3">
        <v>33.392000000000003</v>
      </c>
      <c r="L586" s="3">
        <v>76.23</v>
      </c>
      <c r="M586" s="3">
        <v>43</v>
      </c>
      <c r="N586" s="3">
        <v>16.14</v>
      </c>
      <c r="O586" s="3"/>
      <c r="P586" s="22">
        <v>45882</v>
      </c>
      <c r="Q586" s="22">
        <v>45882</v>
      </c>
      <c r="R586" s="3">
        <v>19.744</v>
      </c>
    </row>
    <row r="587" spans="1:19" hidden="1" x14ac:dyDescent="0.25">
      <c r="A587" s="9">
        <v>17</v>
      </c>
      <c r="B587" s="9">
        <v>3</v>
      </c>
      <c r="C587" s="9" t="s">
        <v>15</v>
      </c>
      <c r="D587" s="9" t="s">
        <v>16</v>
      </c>
      <c r="E587" s="9" t="s">
        <v>872</v>
      </c>
      <c r="F587" s="9" t="str">
        <f t="shared" si="7"/>
        <v>O_R31</v>
      </c>
      <c r="G587" s="3">
        <v>29.145</v>
      </c>
      <c r="H587" s="3">
        <f>IFERROR(INDEX('Tagging key'!D:D, MATCH(F587,'Tagging key'!C:C,0)),"")</f>
        <v>74.150000000000006</v>
      </c>
      <c r="I587" s="3">
        <f>IFERROR(INDEX('Tagging key'!E:E, MATCH(F587,'Tagging key'!C:C,0)),"")</f>
        <v>43.11</v>
      </c>
      <c r="J587" s="3">
        <f>IFERROR(INDEX('Tagging key'!F:F, MATCH(F587,'Tagging key'!C:C,0)),"")</f>
        <v>18.59</v>
      </c>
      <c r="K587" s="3">
        <v>29.13</v>
      </c>
      <c r="L587" s="3">
        <v>74.239999999999995</v>
      </c>
      <c r="M587" s="3">
        <v>42.32</v>
      </c>
      <c r="N587" s="3">
        <v>17.260000000000002</v>
      </c>
      <c r="O587" s="3"/>
      <c r="P587" s="22">
        <v>45886</v>
      </c>
      <c r="Q587" s="22">
        <v>45886</v>
      </c>
      <c r="R587" s="3"/>
    </row>
    <row r="588" spans="1:19" hidden="1" x14ac:dyDescent="0.25">
      <c r="A588" s="9">
        <v>17</v>
      </c>
      <c r="B588" s="9">
        <v>3</v>
      </c>
      <c r="C588" s="9" t="s">
        <v>15</v>
      </c>
      <c r="D588" s="9" t="s">
        <v>16</v>
      </c>
      <c r="E588" s="9" t="s">
        <v>923</v>
      </c>
      <c r="F588" s="9" t="str">
        <f t="shared" si="7"/>
        <v>O_W39</v>
      </c>
      <c r="G588" s="3">
        <v>34.040999999999997</v>
      </c>
      <c r="H588" s="3">
        <f>IFERROR(INDEX('Tagging key'!D:D, MATCH(F588,'Tagging key'!C:C,0)),"")</f>
        <v>67.14</v>
      </c>
      <c r="I588" s="3">
        <f>IFERROR(INDEX('Tagging key'!E:E, MATCH(F588,'Tagging key'!C:C,0)),"")</f>
        <v>50.4</v>
      </c>
      <c r="J588" s="3">
        <f>IFERROR(INDEX('Tagging key'!F:F, MATCH(F588,'Tagging key'!C:C,0)),"")</f>
        <v>21.52</v>
      </c>
      <c r="K588" s="3">
        <v>33.993000000000002</v>
      </c>
      <c r="L588" s="3">
        <v>68.73</v>
      </c>
      <c r="M588" s="3">
        <v>53.5</v>
      </c>
      <c r="N588" s="3">
        <v>19.690000000000001</v>
      </c>
      <c r="O588" s="3"/>
      <c r="P588" s="22">
        <v>45879</v>
      </c>
      <c r="Q588" s="22">
        <v>45879</v>
      </c>
      <c r="R588" s="3"/>
    </row>
    <row r="589" spans="1:19" hidden="1" x14ac:dyDescent="0.25">
      <c r="A589" s="9">
        <v>17</v>
      </c>
      <c r="B589" s="9">
        <v>3</v>
      </c>
      <c r="C589" s="9" t="s">
        <v>15</v>
      </c>
      <c r="D589" s="9" t="s">
        <v>16</v>
      </c>
      <c r="E589" s="9" t="s">
        <v>924</v>
      </c>
      <c r="F589" s="9" t="str">
        <f t="shared" si="7"/>
        <v>O_B81</v>
      </c>
      <c r="G589" s="3">
        <v>25.015999999999998</v>
      </c>
      <c r="H589" s="3">
        <f>IFERROR(INDEX('Tagging key'!D:D, MATCH(F589,'Tagging key'!C:C,0)),"")</f>
        <v>71.400000000000006</v>
      </c>
      <c r="I589" s="3">
        <f>IFERROR(INDEX('Tagging key'!E:E, MATCH(F589,'Tagging key'!C:C,0)),"")</f>
        <v>39.03</v>
      </c>
      <c r="J589" s="3">
        <f>IFERROR(INDEX('Tagging key'!F:F, MATCH(F589,'Tagging key'!C:C,0)),"")</f>
        <v>14.91</v>
      </c>
      <c r="K589" s="3">
        <v>24.771000000000001</v>
      </c>
      <c r="L589" s="3">
        <v>72.510000000000005</v>
      </c>
      <c r="M589" s="3">
        <v>39.130000000000003</v>
      </c>
      <c r="N589" s="3">
        <v>15.3</v>
      </c>
      <c r="O589" s="3"/>
      <c r="P589" s="22">
        <v>45877</v>
      </c>
      <c r="Q589" s="22">
        <v>45877</v>
      </c>
      <c r="R589" s="3"/>
      <c r="S589" t="s">
        <v>925</v>
      </c>
    </row>
    <row r="590" spans="1:19" x14ac:dyDescent="0.25">
      <c r="A590" s="9">
        <v>17</v>
      </c>
      <c r="B590" s="9">
        <v>3</v>
      </c>
      <c r="C590" s="9" t="s">
        <v>15</v>
      </c>
      <c r="D590" s="9" t="s">
        <v>16</v>
      </c>
      <c r="E590" s="9" t="s">
        <v>926</v>
      </c>
      <c r="F590" s="9" t="str">
        <f t="shared" si="7"/>
        <v>O_R1</v>
      </c>
      <c r="G590" s="3">
        <v>41.405999999999999</v>
      </c>
      <c r="H590" s="3">
        <f>IFERROR(INDEX('Tagging key'!D:D, MATCH(F590,'Tagging key'!C:C,0)),"")</f>
        <v>62.07</v>
      </c>
      <c r="I590" s="3">
        <f>IFERROR(INDEX('Tagging key'!E:E, MATCH(F590,'Tagging key'!C:C,0)),"")</f>
        <v>51.41</v>
      </c>
      <c r="J590" s="3">
        <f>IFERROR(INDEX('Tagging key'!F:F, MATCH(F590,'Tagging key'!C:C,0)),"")</f>
        <v>20.09</v>
      </c>
      <c r="K590" s="3">
        <v>41.356999999999999</v>
      </c>
      <c r="L590" s="3">
        <v>64.27</v>
      </c>
      <c r="M590" s="3">
        <v>50.51</v>
      </c>
      <c r="N590" s="3">
        <v>19.399999999999999</v>
      </c>
      <c r="O590" s="3"/>
      <c r="P590" s="22">
        <v>45882</v>
      </c>
      <c r="Q590" s="22">
        <v>45882</v>
      </c>
      <c r="R590" s="3">
        <v>31.603000000000002</v>
      </c>
    </row>
    <row r="591" spans="1:19" hidden="1" x14ac:dyDescent="0.25">
      <c r="A591" s="11">
        <v>17</v>
      </c>
      <c r="B591" s="11">
        <v>4</v>
      </c>
      <c r="C591" s="11" t="s">
        <v>15</v>
      </c>
      <c r="D591" s="11" t="s">
        <v>46</v>
      </c>
      <c r="E591" s="11" t="s">
        <v>616</v>
      </c>
      <c r="F591" s="11" t="str">
        <f t="shared" si="7"/>
        <v>M_R77</v>
      </c>
      <c r="G591" s="3">
        <v>34.576999999999998</v>
      </c>
      <c r="H591" s="3">
        <f>IFERROR(INDEX('Tagging key'!D:D, MATCH(F591,'Tagging key'!C:C,0)),"")</f>
        <v>69.59</v>
      </c>
      <c r="I591" s="3">
        <f>IFERROR(INDEX('Tagging key'!E:E, MATCH(F591,'Tagging key'!C:C,0)),"")</f>
        <v>41.15</v>
      </c>
      <c r="J591" s="3">
        <f>IFERROR(INDEX('Tagging key'!F:F, MATCH(F591,'Tagging key'!C:C,0)),"")</f>
        <v>25.91</v>
      </c>
      <c r="K591" s="3">
        <v>35.896999999999998</v>
      </c>
      <c r="L591" s="3">
        <v>70.22</v>
      </c>
      <c r="M591" s="3">
        <v>38.21</v>
      </c>
      <c r="N591" s="3">
        <v>28.11</v>
      </c>
      <c r="O591" s="3"/>
      <c r="P591" s="22">
        <v>45879</v>
      </c>
      <c r="Q591" s="22">
        <v>45879</v>
      </c>
      <c r="R591" s="3"/>
    </row>
    <row r="592" spans="1:19" hidden="1" x14ac:dyDescent="0.25">
      <c r="A592" s="11">
        <v>17</v>
      </c>
      <c r="B592" s="11">
        <v>4</v>
      </c>
      <c r="C592" s="11" t="s">
        <v>15</v>
      </c>
      <c r="D592" s="11" t="s">
        <v>46</v>
      </c>
      <c r="E592" s="11" t="s">
        <v>927</v>
      </c>
      <c r="F592" s="11" t="str">
        <f t="shared" si="7"/>
        <v>M_R18</v>
      </c>
      <c r="G592" s="3">
        <v>56.243000000000002</v>
      </c>
      <c r="H592" s="3">
        <f>IFERROR(INDEX('Tagging key'!D:D, MATCH(F592,'Tagging key'!C:C,0)),"")</f>
        <v>86.3</v>
      </c>
      <c r="I592" s="3">
        <f>IFERROR(INDEX('Tagging key'!E:E, MATCH(F592,'Tagging key'!C:C,0)),"")</f>
        <v>45.36</v>
      </c>
      <c r="J592" s="3">
        <f>IFERROR(INDEX('Tagging key'!F:F, MATCH(F592,'Tagging key'!C:C,0)),"")</f>
        <v>30.39</v>
      </c>
      <c r="K592" s="3">
        <v>56.670999999999999</v>
      </c>
      <c r="L592" s="3">
        <v>86.09</v>
      </c>
      <c r="M592" s="3">
        <v>43.21</v>
      </c>
      <c r="N592" s="3">
        <v>30.45</v>
      </c>
      <c r="O592" s="3"/>
      <c r="P592" s="22">
        <v>45886</v>
      </c>
      <c r="Q592" s="22">
        <v>45886</v>
      </c>
      <c r="R592" s="3">
        <v>17.899999999999999</v>
      </c>
    </row>
    <row r="593" spans="1:19" hidden="1" x14ac:dyDescent="0.25">
      <c r="A593" s="11">
        <v>17</v>
      </c>
      <c r="B593" s="11">
        <v>4</v>
      </c>
      <c r="C593" s="11" t="s">
        <v>15</v>
      </c>
      <c r="D593" s="11" t="s">
        <v>46</v>
      </c>
      <c r="E593" s="11" t="s">
        <v>679</v>
      </c>
      <c r="F593" s="11" t="str">
        <f t="shared" si="7"/>
        <v>M_R90</v>
      </c>
      <c r="G593" s="3">
        <v>24.667000000000002</v>
      </c>
      <c r="H593" s="3">
        <f>IFERROR(INDEX('Tagging key'!D:D, MATCH(F593,'Tagging key'!C:C,0)),"")</f>
        <v>64.459999999999994</v>
      </c>
      <c r="I593" s="3">
        <f>IFERROR(INDEX('Tagging key'!E:E, MATCH(F593,'Tagging key'!C:C,0)),"")</f>
        <v>37.11</v>
      </c>
      <c r="J593" s="3">
        <f>IFERROR(INDEX('Tagging key'!F:F, MATCH(F593,'Tagging key'!C:C,0)),"")</f>
        <v>22.9</v>
      </c>
      <c r="K593" s="3">
        <v>26.263999999999999</v>
      </c>
      <c r="L593" s="3">
        <v>64.58</v>
      </c>
      <c r="M593" s="3">
        <v>34.450000000000003</v>
      </c>
      <c r="N593" s="3">
        <v>23.9</v>
      </c>
      <c r="O593" s="3"/>
      <c r="P593" s="22">
        <v>45877</v>
      </c>
      <c r="Q593" s="22">
        <v>45877</v>
      </c>
      <c r="R593" s="3"/>
    </row>
    <row r="594" spans="1:19" x14ac:dyDescent="0.25">
      <c r="A594" s="11">
        <v>17</v>
      </c>
      <c r="B594" s="11">
        <v>4</v>
      </c>
      <c r="C594" s="11" t="s">
        <v>15</v>
      </c>
      <c r="D594" s="11" t="s">
        <v>46</v>
      </c>
      <c r="E594" s="11" t="s">
        <v>626</v>
      </c>
      <c r="F594" s="11" t="str">
        <f t="shared" si="7"/>
        <v>M_R38</v>
      </c>
      <c r="G594" s="3">
        <v>29.484000000000002</v>
      </c>
      <c r="H594" s="3">
        <f>IFERROR(INDEX('Tagging key'!D:D, MATCH(F594,'Tagging key'!C:C,0)),"")</f>
        <v>66.510000000000005</v>
      </c>
      <c r="I594" s="3">
        <f>IFERROR(INDEX('Tagging key'!E:E, MATCH(F594,'Tagging key'!C:C,0)),"")</f>
        <v>35.04</v>
      </c>
      <c r="J594" s="3">
        <f>IFERROR(INDEX('Tagging key'!F:F, MATCH(F594,'Tagging key'!C:C,0)),"")</f>
        <v>25.94</v>
      </c>
      <c r="K594" s="3">
        <v>30.457000000000001</v>
      </c>
      <c r="L594" s="3">
        <v>66.569999999999993</v>
      </c>
      <c r="M594" s="3">
        <v>33.049999999999997</v>
      </c>
      <c r="N594" s="3">
        <v>26.34</v>
      </c>
      <c r="O594" s="3"/>
      <c r="P594" s="22">
        <v>45882</v>
      </c>
      <c r="Q594" s="22">
        <v>45882</v>
      </c>
      <c r="R594" s="3">
        <v>10.675000000000001</v>
      </c>
    </row>
    <row r="595" spans="1:19" hidden="1" x14ac:dyDescent="0.25">
      <c r="A595" s="12">
        <v>17</v>
      </c>
      <c r="B595" s="12">
        <v>5</v>
      </c>
      <c r="C595" s="12" t="s">
        <v>15</v>
      </c>
      <c r="D595" s="12" t="s">
        <v>46</v>
      </c>
      <c r="E595" s="12" t="s">
        <v>370</v>
      </c>
      <c r="F595" s="12" t="str">
        <f t="shared" si="7"/>
        <v>M_B56</v>
      </c>
      <c r="G595" s="3">
        <v>66.912000000000006</v>
      </c>
      <c r="H595" s="3">
        <f>IFERROR(INDEX('Tagging key'!D:D, MATCH(F595,'Tagging key'!C:C,0)),"")</f>
        <v>88.08</v>
      </c>
      <c r="I595" s="3">
        <f>IFERROR(INDEX('Tagging key'!E:E, MATCH(F595,'Tagging key'!C:C,0)),"")</f>
        <v>47.93</v>
      </c>
      <c r="J595" s="3">
        <f>IFERROR(INDEX('Tagging key'!F:F, MATCH(F595,'Tagging key'!C:C,0)),"")</f>
        <v>31.44</v>
      </c>
      <c r="K595" s="3">
        <v>67.350999999999999</v>
      </c>
      <c r="L595" s="3">
        <v>87.64</v>
      </c>
      <c r="M595" s="3">
        <v>44.8</v>
      </c>
      <c r="N595" s="3">
        <v>34.83</v>
      </c>
      <c r="O595" s="3"/>
      <c r="P595" s="22">
        <v>45877</v>
      </c>
      <c r="Q595" s="22">
        <v>45877</v>
      </c>
      <c r="R595" s="3"/>
    </row>
    <row r="596" spans="1:19" x14ac:dyDescent="0.25">
      <c r="A596" s="12">
        <v>17</v>
      </c>
      <c r="B596" s="12">
        <v>5</v>
      </c>
      <c r="C596" s="12" t="s">
        <v>15</v>
      </c>
      <c r="D596" s="12" t="s">
        <v>46</v>
      </c>
      <c r="E596" s="12" t="s">
        <v>672</v>
      </c>
      <c r="F596" s="12" t="str">
        <f t="shared" si="7"/>
        <v>M_B50</v>
      </c>
      <c r="G596" s="3">
        <v>68.572999999999993</v>
      </c>
      <c r="H596" s="3">
        <f>IFERROR(INDEX('Tagging key'!D:D, MATCH(F596,'Tagging key'!C:C,0)),"")</f>
        <v>88.63</v>
      </c>
      <c r="I596" s="3">
        <f>IFERROR(INDEX('Tagging key'!E:E, MATCH(F596,'Tagging key'!C:C,0)),"")</f>
        <v>41.27</v>
      </c>
      <c r="J596" s="3">
        <f>IFERROR(INDEX('Tagging key'!F:F, MATCH(F596,'Tagging key'!C:C,0)),"")</f>
        <v>31.95</v>
      </c>
      <c r="K596" s="3">
        <v>68.381</v>
      </c>
      <c r="L596" s="3">
        <v>87.89</v>
      </c>
      <c r="M596" s="3">
        <v>40.130000000000003</v>
      </c>
      <c r="N596" s="3">
        <v>33.25</v>
      </c>
      <c r="O596" s="3"/>
      <c r="P596" s="22">
        <v>45882</v>
      </c>
      <c r="Q596" s="22">
        <v>45882</v>
      </c>
      <c r="R596" s="3">
        <v>23.885000000000002</v>
      </c>
    </row>
    <row r="597" spans="1:19" x14ac:dyDescent="0.25">
      <c r="A597" s="19">
        <v>17</v>
      </c>
      <c r="B597" s="19">
        <v>5</v>
      </c>
      <c r="C597" s="19" t="s">
        <v>15</v>
      </c>
      <c r="D597" s="19" t="s">
        <v>46</v>
      </c>
      <c r="E597" s="19" t="s">
        <v>928</v>
      </c>
      <c r="F597" s="19" t="str">
        <f t="shared" si="7"/>
        <v>M_R2</v>
      </c>
      <c r="G597" s="19">
        <v>39.878999999999998</v>
      </c>
      <c r="H597" s="19">
        <f>IFERROR(INDEX('Tagging key'!D:D, MATCH(F597,'Tagging key'!C:C,0)),"")</f>
        <v>73.86</v>
      </c>
      <c r="I597" s="19">
        <f>IFERROR(INDEX('Tagging key'!E:E, MATCH(F597,'Tagging key'!C:C,0)),"")</f>
        <v>39.58</v>
      </c>
      <c r="J597" s="19">
        <f>IFERROR(INDEX('Tagging key'!F:F, MATCH(F597,'Tagging key'!C:C,0)),"")</f>
        <v>28.29</v>
      </c>
      <c r="K597" s="19"/>
      <c r="L597" s="19"/>
      <c r="M597" s="19"/>
      <c r="N597" s="19"/>
      <c r="O597" s="19"/>
      <c r="P597" s="19"/>
      <c r="Q597" s="19"/>
      <c r="R597" s="19"/>
      <c r="S597" t="s">
        <v>929</v>
      </c>
    </row>
    <row r="598" spans="1:19" hidden="1" x14ac:dyDescent="0.25">
      <c r="A598" s="12">
        <v>17</v>
      </c>
      <c r="B598" s="12">
        <v>5</v>
      </c>
      <c r="C598" s="12" t="s">
        <v>15</v>
      </c>
      <c r="D598" s="12" t="s">
        <v>46</v>
      </c>
      <c r="E598" s="12" t="s">
        <v>930</v>
      </c>
      <c r="F598" s="12" t="str">
        <f t="shared" si="7"/>
        <v>M_R81</v>
      </c>
      <c r="G598" s="3">
        <v>46.933</v>
      </c>
      <c r="H598" s="3">
        <f>IFERROR(INDEX('Tagging key'!D:D, MATCH(F598,'Tagging key'!C:C,0)),"")</f>
        <v>74</v>
      </c>
      <c r="I598" s="3">
        <f>IFERROR(INDEX('Tagging key'!E:E, MATCH(F598,'Tagging key'!C:C,0)),"")</f>
        <v>40</v>
      </c>
      <c r="J598" s="3">
        <f>IFERROR(INDEX('Tagging key'!F:F, MATCH(F598,'Tagging key'!C:C,0)),"")</f>
        <v>29</v>
      </c>
      <c r="K598" s="3">
        <v>47.436999999999998</v>
      </c>
      <c r="L598" s="3">
        <v>77.33</v>
      </c>
      <c r="M598" s="3">
        <v>40</v>
      </c>
      <c r="N598" s="3">
        <v>29.76</v>
      </c>
      <c r="O598" s="3"/>
      <c r="P598" s="22">
        <v>45879</v>
      </c>
      <c r="Q598" s="22">
        <v>45879</v>
      </c>
      <c r="R598" s="3"/>
    </row>
    <row r="599" spans="1:19" x14ac:dyDescent="0.25">
      <c r="A599" s="19">
        <v>17</v>
      </c>
      <c r="B599" s="19">
        <v>6</v>
      </c>
      <c r="C599" s="19" t="s">
        <v>15</v>
      </c>
      <c r="D599" s="19" t="s">
        <v>46</v>
      </c>
      <c r="E599" s="19" t="s">
        <v>931</v>
      </c>
      <c r="F599" s="19" t="str">
        <f t="shared" si="7"/>
        <v>M_B29</v>
      </c>
      <c r="G599" s="19">
        <v>32.337000000000003</v>
      </c>
      <c r="H599" s="19">
        <f>IFERROR(INDEX('Tagging key'!D:D, MATCH(F599,'Tagging key'!C:C,0)),"")</f>
        <v>72.08</v>
      </c>
      <c r="I599" s="19">
        <f>IFERROR(INDEX('Tagging key'!E:E, MATCH(F599,'Tagging key'!C:C,0)),"")</f>
        <v>39.11</v>
      </c>
      <c r="J599" s="19">
        <f>IFERROR(INDEX('Tagging key'!F:F, MATCH(F599,'Tagging key'!C:C,0)),"")</f>
        <v>24.53</v>
      </c>
      <c r="K599" s="19">
        <v>23.707999999999998</v>
      </c>
      <c r="L599" s="19">
        <v>71.86</v>
      </c>
      <c r="M599" s="19">
        <v>36.729999999999997</v>
      </c>
      <c r="N599" s="19">
        <v>28</v>
      </c>
      <c r="O599" s="19"/>
      <c r="P599" s="19"/>
      <c r="Q599" s="19"/>
      <c r="R599" s="19"/>
      <c r="S599" t="s">
        <v>932</v>
      </c>
    </row>
    <row r="600" spans="1:19" x14ac:dyDescent="0.25">
      <c r="A600" s="11">
        <v>17</v>
      </c>
      <c r="B600" s="11">
        <v>6</v>
      </c>
      <c r="C600" s="11" t="s">
        <v>15</v>
      </c>
      <c r="D600" s="11" t="s">
        <v>46</v>
      </c>
      <c r="E600" s="11" t="s">
        <v>597</v>
      </c>
      <c r="F600" s="11" t="str">
        <f t="shared" si="7"/>
        <v>M_B9</v>
      </c>
      <c r="G600" s="3">
        <v>31.486999999999998</v>
      </c>
      <c r="H600" s="3">
        <f>IFERROR(INDEX('Tagging key'!D:D, MATCH(F600,'Tagging key'!C:C,0)),"")</f>
        <v>70.09</v>
      </c>
      <c r="I600" s="3">
        <f>IFERROR(INDEX('Tagging key'!E:E, MATCH(F600,'Tagging key'!C:C,0)),"")</f>
        <v>38.18</v>
      </c>
      <c r="J600" s="3">
        <f>IFERROR(INDEX('Tagging key'!F:F, MATCH(F600,'Tagging key'!C:C,0)),"")</f>
        <v>23.98</v>
      </c>
      <c r="K600" s="3">
        <v>32.808999999999997</v>
      </c>
      <c r="L600" s="3">
        <v>70.19</v>
      </c>
      <c r="M600" s="3">
        <v>35.08</v>
      </c>
      <c r="N600" s="3">
        <v>23.21</v>
      </c>
      <c r="O600" s="3"/>
      <c r="P600" s="22">
        <v>45882</v>
      </c>
      <c r="Q600" s="22">
        <v>45882</v>
      </c>
      <c r="R600" s="3">
        <v>11.423999999999999</v>
      </c>
    </row>
    <row r="601" spans="1:19" hidden="1" x14ac:dyDescent="0.25">
      <c r="A601" s="11">
        <v>17</v>
      </c>
      <c r="B601" s="11">
        <v>6</v>
      </c>
      <c r="C601" s="11" t="s">
        <v>15</v>
      </c>
      <c r="D601" s="11" t="s">
        <v>46</v>
      </c>
      <c r="E601" s="11" t="s">
        <v>529</v>
      </c>
      <c r="F601" s="11" t="str">
        <f t="shared" si="7"/>
        <v>M_B7</v>
      </c>
      <c r="G601" s="3">
        <v>33.048000000000002</v>
      </c>
      <c r="H601" s="3">
        <f>IFERROR(INDEX('Tagging key'!D:D, MATCH(F601,'Tagging key'!C:C,0)),"")</f>
        <v>70</v>
      </c>
      <c r="I601" s="3">
        <f>IFERROR(INDEX('Tagging key'!E:E, MATCH(F601,'Tagging key'!C:C,0)),"")</f>
        <v>37</v>
      </c>
      <c r="J601" s="3">
        <f>IFERROR(INDEX('Tagging key'!F:F, MATCH(F601,'Tagging key'!C:C,0)),"")</f>
        <v>24</v>
      </c>
      <c r="K601" s="3">
        <v>33.515000000000001</v>
      </c>
      <c r="L601" s="3">
        <v>70.81</v>
      </c>
      <c r="M601" s="3">
        <v>39.200000000000003</v>
      </c>
      <c r="N601" s="3">
        <v>25.84</v>
      </c>
      <c r="O601" s="3"/>
      <c r="P601" s="22">
        <v>45879</v>
      </c>
      <c r="Q601" s="22">
        <v>45879</v>
      </c>
      <c r="R601" s="3"/>
    </row>
    <row r="602" spans="1:19" hidden="1" x14ac:dyDescent="0.25">
      <c r="A602" s="11">
        <v>17</v>
      </c>
      <c r="B602" s="11">
        <v>6</v>
      </c>
      <c r="C602" s="11" t="s">
        <v>15</v>
      </c>
      <c r="D602" s="11" t="s">
        <v>46</v>
      </c>
      <c r="E602" s="11" t="s">
        <v>602</v>
      </c>
      <c r="F602" s="11" t="str">
        <f t="shared" si="7"/>
        <v>M_B10</v>
      </c>
      <c r="G602" s="3">
        <v>26.882000000000001</v>
      </c>
      <c r="H602" s="3">
        <f>IFERROR(INDEX('Tagging key'!D:D, MATCH(F602,'Tagging key'!C:C,0)),"")</f>
        <v>63.37</v>
      </c>
      <c r="I602" s="3">
        <f>IFERROR(INDEX('Tagging key'!E:E, MATCH(F602,'Tagging key'!C:C,0)),"")</f>
        <v>35.97</v>
      </c>
      <c r="J602" s="3">
        <f>IFERROR(INDEX('Tagging key'!F:F, MATCH(F602,'Tagging key'!C:C,0)),"")</f>
        <v>23.25</v>
      </c>
      <c r="K602" s="3">
        <v>26.686</v>
      </c>
      <c r="L602" s="3">
        <v>63.6</v>
      </c>
      <c r="M602" s="3">
        <v>35.19</v>
      </c>
      <c r="N602" s="3">
        <v>24.4</v>
      </c>
      <c r="O602" s="3"/>
      <c r="P602" s="22">
        <v>45877</v>
      </c>
      <c r="Q602" s="22">
        <v>45877</v>
      </c>
      <c r="R602" s="3"/>
    </row>
    <row r="603" spans="1:19" x14ac:dyDescent="0.25">
      <c r="A603" s="13">
        <v>17</v>
      </c>
      <c r="B603" s="13">
        <v>7</v>
      </c>
      <c r="C603" s="13" t="s">
        <v>15</v>
      </c>
      <c r="D603" s="13" t="s">
        <v>72</v>
      </c>
      <c r="E603" s="13" t="s">
        <v>933</v>
      </c>
      <c r="F603" s="13" t="str">
        <f t="shared" ref="F603:F614" si="8">LEFT(D603,1)&amp;"_"&amp;E603</f>
        <v>S_Y43</v>
      </c>
      <c r="G603" s="3">
        <v>48.603999999999999</v>
      </c>
      <c r="H603" s="3">
        <f>IFERROR(INDEX('Tagging key'!D:D, MATCH(F603,'Tagging key'!C:C,0)),"")</f>
        <v>72</v>
      </c>
      <c r="I603" s="3">
        <f>IFERROR(INDEX('Tagging key'!E:E, MATCH(F603,'Tagging key'!C:C,0)),"")</f>
        <v>73</v>
      </c>
      <c r="J603" s="3">
        <f>IFERROR(INDEX('Tagging key'!F:F, MATCH(F603,'Tagging key'!C:C,0)),"")</f>
        <v>18</v>
      </c>
      <c r="K603" s="3">
        <v>50.183999999999997</v>
      </c>
      <c r="L603" s="3">
        <v>72.989999999999995</v>
      </c>
      <c r="M603" s="3">
        <v>74.23</v>
      </c>
      <c r="N603" s="3">
        <v>19.670000000000002</v>
      </c>
      <c r="O603" s="3"/>
      <c r="P603" s="22">
        <v>45882</v>
      </c>
      <c r="Q603" s="22">
        <v>45882</v>
      </c>
      <c r="R603" s="3">
        <v>22.085000000000001</v>
      </c>
    </row>
    <row r="604" spans="1:19" hidden="1" x14ac:dyDescent="0.25">
      <c r="A604" s="13">
        <v>17</v>
      </c>
      <c r="B604" s="13">
        <v>7</v>
      </c>
      <c r="C604" s="13" t="s">
        <v>15</v>
      </c>
      <c r="D604" s="13" t="s">
        <v>72</v>
      </c>
      <c r="E604" s="13" t="s">
        <v>934</v>
      </c>
      <c r="F604" s="13" t="str">
        <f t="shared" si="8"/>
        <v>S_Y47</v>
      </c>
      <c r="G604" s="3">
        <v>48.819000000000003</v>
      </c>
      <c r="H604" s="3">
        <f>IFERROR(INDEX('Tagging key'!D:D, MATCH(F604,'Tagging key'!C:C,0)),"")</f>
        <v>69.5</v>
      </c>
      <c r="I604" s="3">
        <f>IFERROR(INDEX('Tagging key'!E:E, MATCH(F604,'Tagging key'!C:C,0)),"")</f>
        <v>73</v>
      </c>
      <c r="J604" s="3">
        <f>IFERROR(INDEX('Tagging key'!F:F, MATCH(F604,'Tagging key'!C:C,0)),"")</f>
        <v>18</v>
      </c>
      <c r="K604" s="3">
        <v>46.686999999999998</v>
      </c>
      <c r="L604" s="3">
        <v>71.06</v>
      </c>
      <c r="M604" s="3">
        <v>74.239999999999995</v>
      </c>
      <c r="N604" s="3">
        <v>21.84</v>
      </c>
      <c r="O604" s="3"/>
      <c r="P604" s="22">
        <v>45886</v>
      </c>
      <c r="Q604" s="22">
        <v>45886</v>
      </c>
      <c r="R604" s="3">
        <v>23.039000000000001</v>
      </c>
    </row>
    <row r="605" spans="1:19" hidden="1" x14ac:dyDescent="0.25">
      <c r="A605" s="13">
        <v>17</v>
      </c>
      <c r="B605" s="13">
        <v>7</v>
      </c>
      <c r="C605" s="13" t="s">
        <v>15</v>
      </c>
      <c r="D605" s="13" t="s">
        <v>72</v>
      </c>
      <c r="E605" s="13" t="s">
        <v>935</v>
      </c>
      <c r="F605" s="13" t="str">
        <f t="shared" si="8"/>
        <v>S_W69</v>
      </c>
      <c r="G605" s="3">
        <v>81.835999999999999</v>
      </c>
      <c r="H605" s="3">
        <f>IFERROR(INDEX('Tagging key'!D:D, MATCH(F605,'Tagging key'!C:C,0)),"")</f>
        <v>76</v>
      </c>
      <c r="I605" s="3">
        <f>IFERROR(INDEX('Tagging key'!E:E, MATCH(F605,'Tagging key'!C:C,0)),"")</f>
        <v>84</v>
      </c>
      <c r="J605" s="3">
        <f>IFERROR(INDEX('Tagging key'!F:F, MATCH(F605,'Tagging key'!C:C,0)),"")</f>
        <v>22</v>
      </c>
      <c r="K605" s="3">
        <v>75.781000000000006</v>
      </c>
      <c r="L605" s="3">
        <v>76.16</v>
      </c>
      <c r="M605" s="3">
        <v>85.14</v>
      </c>
      <c r="N605" s="3">
        <v>2.41</v>
      </c>
      <c r="O605" s="3"/>
      <c r="P605" s="22">
        <v>45877</v>
      </c>
      <c r="Q605" s="22">
        <v>45877</v>
      </c>
      <c r="R605" s="3"/>
    </row>
    <row r="606" spans="1:19" hidden="1" x14ac:dyDescent="0.25">
      <c r="A606" s="13">
        <v>17</v>
      </c>
      <c r="B606" s="13">
        <v>7</v>
      </c>
      <c r="C606" s="13" t="s">
        <v>15</v>
      </c>
      <c r="D606" s="13" t="s">
        <v>72</v>
      </c>
      <c r="E606" s="13" t="s">
        <v>936</v>
      </c>
      <c r="F606" s="13" t="str">
        <f t="shared" si="8"/>
        <v>S_W96</v>
      </c>
      <c r="G606" s="3">
        <v>50.012999999999998</v>
      </c>
      <c r="H606" s="3">
        <f>IFERROR(INDEX('Tagging key'!D:D, MATCH(F606,'Tagging key'!C:C,0)),"")</f>
        <v>70</v>
      </c>
      <c r="I606" s="3">
        <f>IFERROR(INDEX('Tagging key'!E:E, MATCH(F606,'Tagging key'!C:C,0)),"")</f>
        <v>74</v>
      </c>
      <c r="J606" s="3">
        <f>IFERROR(INDEX('Tagging key'!F:F, MATCH(F606,'Tagging key'!C:C,0)),"")</f>
        <v>20</v>
      </c>
      <c r="K606" s="3">
        <v>47.231000000000002</v>
      </c>
      <c r="L606" s="3">
        <v>73.58</v>
      </c>
      <c r="M606" s="3">
        <v>75.760000000000005</v>
      </c>
      <c r="N606" s="3">
        <v>19.920000000000002</v>
      </c>
      <c r="O606" s="3"/>
      <c r="P606" s="22">
        <v>45879</v>
      </c>
      <c r="Q606" s="22">
        <v>45879</v>
      </c>
      <c r="R606" s="3"/>
    </row>
    <row r="607" spans="1:19" hidden="1" x14ac:dyDescent="0.25">
      <c r="A607" s="14">
        <v>17</v>
      </c>
      <c r="B607" s="14">
        <v>8</v>
      </c>
      <c r="C607" s="14" t="s">
        <v>15</v>
      </c>
      <c r="D607" s="14" t="s">
        <v>72</v>
      </c>
      <c r="E607" s="14" t="s">
        <v>937</v>
      </c>
      <c r="F607" s="14" t="str">
        <f t="shared" si="8"/>
        <v>S_G54</v>
      </c>
      <c r="G607" s="3">
        <v>50.915999999999997</v>
      </c>
      <c r="H607" s="3">
        <f>IFERROR(INDEX('Tagging key'!D:D, MATCH(F607,'Tagging key'!C:C,0)),"")</f>
        <v>71</v>
      </c>
      <c r="I607" s="3">
        <f>IFERROR(INDEX('Tagging key'!E:E, MATCH(F607,'Tagging key'!C:C,0)),"")</f>
        <v>75</v>
      </c>
      <c r="J607" s="3">
        <f>IFERROR(INDEX('Tagging key'!F:F, MATCH(F607,'Tagging key'!C:C,0)),"")</f>
        <v>20</v>
      </c>
      <c r="K607" s="3">
        <v>45.508000000000003</v>
      </c>
      <c r="L607" s="3">
        <v>71.86</v>
      </c>
      <c r="M607" s="3">
        <v>76.2</v>
      </c>
      <c r="N607" s="3">
        <v>22.08</v>
      </c>
      <c r="O607" s="3"/>
      <c r="P607" s="22">
        <v>45877</v>
      </c>
      <c r="Q607" s="22">
        <v>45877</v>
      </c>
      <c r="R607" s="3"/>
    </row>
    <row r="608" spans="1:19" hidden="1" x14ac:dyDescent="0.25">
      <c r="A608" s="14">
        <v>17</v>
      </c>
      <c r="B608" s="14">
        <v>8</v>
      </c>
      <c r="C608" s="14" t="s">
        <v>15</v>
      </c>
      <c r="D608" s="14" t="s">
        <v>72</v>
      </c>
      <c r="E608" s="14" t="s">
        <v>868</v>
      </c>
      <c r="F608" s="14" t="str">
        <f t="shared" si="8"/>
        <v>S_W2</v>
      </c>
      <c r="G608" s="3">
        <v>44.284999999999997</v>
      </c>
      <c r="H608" s="3">
        <f>IFERROR(INDEX('Tagging key'!D:D, MATCH(F608,'Tagging key'!C:C,0)),"")</f>
        <v>71.13</v>
      </c>
      <c r="I608" s="3">
        <f>IFERROR(INDEX('Tagging key'!E:E, MATCH(F608,'Tagging key'!C:C,0)),"")</f>
        <v>74.25</v>
      </c>
      <c r="J608" s="3">
        <f>IFERROR(INDEX('Tagging key'!F:F, MATCH(F608,'Tagging key'!C:C,0)),"")</f>
        <v>22.66</v>
      </c>
      <c r="K608" s="3">
        <v>46.418999999999997</v>
      </c>
      <c r="L608" s="3">
        <v>71.739999999999995</v>
      </c>
      <c r="M608" s="3">
        <v>73.33</v>
      </c>
      <c r="N608" s="3">
        <v>19.22</v>
      </c>
      <c r="O608" s="3"/>
      <c r="P608" s="22">
        <v>45886</v>
      </c>
      <c r="Q608" s="22">
        <v>45886</v>
      </c>
      <c r="R608" s="3">
        <v>21.045999999999999</v>
      </c>
    </row>
    <row r="609" spans="1:19" x14ac:dyDescent="0.25">
      <c r="A609" s="14">
        <v>17</v>
      </c>
      <c r="B609" s="14">
        <v>8</v>
      </c>
      <c r="C609" s="14" t="s">
        <v>15</v>
      </c>
      <c r="D609" s="14" t="s">
        <v>72</v>
      </c>
      <c r="E609" s="14" t="s">
        <v>938</v>
      </c>
      <c r="F609" s="14" t="str">
        <f t="shared" si="8"/>
        <v>S_Y9B</v>
      </c>
      <c r="G609" s="3">
        <v>55.11</v>
      </c>
      <c r="H609" s="3">
        <f>IFERROR(INDEX('Tagging key'!D:D, MATCH(F609,'Tagging key'!C:C,0)),"")</f>
        <v>73</v>
      </c>
      <c r="I609" s="3">
        <f>IFERROR(INDEX('Tagging key'!E:E, MATCH(F609,'Tagging key'!C:C,0)),"")</f>
        <v>77</v>
      </c>
      <c r="J609" s="3">
        <f>IFERROR(INDEX('Tagging key'!F:F, MATCH(F609,'Tagging key'!C:C,0)),"")</f>
        <v>20</v>
      </c>
      <c r="K609" s="3">
        <v>52.604999999999997</v>
      </c>
      <c r="L609" s="3">
        <v>74.13</v>
      </c>
      <c r="M609" s="3">
        <v>78.430000000000007</v>
      </c>
      <c r="N609" s="3">
        <v>20.49</v>
      </c>
      <c r="O609" s="3"/>
      <c r="P609" s="22">
        <v>45882</v>
      </c>
      <c r="Q609" s="22">
        <v>45882</v>
      </c>
      <c r="R609" s="3"/>
    </row>
    <row r="610" spans="1:19" hidden="1" x14ac:dyDescent="0.25">
      <c r="A610" s="14">
        <v>17</v>
      </c>
      <c r="B610" s="14">
        <v>8</v>
      </c>
      <c r="C610" s="14" t="s">
        <v>15</v>
      </c>
      <c r="D610" s="14" t="s">
        <v>72</v>
      </c>
      <c r="E610" s="14" t="s">
        <v>939</v>
      </c>
      <c r="F610" s="14" t="str">
        <f t="shared" si="8"/>
        <v>S_W87</v>
      </c>
      <c r="G610" s="3">
        <v>49.804000000000002</v>
      </c>
      <c r="H610" s="3">
        <f>IFERROR(INDEX('Tagging key'!D:D, MATCH(F610,'Tagging key'!C:C,0)),"")</f>
        <v>72</v>
      </c>
      <c r="I610" s="3">
        <f>IFERROR(INDEX('Tagging key'!E:E, MATCH(F610,'Tagging key'!C:C,0)),"")</f>
        <v>73</v>
      </c>
      <c r="J610" s="3">
        <f>IFERROR(INDEX('Tagging key'!F:F, MATCH(F610,'Tagging key'!C:C,0)),"")</f>
        <v>18</v>
      </c>
      <c r="K610" s="3">
        <v>45.698</v>
      </c>
      <c r="L610" s="3">
        <v>74.17</v>
      </c>
      <c r="M610" s="3">
        <v>76.010000000000005</v>
      </c>
      <c r="N610" s="3">
        <v>18.86</v>
      </c>
      <c r="O610" s="3"/>
      <c r="P610" s="22">
        <v>45879</v>
      </c>
      <c r="Q610" s="22">
        <v>45879</v>
      </c>
      <c r="R610" s="3"/>
    </row>
    <row r="611" spans="1:19" hidden="1" x14ac:dyDescent="0.25">
      <c r="A611" s="13">
        <v>17</v>
      </c>
      <c r="B611" s="13">
        <v>9</v>
      </c>
      <c r="C611" s="13" t="s">
        <v>15</v>
      </c>
      <c r="D611" s="13" t="s">
        <v>72</v>
      </c>
      <c r="E611" s="13" t="s">
        <v>940</v>
      </c>
      <c r="F611" s="13" t="str">
        <f t="shared" si="8"/>
        <v xml:space="preserve">S_W1 </v>
      </c>
      <c r="G611" s="3">
        <v>62.41</v>
      </c>
      <c r="H611" s="3">
        <f>IFERROR(INDEX('Tagging key'!D:D, MATCH(F611,'Tagging key'!C:C,0)),"")</f>
        <v>76.260000000000005</v>
      </c>
      <c r="I611" s="3">
        <f>IFERROR(INDEX('Tagging key'!E:E, MATCH(F611,'Tagging key'!C:C,0)),"")</f>
        <v>84.47</v>
      </c>
      <c r="J611" s="3">
        <f>IFERROR(INDEX('Tagging key'!F:F, MATCH(F611,'Tagging key'!C:C,0)),"")</f>
        <v>17.53</v>
      </c>
      <c r="K611" s="3">
        <v>64.578999999999994</v>
      </c>
      <c r="L611" s="3">
        <v>78.92</v>
      </c>
      <c r="M611" s="3">
        <v>84.06</v>
      </c>
      <c r="N611" s="3">
        <v>23.7</v>
      </c>
      <c r="O611" s="3"/>
      <c r="P611" s="22">
        <v>45886</v>
      </c>
      <c r="Q611" s="22">
        <v>45886</v>
      </c>
      <c r="R611" s="3"/>
      <c r="S611" t="s">
        <v>941</v>
      </c>
    </row>
    <row r="612" spans="1:19" hidden="1" x14ac:dyDescent="0.25">
      <c r="A612" s="13">
        <v>17</v>
      </c>
      <c r="B612" s="13">
        <v>9</v>
      </c>
      <c r="C612" s="13" t="s">
        <v>15</v>
      </c>
      <c r="D612" s="13" t="s">
        <v>72</v>
      </c>
      <c r="E612" s="13" t="s">
        <v>942</v>
      </c>
      <c r="F612" s="13" t="str">
        <f t="shared" si="8"/>
        <v>S_G29</v>
      </c>
      <c r="G612" s="3">
        <v>57.087000000000003</v>
      </c>
      <c r="H612" s="3">
        <f>IFERROR(INDEX('Tagging key'!D:D, MATCH(F612,'Tagging key'!C:C,0)),"")</f>
        <v>74.61</v>
      </c>
      <c r="I612" s="3">
        <f>IFERROR(INDEX('Tagging key'!E:E, MATCH(F612,'Tagging key'!C:C,0)),"")</f>
        <v>79.31</v>
      </c>
      <c r="J612" s="3">
        <f>IFERROR(INDEX('Tagging key'!F:F, MATCH(F612,'Tagging key'!C:C,0)),"")</f>
        <v>20.09</v>
      </c>
      <c r="K612" s="3">
        <v>52.765999999999998</v>
      </c>
      <c r="L612" s="3">
        <v>73.91</v>
      </c>
      <c r="M612" s="3">
        <v>80.78</v>
      </c>
      <c r="N612" s="3">
        <v>20.82</v>
      </c>
      <c r="O612" s="3"/>
      <c r="P612" s="22">
        <v>45879</v>
      </c>
      <c r="Q612" s="22">
        <v>45879</v>
      </c>
      <c r="R612" s="3"/>
    </row>
    <row r="613" spans="1:19" x14ac:dyDescent="0.25">
      <c r="A613" s="13">
        <v>17</v>
      </c>
      <c r="B613" s="13">
        <v>9</v>
      </c>
      <c r="C613" s="13" t="s">
        <v>15</v>
      </c>
      <c r="D613" s="13" t="s">
        <v>72</v>
      </c>
      <c r="E613" s="13" t="s">
        <v>523</v>
      </c>
      <c r="F613" s="13" t="str">
        <f t="shared" si="8"/>
        <v>S_W3</v>
      </c>
      <c r="G613" s="3">
        <v>69.512</v>
      </c>
      <c r="H613" s="3">
        <f>IFERROR(INDEX('Tagging key'!D:D, MATCH(F613,'Tagging key'!C:C,0)),"")</f>
        <v>78.34</v>
      </c>
      <c r="I613" s="3">
        <f>IFERROR(INDEX('Tagging key'!E:E, MATCH(F613,'Tagging key'!C:C,0)),"")</f>
        <v>83.46</v>
      </c>
      <c r="J613" s="3">
        <f>IFERROR(INDEX('Tagging key'!F:F, MATCH(F613,'Tagging key'!C:C,0)),"")</f>
        <v>24.09</v>
      </c>
      <c r="K613" s="3">
        <v>67.44</v>
      </c>
      <c r="L613" s="3">
        <v>77.03</v>
      </c>
      <c r="M613" s="3">
        <v>82.9</v>
      </c>
      <c r="N613" s="3">
        <v>23.61</v>
      </c>
      <c r="O613" s="3"/>
      <c r="P613" s="22">
        <v>45882</v>
      </c>
      <c r="Q613" s="22">
        <v>45882</v>
      </c>
      <c r="R613" s="3">
        <v>32.253999999999998</v>
      </c>
    </row>
    <row r="614" spans="1:19" hidden="1" x14ac:dyDescent="0.25">
      <c r="A614" s="13">
        <v>17</v>
      </c>
      <c r="B614" s="13">
        <v>9</v>
      </c>
      <c r="C614" s="13" t="s">
        <v>15</v>
      </c>
      <c r="D614" s="13" t="s">
        <v>72</v>
      </c>
      <c r="E614" s="13" t="s">
        <v>943</v>
      </c>
      <c r="F614" s="13" t="str">
        <f t="shared" si="8"/>
        <v xml:space="preserve">S_W5 </v>
      </c>
      <c r="G614" s="3">
        <v>51.304000000000002</v>
      </c>
      <c r="H614" s="3">
        <f>IFERROR(INDEX('Tagging key'!D:D, MATCH(F614,'Tagging key'!C:C,0)),"")</f>
        <v>74.42</v>
      </c>
      <c r="I614" s="3">
        <f>IFERROR(INDEX('Tagging key'!E:E, MATCH(F614,'Tagging key'!C:C,0)),"")</f>
        <v>81.36</v>
      </c>
      <c r="J614" s="3">
        <f>IFERROR(INDEX('Tagging key'!F:F, MATCH(F614,'Tagging key'!C:C,0)),"")</f>
        <v>17.510000000000002</v>
      </c>
      <c r="K614" s="3">
        <v>49.328000000000003</v>
      </c>
      <c r="L614" s="3">
        <v>74.56</v>
      </c>
      <c r="M614" s="3">
        <v>80.739999999999995</v>
      </c>
      <c r="N614" s="3">
        <v>20.62</v>
      </c>
      <c r="O614" s="3"/>
      <c r="P614" s="22">
        <v>45877</v>
      </c>
      <c r="Q614" s="22">
        <v>45877</v>
      </c>
      <c r="R614" s="3"/>
    </row>
    <row r="615" spans="1:19" hidden="1" x14ac:dyDescent="0.25">
      <c r="A615" s="11">
        <v>18</v>
      </c>
      <c r="B615" s="11">
        <v>1</v>
      </c>
      <c r="C615" s="11" t="s">
        <v>248</v>
      </c>
      <c r="D615" s="11" t="s">
        <v>46</v>
      </c>
      <c r="E615" s="11" t="s">
        <v>531</v>
      </c>
      <c r="F615" s="11" t="str">
        <f t="shared" ref="F615:F663" si="9">LEFT(D615,1)&amp;"_"&amp;E615</f>
        <v>M_R36</v>
      </c>
      <c r="G615" s="3">
        <v>34.820999999999998</v>
      </c>
      <c r="H615" s="3">
        <f>IFERROR(INDEX('Tagging key'!D:D, MATCH(F615,'Tagging key'!C:C,0)),"")</f>
        <v>72</v>
      </c>
      <c r="I615" s="3">
        <f>IFERROR(INDEX('Tagging key'!E:E, MATCH(F615,'Tagging key'!C:C,0)),"")</f>
        <v>38</v>
      </c>
      <c r="J615" s="3">
        <f>IFERROR(INDEX('Tagging key'!F:F, MATCH(F615,'Tagging key'!C:C,0)),"")</f>
        <v>24</v>
      </c>
      <c r="K615" s="3">
        <v>34.994999999999997</v>
      </c>
      <c r="L615" s="3">
        <v>73.650000000000006</v>
      </c>
      <c r="M615" s="3">
        <v>37.86</v>
      </c>
      <c r="N615" s="3">
        <v>24.64</v>
      </c>
      <c r="O615" s="3"/>
      <c r="P615" s="22">
        <v>45879</v>
      </c>
      <c r="Q615" s="22">
        <v>45879</v>
      </c>
      <c r="R615" s="3"/>
    </row>
    <row r="616" spans="1:19" hidden="1" x14ac:dyDescent="0.25">
      <c r="A616" s="11">
        <v>18</v>
      </c>
      <c r="B616" s="11">
        <v>1</v>
      </c>
      <c r="C616" s="11" t="s">
        <v>248</v>
      </c>
      <c r="D616" s="11" t="s">
        <v>46</v>
      </c>
      <c r="E616" s="11" t="s">
        <v>451</v>
      </c>
      <c r="F616" s="11" t="str">
        <f t="shared" si="9"/>
        <v>M_R37</v>
      </c>
      <c r="G616" s="3">
        <v>37.03</v>
      </c>
      <c r="H616" s="3">
        <f>IFERROR(INDEX('Tagging key'!D:D, MATCH(F616,'Tagging key'!C:C,0)),"")</f>
        <v>69.77</v>
      </c>
      <c r="I616" s="3">
        <f>IFERROR(INDEX('Tagging key'!E:E, MATCH(F616,'Tagging key'!C:C,0)),"")</f>
        <v>42.73</v>
      </c>
      <c r="J616" s="3">
        <f>IFERROR(INDEX('Tagging key'!F:F, MATCH(F616,'Tagging key'!C:C,0)),"")</f>
        <v>27.27</v>
      </c>
      <c r="K616" s="3">
        <v>37.877000000000002</v>
      </c>
      <c r="L616" s="3">
        <v>69.88</v>
      </c>
      <c r="M616" s="3">
        <v>39.07</v>
      </c>
      <c r="N616" s="3">
        <v>28.27</v>
      </c>
      <c r="O616" s="3"/>
      <c r="P616" s="22">
        <v>45877</v>
      </c>
      <c r="Q616" s="22">
        <v>45877</v>
      </c>
      <c r="R616" s="3"/>
    </row>
    <row r="617" spans="1:19" x14ac:dyDescent="0.25">
      <c r="A617" s="11">
        <v>18</v>
      </c>
      <c r="B617" s="11">
        <v>1</v>
      </c>
      <c r="C617" s="11" t="s">
        <v>248</v>
      </c>
      <c r="D617" s="11" t="s">
        <v>46</v>
      </c>
      <c r="E617" s="11" t="s">
        <v>755</v>
      </c>
      <c r="F617" s="11" t="str">
        <f t="shared" si="9"/>
        <v>M_R93</v>
      </c>
      <c r="G617" s="3">
        <v>28.207999999999998</v>
      </c>
      <c r="H617" s="3">
        <f>IFERROR(INDEX('Tagging key'!D:D, MATCH(F617,'Tagging key'!C:C,0)),"")</f>
        <v>64.430000000000007</v>
      </c>
      <c r="I617" s="3">
        <f>IFERROR(INDEX('Tagging key'!E:E, MATCH(F617,'Tagging key'!C:C,0)),"")</f>
        <v>43.61</v>
      </c>
      <c r="J617" s="3">
        <f>IFERROR(INDEX('Tagging key'!F:F, MATCH(F617,'Tagging key'!C:C,0)),"")</f>
        <v>23.2</v>
      </c>
      <c r="K617" s="3">
        <v>28.875</v>
      </c>
      <c r="L617" s="3">
        <v>64.88</v>
      </c>
      <c r="M617" s="3">
        <v>37.18</v>
      </c>
      <c r="N617" s="3">
        <v>24.15</v>
      </c>
      <c r="O617" s="3"/>
      <c r="P617" s="22">
        <v>45882</v>
      </c>
      <c r="Q617" s="22">
        <v>45882</v>
      </c>
      <c r="R617" s="3">
        <v>9.9039999999999999</v>
      </c>
      <c r="S617" t="s">
        <v>944</v>
      </c>
    </row>
    <row r="618" spans="1:19" hidden="1" x14ac:dyDescent="0.25">
      <c r="A618" s="11">
        <v>18</v>
      </c>
      <c r="B618" s="11">
        <v>1</v>
      </c>
      <c r="C618" s="11" t="s">
        <v>248</v>
      </c>
      <c r="D618" s="11" t="s">
        <v>46</v>
      </c>
      <c r="E618" s="11" t="s">
        <v>447</v>
      </c>
      <c r="F618" s="11" t="str">
        <f t="shared" si="9"/>
        <v>M_R7</v>
      </c>
      <c r="G618" s="3">
        <v>49.256999999999998</v>
      </c>
      <c r="H618" s="3">
        <f>IFERROR(INDEX('Tagging key'!D:D, MATCH(F618,'Tagging key'!C:C,0)),"")</f>
        <v>80.77</v>
      </c>
      <c r="I618" s="3">
        <f>IFERROR(INDEX('Tagging key'!E:E, MATCH(F618,'Tagging key'!C:C,0)),"")</f>
        <v>45.3</v>
      </c>
      <c r="J618" s="3">
        <f>IFERROR(INDEX('Tagging key'!F:F, MATCH(F618,'Tagging key'!C:C,0)),"")</f>
        <v>29.45</v>
      </c>
      <c r="K618" s="3">
        <v>50.216999999999999</v>
      </c>
      <c r="L618" s="3">
        <v>81.14</v>
      </c>
      <c r="M618" s="3">
        <v>41.22</v>
      </c>
      <c r="N618" s="3">
        <v>29.77</v>
      </c>
      <c r="O618" s="3"/>
      <c r="P618" s="22">
        <v>45886</v>
      </c>
      <c r="Q618" s="22">
        <v>45886</v>
      </c>
      <c r="R618" s="3">
        <v>16.375</v>
      </c>
    </row>
    <row r="619" spans="1:19" hidden="1" x14ac:dyDescent="0.25">
      <c r="A619" s="12">
        <v>18</v>
      </c>
      <c r="B619" s="12">
        <v>2</v>
      </c>
      <c r="C619" s="12" t="s">
        <v>248</v>
      </c>
      <c r="D619" s="12" t="s">
        <v>46</v>
      </c>
      <c r="E619" s="12" t="s">
        <v>918</v>
      </c>
      <c r="F619" s="12" t="str">
        <f t="shared" si="9"/>
        <v>M_B73</v>
      </c>
      <c r="G619" s="3">
        <v>34.521999999999998</v>
      </c>
      <c r="H619" s="3">
        <f>IFERROR(INDEX('Tagging key'!D:D, MATCH(F619,'Tagging key'!C:C,0)),"")</f>
        <v>70</v>
      </c>
      <c r="I619" s="3">
        <f>IFERROR(INDEX('Tagging key'!E:E, MATCH(F619,'Tagging key'!C:C,0)),"")</f>
        <v>35</v>
      </c>
      <c r="J619" s="3">
        <f>IFERROR(INDEX('Tagging key'!F:F, MATCH(F619,'Tagging key'!C:C,0)),"")</f>
        <v>26</v>
      </c>
      <c r="K619" s="3">
        <v>35.192999999999998</v>
      </c>
      <c r="L619" s="3">
        <v>70.849999999999994</v>
      </c>
      <c r="M619" s="3">
        <v>37.619999999999997</v>
      </c>
      <c r="N619" s="3">
        <v>27.46</v>
      </c>
      <c r="O619" s="3"/>
      <c r="P619" s="22">
        <v>45877</v>
      </c>
      <c r="Q619" s="22">
        <v>45877</v>
      </c>
      <c r="R619" s="3"/>
    </row>
    <row r="620" spans="1:19" hidden="1" x14ac:dyDescent="0.25">
      <c r="A620" s="12">
        <v>18</v>
      </c>
      <c r="B620" s="12">
        <v>2</v>
      </c>
      <c r="C620" s="12" t="s">
        <v>248</v>
      </c>
      <c r="D620" s="12" t="s">
        <v>46</v>
      </c>
      <c r="E620" s="12" t="s">
        <v>884</v>
      </c>
      <c r="F620" s="12" t="str">
        <f t="shared" si="9"/>
        <v>M_G5</v>
      </c>
      <c r="G620" s="3">
        <v>32.994999999999997</v>
      </c>
      <c r="H620" s="3">
        <f>IFERROR(INDEX('Tagging key'!D:D, MATCH(F620,'Tagging key'!C:C,0)),"")</f>
        <v>67</v>
      </c>
      <c r="I620" s="3">
        <f>IFERROR(INDEX('Tagging key'!E:E, MATCH(F620,'Tagging key'!C:C,0)),"")</f>
        <v>35</v>
      </c>
      <c r="J620" s="3">
        <f>IFERROR(INDEX('Tagging key'!F:F, MATCH(F620,'Tagging key'!C:C,0)),"")</f>
        <v>25</v>
      </c>
      <c r="K620" s="3">
        <v>33.345999999999997</v>
      </c>
      <c r="L620" s="3">
        <v>69.069999999999993</v>
      </c>
      <c r="M620" s="3">
        <v>43.26</v>
      </c>
      <c r="N620" s="3">
        <v>25.8</v>
      </c>
      <c r="O620" s="3"/>
      <c r="P620" s="22">
        <v>45879</v>
      </c>
      <c r="Q620" s="22">
        <v>45879</v>
      </c>
      <c r="R620" s="3"/>
    </row>
    <row r="621" spans="1:19" hidden="1" x14ac:dyDescent="0.25">
      <c r="A621" s="12">
        <v>18</v>
      </c>
      <c r="B621" s="12">
        <v>2</v>
      </c>
      <c r="C621" s="12" t="s">
        <v>248</v>
      </c>
      <c r="D621" s="12" t="s">
        <v>46</v>
      </c>
      <c r="E621" s="12" t="s">
        <v>945</v>
      </c>
      <c r="F621" s="12" t="str">
        <f t="shared" si="9"/>
        <v>M_R32</v>
      </c>
      <c r="G621" s="3">
        <v>44.27</v>
      </c>
      <c r="H621" s="3">
        <f>IFERROR(INDEX('Tagging key'!D:D, MATCH(F621,'Tagging key'!C:C,0)),"")</f>
        <v>75.08</v>
      </c>
      <c r="I621" s="3">
        <f>IFERROR(INDEX('Tagging key'!E:E, MATCH(F621,'Tagging key'!C:C,0)),"")</f>
        <v>46</v>
      </c>
      <c r="J621" s="3">
        <f>IFERROR(INDEX('Tagging key'!F:F, MATCH(F621,'Tagging key'!C:C,0)),"")</f>
        <v>29.77</v>
      </c>
      <c r="K621" s="3">
        <v>45.332000000000001</v>
      </c>
      <c r="L621" s="3">
        <v>75.150000000000006</v>
      </c>
      <c r="M621" s="3">
        <v>40.14</v>
      </c>
      <c r="N621" s="3">
        <v>29.85</v>
      </c>
      <c r="O621" s="3"/>
      <c r="P621" s="22">
        <v>45886</v>
      </c>
      <c r="Q621" s="22">
        <v>45886</v>
      </c>
      <c r="R621" s="3">
        <v>14.621</v>
      </c>
    </row>
    <row r="622" spans="1:19" x14ac:dyDescent="0.25">
      <c r="A622" s="12">
        <v>18</v>
      </c>
      <c r="B622" s="12">
        <v>2</v>
      </c>
      <c r="C622" s="12" t="s">
        <v>248</v>
      </c>
      <c r="D622" s="12" t="s">
        <v>46</v>
      </c>
      <c r="E622" s="12" t="s">
        <v>200</v>
      </c>
      <c r="F622" s="12" t="str">
        <f t="shared" si="9"/>
        <v>M_B97</v>
      </c>
      <c r="G622" s="3">
        <v>34.319000000000003</v>
      </c>
      <c r="H622" s="3">
        <f>IFERROR(INDEX('Tagging key'!D:D, MATCH(F622,'Tagging key'!C:C,0)),"")</f>
        <v>67</v>
      </c>
      <c r="I622" s="3">
        <f>IFERROR(INDEX('Tagging key'!E:E, MATCH(F622,'Tagging key'!C:C,0)),"")</f>
        <v>37</v>
      </c>
      <c r="J622" s="3">
        <f>IFERROR(INDEX('Tagging key'!F:F, MATCH(F622,'Tagging key'!C:C,0)),"")</f>
        <v>26</v>
      </c>
      <c r="K622" s="3">
        <v>34.691000000000003</v>
      </c>
      <c r="L622" s="3">
        <v>67.430000000000007</v>
      </c>
      <c r="M622" s="3">
        <v>37.89</v>
      </c>
      <c r="N622" s="3">
        <v>26.65</v>
      </c>
      <c r="O622" s="3"/>
      <c r="P622" s="22">
        <v>45882</v>
      </c>
      <c r="Q622" s="22">
        <v>45882</v>
      </c>
      <c r="R622" s="3">
        <v>12.77</v>
      </c>
    </row>
    <row r="623" spans="1:19" hidden="1" x14ac:dyDescent="0.25">
      <c r="A623" s="11">
        <v>18</v>
      </c>
      <c r="B623" s="11">
        <v>3</v>
      </c>
      <c r="C623" s="11" t="s">
        <v>248</v>
      </c>
      <c r="D623" s="11" t="s">
        <v>46</v>
      </c>
      <c r="E623" s="11" t="s">
        <v>946</v>
      </c>
      <c r="F623" s="11" t="str">
        <f t="shared" si="9"/>
        <v>M_R95</v>
      </c>
      <c r="G623" s="3">
        <v>23.68</v>
      </c>
      <c r="H623" s="3">
        <f>IFERROR(INDEX('Tagging key'!D:D, MATCH(F623,'Tagging key'!C:C,0)),"")</f>
        <v>65.290000000000006</v>
      </c>
      <c r="I623" s="3">
        <f>IFERROR(INDEX('Tagging key'!E:E, MATCH(F623,'Tagging key'!C:C,0)),"")</f>
        <v>33.729999999999997</v>
      </c>
      <c r="J623" s="3">
        <f>IFERROR(INDEX('Tagging key'!F:F, MATCH(F623,'Tagging key'!C:C,0)),"")</f>
        <v>22.81</v>
      </c>
      <c r="K623" s="3">
        <v>24.504000000000001</v>
      </c>
      <c r="L623" s="3">
        <v>65.67</v>
      </c>
      <c r="M623" s="3">
        <v>31</v>
      </c>
      <c r="N623" s="3">
        <v>24.68</v>
      </c>
      <c r="O623" s="3"/>
      <c r="P623" s="22">
        <v>45879</v>
      </c>
      <c r="Q623" s="22">
        <v>45879</v>
      </c>
      <c r="R623" s="3"/>
    </row>
    <row r="624" spans="1:19" x14ac:dyDescent="0.25">
      <c r="A624" s="11">
        <v>18</v>
      </c>
      <c r="B624" s="11">
        <v>3</v>
      </c>
      <c r="C624" s="11" t="s">
        <v>248</v>
      </c>
      <c r="D624" s="11" t="s">
        <v>46</v>
      </c>
      <c r="E624" s="11" t="s">
        <v>568</v>
      </c>
      <c r="F624" s="11" t="str">
        <f t="shared" si="9"/>
        <v>M_G2</v>
      </c>
      <c r="G624" s="3">
        <v>45.334000000000003</v>
      </c>
      <c r="H624" s="3">
        <f>IFERROR(INDEX('Tagging key'!D:D, MATCH(F624,'Tagging key'!C:C,0)),"")</f>
        <v>71</v>
      </c>
      <c r="I624" s="3">
        <f>IFERROR(INDEX('Tagging key'!E:E, MATCH(F624,'Tagging key'!C:C,0)),"")</f>
        <v>36</v>
      </c>
      <c r="J624" s="3">
        <f>IFERROR(INDEX('Tagging key'!F:F, MATCH(F624,'Tagging key'!C:C,0)),"")</f>
        <v>27</v>
      </c>
      <c r="K624" s="3">
        <v>45.970999999999997</v>
      </c>
      <c r="L624" s="3">
        <v>72.849999999999994</v>
      </c>
      <c r="M624" s="3">
        <v>36.549999999999997</v>
      </c>
      <c r="N624" s="3">
        <v>28.63</v>
      </c>
      <c r="O624" s="3"/>
      <c r="P624" s="22">
        <v>45882</v>
      </c>
      <c r="Q624" s="22">
        <v>45882</v>
      </c>
      <c r="R624" s="3">
        <v>20.050999999999998</v>
      </c>
    </row>
    <row r="625" spans="1:19" x14ac:dyDescent="0.25">
      <c r="A625" s="19">
        <v>18</v>
      </c>
      <c r="B625" s="19">
        <v>3</v>
      </c>
      <c r="C625" s="19" t="s">
        <v>248</v>
      </c>
      <c r="D625" s="19" t="s">
        <v>46</v>
      </c>
      <c r="E625" s="19" t="s">
        <v>840</v>
      </c>
      <c r="F625" s="19" t="str">
        <f t="shared" si="9"/>
        <v>M_B55</v>
      </c>
      <c r="G625" s="19">
        <v>32.923000000000002</v>
      </c>
      <c r="H625" s="19">
        <f>IFERROR(INDEX('Tagging key'!D:D, MATCH(F625,'Tagging key'!C:C,0)),"")</f>
        <v>73.86</v>
      </c>
      <c r="I625" s="19">
        <f>IFERROR(INDEX('Tagging key'!E:E, MATCH(F625,'Tagging key'!C:C,0)),"")</f>
        <v>39.92</v>
      </c>
      <c r="J625" s="19">
        <f>IFERROR(INDEX('Tagging key'!F:F, MATCH(F625,'Tagging key'!C:C,0)),"")</f>
        <v>22.82</v>
      </c>
      <c r="K625" s="19"/>
      <c r="L625" s="19"/>
      <c r="M625" s="19"/>
      <c r="N625" s="19"/>
      <c r="O625" s="19"/>
      <c r="P625" s="19"/>
      <c r="Q625" s="19"/>
      <c r="R625" s="19"/>
      <c r="S625" t="s">
        <v>947</v>
      </c>
    </row>
    <row r="626" spans="1:19" hidden="1" x14ac:dyDescent="0.25">
      <c r="A626" s="11">
        <v>18</v>
      </c>
      <c r="B626" s="11">
        <v>3</v>
      </c>
      <c r="C626" s="11" t="s">
        <v>248</v>
      </c>
      <c r="D626" s="11" t="s">
        <v>46</v>
      </c>
      <c r="E626" s="11" t="s">
        <v>869</v>
      </c>
      <c r="F626" s="11" t="str">
        <f t="shared" si="9"/>
        <v>M_R22</v>
      </c>
      <c r="G626" s="3">
        <v>36.582000000000001</v>
      </c>
      <c r="H626" s="3">
        <f>IFERROR(INDEX('Tagging key'!D:D, MATCH(F626,'Tagging key'!C:C,0)),"")</f>
        <v>71.849999999999994</v>
      </c>
      <c r="I626" s="3">
        <f>IFERROR(INDEX('Tagging key'!E:E, MATCH(F626,'Tagging key'!C:C,0)),"")</f>
        <v>39.22</v>
      </c>
      <c r="J626" s="3">
        <f>IFERROR(INDEX('Tagging key'!F:F, MATCH(F626,'Tagging key'!C:C,0)),"")</f>
        <v>28.36</v>
      </c>
      <c r="K626" s="3">
        <v>37.055999999999997</v>
      </c>
      <c r="L626" s="3">
        <v>73.17</v>
      </c>
      <c r="M626" s="3">
        <v>36.049999999999997</v>
      </c>
      <c r="N626" s="3">
        <v>28.9</v>
      </c>
      <c r="O626" s="3"/>
      <c r="P626" s="22">
        <v>45877</v>
      </c>
      <c r="Q626" s="22">
        <v>45877</v>
      </c>
      <c r="R626" s="3"/>
    </row>
    <row r="627" spans="1:19" hidden="1" x14ac:dyDescent="0.25">
      <c r="A627" s="8">
        <v>18</v>
      </c>
      <c r="B627" s="8">
        <v>4</v>
      </c>
      <c r="C627" s="8" t="s">
        <v>248</v>
      </c>
      <c r="D627" s="8" t="s">
        <v>16</v>
      </c>
      <c r="E627" s="8" t="s">
        <v>948</v>
      </c>
      <c r="F627" s="8" t="str">
        <f t="shared" si="9"/>
        <v>O_W26</v>
      </c>
      <c r="G627" s="3">
        <v>28.143999999999998</v>
      </c>
      <c r="H627" s="3">
        <f>IFERROR(INDEX('Tagging key'!D:D, MATCH(F627,'Tagging key'!C:C,0)),"")</f>
        <v>62.44</v>
      </c>
      <c r="I627" s="3">
        <f>IFERROR(INDEX('Tagging key'!E:E, MATCH(F627,'Tagging key'!C:C,0)),"")</f>
        <v>47.04</v>
      </c>
      <c r="J627" s="3">
        <f>IFERROR(INDEX('Tagging key'!F:F, MATCH(F627,'Tagging key'!C:C,0)),"")</f>
        <v>16.27</v>
      </c>
      <c r="K627" s="3">
        <v>28.003</v>
      </c>
      <c r="L627" s="3">
        <v>62.69</v>
      </c>
      <c r="M627" s="3">
        <v>44.76</v>
      </c>
      <c r="N627" s="3">
        <v>16.96</v>
      </c>
      <c r="O627" s="3"/>
      <c r="P627" s="22">
        <v>45886</v>
      </c>
      <c r="Q627" s="22">
        <v>45886</v>
      </c>
      <c r="R627" s="3">
        <v>17.315000000000001</v>
      </c>
      <c r="S627" t="s">
        <v>920</v>
      </c>
    </row>
    <row r="628" spans="1:19" hidden="1" x14ac:dyDescent="0.25">
      <c r="A628" s="8">
        <v>18</v>
      </c>
      <c r="B628" s="8">
        <v>4</v>
      </c>
      <c r="C628" s="8" t="s">
        <v>248</v>
      </c>
      <c r="D628" s="8" t="s">
        <v>16</v>
      </c>
      <c r="E628" s="8" t="s">
        <v>949</v>
      </c>
      <c r="F628" s="8" t="str">
        <f t="shared" si="9"/>
        <v>O_R23</v>
      </c>
      <c r="G628" s="3">
        <v>30.251999999999999</v>
      </c>
      <c r="H628" s="3">
        <f>IFERROR(INDEX('Tagging key'!D:D, MATCH(F628,'Tagging key'!C:C,0)),"")</f>
        <v>61.89</v>
      </c>
      <c r="I628" s="3">
        <f>IFERROR(INDEX('Tagging key'!E:E, MATCH(F628,'Tagging key'!C:C,0)),"")</f>
        <v>57.9</v>
      </c>
      <c r="J628" s="3">
        <f>IFERROR(INDEX('Tagging key'!F:F, MATCH(F628,'Tagging key'!C:C,0)),"")</f>
        <v>23.35</v>
      </c>
      <c r="K628" s="3">
        <v>29.95</v>
      </c>
      <c r="L628" s="3">
        <v>69.45</v>
      </c>
      <c r="M628" s="3">
        <v>49.47</v>
      </c>
      <c r="N628" s="3">
        <v>18.170000000000002</v>
      </c>
      <c r="O628" s="3"/>
      <c r="P628" s="22">
        <v>45877</v>
      </c>
      <c r="Q628" s="22">
        <v>45877</v>
      </c>
      <c r="R628" s="3"/>
    </row>
    <row r="629" spans="1:19" hidden="1" x14ac:dyDescent="0.25">
      <c r="A629" s="8">
        <v>18</v>
      </c>
      <c r="B629" s="8">
        <v>4</v>
      </c>
      <c r="C629" s="8" t="s">
        <v>248</v>
      </c>
      <c r="D629" s="8" t="s">
        <v>16</v>
      </c>
      <c r="E629" s="8" t="s">
        <v>950</v>
      </c>
      <c r="F629" s="8" t="str">
        <f t="shared" si="9"/>
        <v>O_W11</v>
      </c>
      <c r="G629" s="3">
        <v>30.911999999999999</v>
      </c>
      <c r="H629" s="3">
        <f>IFERROR(INDEX('Tagging key'!D:D, MATCH(F629,'Tagging key'!C:C,0)),"")</f>
        <v>73.47</v>
      </c>
      <c r="I629" s="3">
        <f>IFERROR(INDEX('Tagging key'!E:E, MATCH(F629,'Tagging key'!C:C,0)),"")</f>
        <v>48.5</v>
      </c>
      <c r="J629" s="3">
        <f>IFERROR(INDEX('Tagging key'!F:F, MATCH(F629,'Tagging key'!C:C,0)),"")</f>
        <v>18.46</v>
      </c>
      <c r="K629" s="3">
        <v>30.713999999999999</v>
      </c>
      <c r="L629" s="3">
        <v>74.53</v>
      </c>
      <c r="M629" s="3">
        <v>44.89</v>
      </c>
      <c r="N629" s="3">
        <v>18.489999999999998</v>
      </c>
      <c r="O629" s="3"/>
      <c r="P629" s="22">
        <v>45879</v>
      </c>
      <c r="Q629" s="22">
        <v>45879</v>
      </c>
      <c r="R629" s="3"/>
    </row>
    <row r="630" spans="1:19" x14ac:dyDescent="0.25">
      <c r="A630" s="8">
        <v>18</v>
      </c>
      <c r="B630" s="8">
        <v>4</v>
      </c>
      <c r="C630" s="8" t="s">
        <v>248</v>
      </c>
      <c r="D630" s="8" t="s">
        <v>16</v>
      </c>
      <c r="E630" s="8" t="s">
        <v>951</v>
      </c>
      <c r="F630" s="8" t="str">
        <f t="shared" si="9"/>
        <v>O_W23</v>
      </c>
      <c r="G630" s="3">
        <v>31.408000000000001</v>
      </c>
      <c r="H630" s="3">
        <f>IFERROR(INDEX('Tagging key'!D:D, MATCH(F630,'Tagging key'!C:C,0)),"")</f>
        <v>60.3</v>
      </c>
      <c r="I630" s="3">
        <f>IFERROR(INDEX('Tagging key'!E:E, MATCH(F630,'Tagging key'!C:C,0)),"")</f>
        <v>41.76</v>
      </c>
      <c r="J630" s="3">
        <f>IFERROR(INDEX('Tagging key'!F:F, MATCH(F630,'Tagging key'!C:C,0)),"")</f>
        <v>14.73</v>
      </c>
      <c r="K630" s="3">
        <v>31.443000000000001</v>
      </c>
      <c r="L630" s="3">
        <v>60.1</v>
      </c>
      <c r="M630" s="3">
        <v>41.63</v>
      </c>
      <c r="N630" s="3">
        <v>17.22</v>
      </c>
      <c r="O630" s="3"/>
      <c r="P630" s="22">
        <v>45882</v>
      </c>
      <c r="Q630" s="22">
        <v>45882</v>
      </c>
      <c r="R630" s="3">
        <v>23.14</v>
      </c>
    </row>
    <row r="631" spans="1:19" x14ac:dyDescent="0.25">
      <c r="A631" s="9">
        <v>18</v>
      </c>
      <c r="B631" s="9">
        <v>5</v>
      </c>
      <c r="C631" s="9" t="s">
        <v>248</v>
      </c>
      <c r="D631" s="9" t="s">
        <v>16</v>
      </c>
      <c r="E631" s="9" t="s">
        <v>181</v>
      </c>
      <c r="F631" s="9" t="str">
        <f t="shared" si="9"/>
        <v>O_B36</v>
      </c>
      <c r="G631" s="3">
        <v>24.465</v>
      </c>
      <c r="H631" s="3">
        <f>IFERROR(INDEX('Tagging key'!D:D, MATCH(F631,'Tagging key'!C:C,0)),"")</f>
        <v>64.040000000000006</v>
      </c>
      <c r="I631" s="3">
        <f>IFERROR(INDEX('Tagging key'!E:E, MATCH(F631,'Tagging key'!C:C,0)),"")</f>
        <v>42.84</v>
      </c>
      <c r="J631" s="3">
        <f>IFERROR(INDEX('Tagging key'!F:F, MATCH(F631,'Tagging key'!C:C,0)),"")</f>
        <v>16.260000000000002</v>
      </c>
      <c r="K631" s="3">
        <v>24.361000000000001</v>
      </c>
      <c r="L631" s="3">
        <v>64.38</v>
      </c>
      <c r="M631" s="3">
        <v>38.06</v>
      </c>
      <c r="N631" s="3">
        <v>17.25</v>
      </c>
      <c r="O631" s="3"/>
      <c r="P631" s="22">
        <v>45882</v>
      </c>
      <c r="Q631" s="22">
        <v>45882</v>
      </c>
      <c r="R631" s="3">
        <v>17.588999999999999</v>
      </c>
    </row>
    <row r="632" spans="1:19" hidden="1" x14ac:dyDescent="0.25">
      <c r="A632" s="9">
        <v>18</v>
      </c>
      <c r="B632" s="9">
        <v>5</v>
      </c>
      <c r="C632" s="9" t="s">
        <v>248</v>
      </c>
      <c r="D632" s="9" t="s">
        <v>16</v>
      </c>
      <c r="E632" s="9" t="s">
        <v>587</v>
      </c>
      <c r="F632" s="9" t="str">
        <f>LEFT(D632,1)&amp;"_"&amp;E632</f>
        <v>O_R4</v>
      </c>
      <c r="G632" s="3">
        <v>34.343000000000004</v>
      </c>
      <c r="H632" s="3">
        <f>IFERROR(INDEX('Tagging key'!D:D, MATCH(F632,'Tagging key'!C:C,0)),"")</f>
        <v>68.27</v>
      </c>
      <c r="I632" s="3">
        <f>IFERROR(INDEX('Tagging key'!E:E, MATCH(F632,'Tagging key'!C:C,0)),"")</f>
        <v>41.27</v>
      </c>
      <c r="J632" s="3">
        <f>IFERROR(INDEX('Tagging key'!F:F, MATCH(F632,'Tagging key'!C:C,0)),"")</f>
        <v>20.03</v>
      </c>
      <c r="K632" s="3">
        <v>34.087000000000003</v>
      </c>
      <c r="L632" s="3">
        <v>68.73</v>
      </c>
      <c r="M632" s="3">
        <v>43.4</v>
      </c>
      <c r="N632" s="3">
        <v>20.260000000000002</v>
      </c>
      <c r="O632" s="3"/>
      <c r="P632" s="22">
        <v>45886</v>
      </c>
      <c r="Q632" s="22">
        <v>45886</v>
      </c>
      <c r="R632" s="3">
        <v>25.038</v>
      </c>
    </row>
    <row r="633" spans="1:19" hidden="1" x14ac:dyDescent="0.25">
      <c r="A633" s="9">
        <v>18</v>
      </c>
      <c r="B633" s="9">
        <v>5</v>
      </c>
      <c r="C633" s="9" t="s">
        <v>248</v>
      </c>
      <c r="D633" s="9" t="s">
        <v>16</v>
      </c>
      <c r="E633" s="9" t="s">
        <v>952</v>
      </c>
      <c r="F633" s="9" t="str">
        <f t="shared" si="9"/>
        <v>O_W34</v>
      </c>
      <c r="G633" s="3">
        <v>35.347999999999999</v>
      </c>
      <c r="H633" s="3">
        <f>IFERROR(INDEX('Tagging key'!D:D, MATCH(F633,'Tagging key'!C:C,0)),"")</f>
        <v>59.89</v>
      </c>
      <c r="I633" s="3">
        <f>IFERROR(INDEX('Tagging key'!E:E, MATCH(F633,'Tagging key'!C:C,0)),"")</f>
        <v>48.44</v>
      </c>
      <c r="J633" s="3">
        <f>IFERROR(INDEX('Tagging key'!F:F, MATCH(F633,'Tagging key'!C:C,0)),"")</f>
        <v>21.33</v>
      </c>
      <c r="K633" s="3">
        <v>34.954000000000001</v>
      </c>
      <c r="L633" s="3">
        <v>60.3</v>
      </c>
      <c r="M633" s="3">
        <v>49.57</v>
      </c>
      <c r="N633" s="3">
        <v>24.43</v>
      </c>
      <c r="O633" s="3"/>
      <c r="P633" s="22">
        <v>45879</v>
      </c>
      <c r="Q633" s="22">
        <v>45879</v>
      </c>
      <c r="R633" s="3"/>
    </row>
    <row r="634" spans="1:19" hidden="1" x14ac:dyDescent="0.25">
      <c r="A634" s="9">
        <v>18</v>
      </c>
      <c r="B634" s="9">
        <v>5</v>
      </c>
      <c r="C634" s="9" t="s">
        <v>248</v>
      </c>
      <c r="D634" s="9" t="s">
        <v>16</v>
      </c>
      <c r="E634" s="9" t="s">
        <v>421</v>
      </c>
      <c r="F634" s="9" t="str">
        <f t="shared" si="9"/>
        <v>O_R12</v>
      </c>
      <c r="G634" s="3">
        <v>24.684999999999999</v>
      </c>
      <c r="H634" s="3">
        <f>IFERROR(INDEX('Tagging key'!D:D, MATCH(F634,'Tagging key'!C:C,0)),"")</f>
        <v>65.48</v>
      </c>
      <c r="I634" s="3">
        <f>IFERROR(INDEX('Tagging key'!E:E, MATCH(F634,'Tagging key'!C:C,0)),"")</f>
        <v>44.69</v>
      </c>
      <c r="J634" s="3">
        <f>IFERROR(INDEX('Tagging key'!F:F, MATCH(F634,'Tagging key'!C:C,0)),"")</f>
        <v>16.559999999999999</v>
      </c>
      <c r="K634" s="3">
        <v>24.542000000000002</v>
      </c>
      <c r="L634" s="3">
        <v>66.44</v>
      </c>
      <c r="M634" s="3">
        <v>44.13</v>
      </c>
      <c r="N634" s="3">
        <v>17.55</v>
      </c>
      <c r="O634" s="3"/>
      <c r="P634" s="22">
        <v>45877</v>
      </c>
      <c r="Q634" s="22">
        <v>45877</v>
      </c>
      <c r="R634" s="3"/>
    </row>
    <row r="635" spans="1:19" x14ac:dyDescent="0.25">
      <c r="A635" s="8">
        <v>18</v>
      </c>
      <c r="B635" s="8">
        <v>6</v>
      </c>
      <c r="C635" s="8" t="s">
        <v>248</v>
      </c>
      <c r="D635" s="8" t="s">
        <v>16</v>
      </c>
      <c r="E635" s="8" t="s">
        <v>167</v>
      </c>
      <c r="F635" s="8" t="str">
        <f t="shared" si="9"/>
        <v>O_R58</v>
      </c>
      <c r="G635" s="3">
        <v>30.920999999999999</v>
      </c>
      <c r="H635" s="3">
        <f>IFERROR(INDEX('Tagging key'!D:D, MATCH(F635,'Tagging key'!C:C,0)),"")</f>
        <v>70.23</v>
      </c>
      <c r="I635" s="3">
        <f>IFERROR(INDEX('Tagging key'!E:E, MATCH(F635,'Tagging key'!C:C,0)),"")</f>
        <v>40.1</v>
      </c>
      <c r="J635" s="3">
        <f>IFERROR(INDEX('Tagging key'!F:F, MATCH(F635,'Tagging key'!C:C,0)),"")</f>
        <v>18.07</v>
      </c>
      <c r="K635" s="3">
        <v>30.538</v>
      </c>
      <c r="L635" s="3">
        <v>69.48</v>
      </c>
      <c r="M635" s="3">
        <v>39.799999999999997</v>
      </c>
      <c r="N635" s="3">
        <v>19.98</v>
      </c>
      <c r="O635" s="3"/>
      <c r="P635" s="22">
        <v>45882</v>
      </c>
      <c r="Q635" s="22">
        <v>45882</v>
      </c>
      <c r="R635" s="3">
        <v>21.405000000000001</v>
      </c>
    </row>
    <row r="636" spans="1:19" hidden="1" x14ac:dyDescent="0.25">
      <c r="A636" s="8">
        <v>18</v>
      </c>
      <c r="B636" s="8">
        <v>6</v>
      </c>
      <c r="C636" s="8" t="s">
        <v>248</v>
      </c>
      <c r="D636" s="8" t="s">
        <v>16</v>
      </c>
      <c r="E636" s="8" t="s">
        <v>953</v>
      </c>
      <c r="F636" s="8" t="str">
        <f t="shared" si="9"/>
        <v>O_W47</v>
      </c>
      <c r="G636" s="3">
        <v>20.187999999999999</v>
      </c>
      <c r="H636" s="3">
        <f>IFERROR(INDEX('Tagging key'!D:D, MATCH(F636,'Tagging key'!C:C,0)),"")</f>
        <v>62</v>
      </c>
      <c r="I636" s="3">
        <f>IFERROR(INDEX('Tagging key'!E:E, MATCH(F636,'Tagging key'!C:C,0)),"")</f>
        <v>38.14</v>
      </c>
      <c r="J636" s="3">
        <f>IFERROR(INDEX('Tagging key'!F:F, MATCH(F636,'Tagging key'!C:C,0)),"")</f>
        <v>16.510000000000002</v>
      </c>
      <c r="K636" s="3">
        <v>20.074000000000002</v>
      </c>
      <c r="L636" s="3">
        <v>63.25</v>
      </c>
      <c r="M636" s="3">
        <v>36.72</v>
      </c>
      <c r="N636" s="3">
        <v>17.7</v>
      </c>
      <c r="O636" s="3"/>
      <c r="P636" s="22">
        <v>45879</v>
      </c>
      <c r="Q636" s="22">
        <v>45879</v>
      </c>
      <c r="R636" s="3"/>
    </row>
    <row r="637" spans="1:19" hidden="1" x14ac:dyDescent="0.25">
      <c r="A637" s="8">
        <v>18</v>
      </c>
      <c r="B637" s="8">
        <v>6</v>
      </c>
      <c r="C637" s="8" t="s">
        <v>248</v>
      </c>
      <c r="D637" s="8" t="s">
        <v>16</v>
      </c>
      <c r="E637" s="8" t="s">
        <v>945</v>
      </c>
      <c r="F637" s="8" t="str">
        <f t="shared" si="9"/>
        <v>O_R32</v>
      </c>
      <c r="G637" s="3">
        <v>33.725000000000001</v>
      </c>
      <c r="H637" s="3">
        <f>IFERROR(INDEX('Tagging key'!D:D, MATCH(F637,'Tagging key'!C:C,0)),"")</f>
        <v>64.459999999999994</v>
      </c>
      <c r="I637" s="3">
        <f>IFERROR(INDEX('Tagging key'!E:E, MATCH(F637,'Tagging key'!C:C,0)),"")</f>
        <v>55.48</v>
      </c>
      <c r="J637" s="3">
        <f>IFERROR(INDEX('Tagging key'!F:F, MATCH(F637,'Tagging key'!C:C,0)),"")</f>
        <v>17.920000000000002</v>
      </c>
      <c r="K637" s="3">
        <v>33.374000000000002</v>
      </c>
      <c r="L637" s="3">
        <v>65.430000000000007</v>
      </c>
      <c r="M637" s="3">
        <v>47.15</v>
      </c>
      <c r="N637" s="3">
        <v>18.18</v>
      </c>
      <c r="O637" s="3"/>
      <c r="P637" s="22">
        <v>45886</v>
      </c>
      <c r="Q637" s="22">
        <v>45886</v>
      </c>
      <c r="R637" s="3">
        <v>22.366</v>
      </c>
    </row>
    <row r="638" spans="1:19" hidden="1" x14ac:dyDescent="0.25">
      <c r="A638" s="8">
        <v>18</v>
      </c>
      <c r="B638" s="8">
        <v>6</v>
      </c>
      <c r="C638" s="8" t="s">
        <v>248</v>
      </c>
      <c r="D638" s="8" t="s">
        <v>16</v>
      </c>
      <c r="E638" s="8" t="s">
        <v>194</v>
      </c>
      <c r="F638" s="8" t="str">
        <f t="shared" si="9"/>
        <v>O_R92</v>
      </c>
      <c r="G638" s="3">
        <v>38.645000000000003</v>
      </c>
      <c r="H638" s="3">
        <f>IFERROR(INDEX('Tagging key'!D:D, MATCH(F638,'Tagging key'!C:C,0)),"")</f>
        <v>71.09</v>
      </c>
      <c r="I638" s="3">
        <f>IFERROR(INDEX('Tagging key'!E:E, MATCH(F638,'Tagging key'!C:C,0)),"")</f>
        <v>44.23</v>
      </c>
      <c r="J638" s="3">
        <f>IFERROR(INDEX('Tagging key'!F:F, MATCH(F638,'Tagging key'!C:C,0)),"")</f>
        <v>16.79</v>
      </c>
      <c r="K638" s="3">
        <v>38.404000000000003</v>
      </c>
      <c r="L638" s="3">
        <v>70.08</v>
      </c>
      <c r="M638" s="3">
        <v>44.69</v>
      </c>
      <c r="N638" s="3">
        <v>11.45</v>
      </c>
      <c r="O638" s="3"/>
      <c r="P638" s="22">
        <v>45877</v>
      </c>
      <c r="Q638" s="22">
        <v>45877</v>
      </c>
      <c r="R638" s="3"/>
    </row>
    <row r="639" spans="1:19" hidden="1" x14ac:dyDescent="0.25">
      <c r="A639" s="13">
        <v>18</v>
      </c>
      <c r="B639" s="13">
        <v>7</v>
      </c>
      <c r="C639" s="13" t="s">
        <v>248</v>
      </c>
      <c r="D639" s="13" t="s">
        <v>72</v>
      </c>
      <c r="E639" s="13" t="s">
        <v>475</v>
      </c>
      <c r="F639" s="13" t="str">
        <f t="shared" si="9"/>
        <v>S_G12</v>
      </c>
      <c r="G639" s="3">
        <v>56.671999999999997</v>
      </c>
      <c r="H639" s="3">
        <f>IFERROR(INDEX('Tagging key'!D:D, MATCH(F639,'Tagging key'!C:C,0)),"")</f>
        <v>70.66</v>
      </c>
      <c r="I639" s="3">
        <f>IFERROR(INDEX('Tagging key'!E:E, MATCH(F639,'Tagging key'!C:C,0)),"")</f>
        <v>77.69</v>
      </c>
      <c r="J639" s="3">
        <f>IFERROR(INDEX('Tagging key'!F:F, MATCH(F639,'Tagging key'!C:C,0)),"")</f>
        <v>19.11</v>
      </c>
      <c r="K639" s="3">
        <v>52.247999999999998</v>
      </c>
      <c r="L639" s="3">
        <v>73.58</v>
      </c>
      <c r="M639" s="3">
        <v>80.66</v>
      </c>
      <c r="N639" s="3">
        <v>20.03</v>
      </c>
      <c r="O639" s="3"/>
      <c r="P639" s="22">
        <v>45879</v>
      </c>
      <c r="Q639" s="22">
        <v>45879</v>
      </c>
      <c r="R639" s="3"/>
    </row>
    <row r="640" spans="1:19" x14ac:dyDescent="0.25">
      <c r="A640" s="13">
        <v>18</v>
      </c>
      <c r="B640" s="13">
        <v>7</v>
      </c>
      <c r="C640" s="13" t="s">
        <v>248</v>
      </c>
      <c r="D640" s="13" t="s">
        <v>72</v>
      </c>
      <c r="E640" s="13" t="s">
        <v>954</v>
      </c>
      <c r="F640" s="13" t="str">
        <f t="shared" si="9"/>
        <v>S_G73</v>
      </c>
      <c r="G640" s="3">
        <v>43.182000000000002</v>
      </c>
      <c r="H640" s="3">
        <f>IFERROR(INDEX('Tagging key'!D:D, MATCH(F640,'Tagging key'!C:C,0)),"")</f>
        <v>63</v>
      </c>
      <c r="I640" s="3">
        <f>IFERROR(INDEX('Tagging key'!E:E, MATCH(F640,'Tagging key'!C:C,0)),"")</f>
        <v>71</v>
      </c>
      <c r="J640" s="3">
        <f>IFERROR(INDEX('Tagging key'!F:F, MATCH(F640,'Tagging key'!C:C,0)),"")</f>
        <v>18</v>
      </c>
      <c r="K640" s="3">
        <v>42.037999999999997</v>
      </c>
      <c r="L640" s="3">
        <v>64.41</v>
      </c>
      <c r="M640" s="3">
        <v>72.42</v>
      </c>
      <c r="N640" s="3">
        <v>19.13</v>
      </c>
      <c r="O640" s="3"/>
      <c r="P640" s="22">
        <v>45882</v>
      </c>
      <c r="Q640" s="22">
        <v>45882</v>
      </c>
      <c r="R640" s="3">
        <v>19.143999999999998</v>
      </c>
    </row>
    <row r="641" spans="1:19" hidden="1" x14ac:dyDescent="0.25">
      <c r="A641" s="13">
        <v>18</v>
      </c>
      <c r="B641" s="13">
        <v>7</v>
      </c>
      <c r="C641" s="13" t="s">
        <v>248</v>
      </c>
      <c r="D641" s="13" t="s">
        <v>72</v>
      </c>
      <c r="E641" s="13" t="s">
        <v>955</v>
      </c>
      <c r="F641" s="13" t="str">
        <f t="shared" si="9"/>
        <v>S_Y1</v>
      </c>
      <c r="G641" s="3">
        <v>57.280999999999999</v>
      </c>
      <c r="H641" s="3">
        <f>IFERROR(INDEX('Tagging key'!D:D, MATCH(F641,'Tagging key'!C:C,0)),"")</f>
        <v>76.66</v>
      </c>
      <c r="I641" s="3">
        <f>IFERROR(INDEX('Tagging key'!E:E, MATCH(F641,'Tagging key'!C:C,0)),"")</f>
        <v>80.23</v>
      </c>
      <c r="J641" s="3">
        <f>IFERROR(INDEX('Tagging key'!F:F, MATCH(F641,'Tagging key'!C:C,0)),"")</f>
        <v>18.309999999999999</v>
      </c>
      <c r="K641" s="3">
        <v>52.484000000000002</v>
      </c>
      <c r="L641" s="3">
        <v>78.98</v>
      </c>
      <c r="M641" s="3">
        <v>81.93</v>
      </c>
      <c r="N641" s="3">
        <v>19.829999999999998</v>
      </c>
      <c r="O641" s="3"/>
      <c r="P641" s="22">
        <v>45877</v>
      </c>
      <c r="Q641" s="22">
        <v>45877</v>
      </c>
      <c r="R641" s="3"/>
      <c r="S641" t="s">
        <v>956</v>
      </c>
    </row>
    <row r="642" spans="1:19" hidden="1" x14ac:dyDescent="0.25">
      <c r="A642" s="13">
        <v>18</v>
      </c>
      <c r="B642" s="13">
        <v>7</v>
      </c>
      <c r="C642" s="13" t="s">
        <v>248</v>
      </c>
      <c r="D642" s="13" t="s">
        <v>72</v>
      </c>
      <c r="E642" s="13" t="s">
        <v>957</v>
      </c>
      <c r="F642" s="13" t="str">
        <f t="shared" si="9"/>
        <v>S_G76</v>
      </c>
      <c r="G642" s="3">
        <v>45.454999999999998</v>
      </c>
      <c r="H642" s="3">
        <f>IFERROR(INDEX('Tagging key'!D:D, MATCH(F642,'Tagging key'!C:C,0)),"")</f>
        <v>73</v>
      </c>
      <c r="I642" s="3">
        <f>IFERROR(INDEX('Tagging key'!E:E, MATCH(F642,'Tagging key'!C:C,0)),"")</f>
        <v>73</v>
      </c>
      <c r="J642" s="3">
        <f>IFERROR(INDEX('Tagging key'!F:F, MATCH(F642,'Tagging key'!C:C,0)),"")</f>
        <v>18</v>
      </c>
      <c r="K642" s="3">
        <v>40.890999999999998</v>
      </c>
      <c r="L642" s="3">
        <v>72.459999999999994</v>
      </c>
      <c r="M642" s="3">
        <v>74.599999999999994</v>
      </c>
      <c r="N642" s="3">
        <v>19.16</v>
      </c>
      <c r="O642" s="3"/>
      <c r="P642" s="22">
        <v>45886</v>
      </c>
      <c r="Q642" s="22">
        <v>45886</v>
      </c>
      <c r="R642" s="3">
        <v>27.908999999999999</v>
      </c>
      <c r="S642" s="3">
        <v>17.335000000000001</v>
      </c>
    </row>
    <row r="643" spans="1:19" hidden="1" x14ac:dyDescent="0.25">
      <c r="A643" s="14">
        <v>18</v>
      </c>
      <c r="B643" s="14">
        <v>8</v>
      </c>
      <c r="C643" s="14" t="s">
        <v>248</v>
      </c>
      <c r="D643" s="14" t="s">
        <v>72</v>
      </c>
      <c r="E643" s="14" t="s">
        <v>809</v>
      </c>
      <c r="F643" s="14" t="str">
        <f t="shared" si="9"/>
        <v>S_G14</v>
      </c>
      <c r="G643" s="3">
        <v>49.314999999999998</v>
      </c>
      <c r="H643" s="3">
        <f>IFERROR(INDEX('Tagging key'!D:D, MATCH(F643,'Tagging key'!C:C,0)),"")</f>
        <v>71.86</v>
      </c>
      <c r="I643" s="3">
        <f>IFERROR(INDEX('Tagging key'!E:E, MATCH(F643,'Tagging key'!C:C,0)),"")</f>
        <v>75.09</v>
      </c>
      <c r="J643" s="3">
        <f>IFERROR(INDEX('Tagging key'!F:F, MATCH(F643,'Tagging key'!C:C,0)),"")</f>
        <v>18.489999999999998</v>
      </c>
      <c r="K643" s="3">
        <v>46.75</v>
      </c>
      <c r="L643" s="3">
        <v>72.510000000000005</v>
      </c>
      <c r="M643" s="3">
        <v>75.569999999999993</v>
      </c>
      <c r="N643" s="3">
        <v>18.93</v>
      </c>
      <c r="O643" s="3"/>
      <c r="P643" s="22">
        <v>45877</v>
      </c>
      <c r="Q643" s="22">
        <v>45877</v>
      </c>
      <c r="R643" s="3"/>
    </row>
    <row r="644" spans="1:19" x14ac:dyDescent="0.25">
      <c r="A644" s="14">
        <v>18</v>
      </c>
      <c r="B644" s="14">
        <v>8</v>
      </c>
      <c r="C644" s="14" t="s">
        <v>248</v>
      </c>
      <c r="D644" s="14" t="s">
        <v>72</v>
      </c>
      <c r="E644" s="14" t="s">
        <v>908</v>
      </c>
      <c r="F644" s="14" t="str">
        <f t="shared" si="9"/>
        <v>S_G19</v>
      </c>
      <c r="G644" s="3">
        <v>64.754999999999995</v>
      </c>
      <c r="H644" s="3">
        <f>IFERROR(INDEX('Tagging key'!D:D, MATCH(F644,'Tagging key'!C:C,0)),"")</f>
        <v>72.489999999999995</v>
      </c>
      <c r="I644" s="3">
        <f>IFERROR(INDEX('Tagging key'!E:E, MATCH(F644,'Tagging key'!C:C,0)),"")</f>
        <v>78.56</v>
      </c>
      <c r="J644" s="3">
        <f>IFERROR(INDEX('Tagging key'!F:F, MATCH(F644,'Tagging key'!C:C,0)),"")</f>
        <v>20.81</v>
      </c>
      <c r="K644" s="3">
        <v>62.296999999999997</v>
      </c>
      <c r="L644" s="3">
        <v>73.010000000000005</v>
      </c>
      <c r="M644" s="3">
        <v>79.540000000000006</v>
      </c>
      <c r="N644" s="3">
        <v>22.63</v>
      </c>
      <c r="O644" s="3"/>
      <c r="P644" s="22">
        <v>45882</v>
      </c>
      <c r="Q644" s="22">
        <v>45882</v>
      </c>
      <c r="R644" s="3">
        <v>28.001000000000001</v>
      </c>
    </row>
    <row r="645" spans="1:19" hidden="1" x14ac:dyDescent="0.25">
      <c r="A645" s="14">
        <v>18</v>
      </c>
      <c r="B645" s="14">
        <v>8</v>
      </c>
      <c r="C645" s="14" t="s">
        <v>248</v>
      </c>
      <c r="D645" s="14" t="s">
        <v>72</v>
      </c>
      <c r="E645" s="14" t="s">
        <v>958</v>
      </c>
      <c r="F645" s="14" t="str">
        <f t="shared" si="9"/>
        <v>S_W72</v>
      </c>
      <c r="G645" s="3">
        <v>60.183</v>
      </c>
      <c r="H645" s="3">
        <f>IFERROR(INDEX('Tagging key'!D:D, MATCH(F645,'Tagging key'!C:C,0)),"")</f>
        <v>72</v>
      </c>
      <c r="I645" s="3">
        <f>IFERROR(INDEX('Tagging key'!E:E, MATCH(F645,'Tagging key'!C:C,0)),"")</f>
        <v>77</v>
      </c>
      <c r="J645" s="3">
        <f>IFERROR(INDEX('Tagging key'!F:F, MATCH(F645,'Tagging key'!C:C,0)),"")</f>
        <v>20</v>
      </c>
      <c r="K645" s="3">
        <v>58.884999999999998</v>
      </c>
      <c r="L645" s="3">
        <v>72.040000000000006</v>
      </c>
      <c r="M645" s="3">
        <v>79.98</v>
      </c>
      <c r="N645" s="3">
        <v>22.75</v>
      </c>
      <c r="O645" s="3"/>
      <c r="P645" s="22">
        <v>45886</v>
      </c>
      <c r="Q645" s="22">
        <v>45886</v>
      </c>
      <c r="R645" s="3">
        <v>28.177</v>
      </c>
    </row>
    <row r="646" spans="1:19" hidden="1" x14ac:dyDescent="0.25">
      <c r="A646" s="14">
        <v>18</v>
      </c>
      <c r="B646" s="14">
        <v>8</v>
      </c>
      <c r="C646" s="14" t="s">
        <v>248</v>
      </c>
      <c r="D646" s="14" t="s">
        <v>72</v>
      </c>
      <c r="E646" s="14" t="s">
        <v>959</v>
      </c>
      <c r="F646" s="14" t="str">
        <f t="shared" si="9"/>
        <v>S_W98B</v>
      </c>
      <c r="G646" s="3">
        <v>66.027000000000001</v>
      </c>
      <c r="H646" s="3">
        <f>IFERROR(INDEX('Tagging key'!D:D, MATCH(F646,'Tagging key'!C:C,0)),"")</f>
        <v>78</v>
      </c>
      <c r="I646" s="3">
        <f>IFERROR(INDEX('Tagging key'!E:E, MATCH(F646,'Tagging key'!C:C,0)),"")</f>
        <v>80.5</v>
      </c>
      <c r="J646" s="3">
        <f>IFERROR(INDEX('Tagging key'!F:F, MATCH(F646,'Tagging key'!C:C,0)),"")</f>
        <v>22</v>
      </c>
      <c r="K646" s="3">
        <v>59.377000000000002</v>
      </c>
      <c r="L646" s="3">
        <v>79.430000000000007</v>
      </c>
      <c r="M646" s="3">
        <v>80.650000000000006</v>
      </c>
      <c r="N646" s="3">
        <v>23.54</v>
      </c>
      <c r="O646" s="3"/>
      <c r="P646" s="22">
        <v>45879</v>
      </c>
      <c r="Q646" s="22">
        <v>45879</v>
      </c>
      <c r="R646" s="3"/>
    </row>
    <row r="647" spans="1:19" hidden="1" x14ac:dyDescent="0.25">
      <c r="A647" s="13">
        <v>18</v>
      </c>
      <c r="B647" s="13">
        <v>9</v>
      </c>
      <c r="C647" s="13" t="s">
        <v>248</v>
      </c>
      <c r="D647" s="13" t="s">
        <v>72</v>
      </c>
      <c r="E647" s="13" t="s">
        <v>960</v>
      </c>
      <c r="F647" s="13" t="str">
        <f t="shared" si="9"/>
        <v>S_Y100</v>
      </c>
      <c r="G647" s="3">
        <v>58.515999999999998</v>
      </c>
      <c r="H647" s="3">
        <f>IFERROR(INDEX('Tagging key'!D:D, MATCH(F647,'Tagging key'!C:C,0)),"")</f>
        <v>75</v>
      </c>
      <c r="I647" s="3">
        <f>IFERROR(INDEX('Tagging key'!E:E, MATCH(F647,'Tagging key'!C:C,0)),"")</f>
        <v>80</v>
      </c>
      <c r="J647" s="3">
        <f>IFERROR(INDEX('Tagging key'!F:F, MATCH(F647,'Tagging key'!C:C,0)),"")</f>
        <v>20</v>
      </c>
      <c r="K647" s="3">
        <v>57.624000000000002</v>
      </c>
      <c r="L647" s="3">
        <v>75.61</v>
      </c>
      <c r="M647" s="3">
        <v>80.73</v>
      </c>
      <c r="N647" s="3">
        <v>21.26</v>
      </c>
      <c r="O647" s="3"/>
      <c r="P647" s="22">
        <v>45879</v>
      </c>
      <c r="Q647" s="22">
        <v>45879</v>
      </c>
      <c r="R647" s="3"/>
    </row>
    <row r="648" spans="1:19" x14ac:dyDescent="0.25">
      <c r="A648" s="13">
        <v>18</v>
      </c>
      <c r="B648" s="13">
        <v>9</v>
      </c>
      <c r="C648" s="13" t="s">
        <v>248</v>
      </c>
      <c r="D648" s="13" t="s">
        <v>72</v>
      </c>
      <c r="E648" s="13" t="s">
        <v>961</v>
      </c>
      <c r="F648" s="13" t="str">
        <f t="shared" si="9"/>
        <v>S_Y34</v>
      </c>
      <c r="G648" s="3">
        <v>71.872</v>
      </c>
      <c r="H648" s="3">
        <f>IFERROR(INDEX('Tagging key'!D:D, MATCH(F648,'Tagging key'!C:C,0)),"")</f>
        <v>75.5</v>
      </c>
      <c r="I648" s="3">
        <f>IFERROR(INDEX('Tagging key'!E:E, MATCH(F648,'Tagging key'!C:C,0)),"")</f>
        <v>81</v>
      </c>
      <c r="J648" s="3">
        <f>IFERROR(INDEX('Tagging key'!F:F, MATCH(F648,'Tagging key'!C:C,0)),"")</f>
        <v>23</v>
      </c>
      <c r="K648" s="3">
        <v>67.905000000000001</v>
      </c>
      <c r="L648" s="3">
        <v>76.67</v>
      </c>
      <c r="M648" s="3">
        <v>82.21</v>
      </c>
      <c r="N648" s="3">
        <v>23.54</v>
      </c>
      <c r="O648" s="3"/>
      <c r="P648" s="22">
        <v>45882</v>
      </c>
      <c r="Q648" s="22">
        <v>45882</v>
      </c>
      <c r="R648" s="3">
        <v>32.902000000000001</v>
      </c>
    </row>
    <row r="649" spans="1:19" hidden="1" x14ac:dyDescent="0.25">
      <c r="A649" s="13">
        <v>18</v>
      </c>
      <c r="B649" s="13">
        <v>9</v>
      </c>
      <c r="C649" s="13" t="s">
        <v>248</v>
      </c>
      <c r="D649" s="13" t="s">
        <v>72</v>
      </c>
      <c r="E649" s="13" t="s">
        <v>962</v>
      </c>
      <c r="F649" s="13" t="str">
        <f t="shared" si="9"/>
        <v>S_Y25</v>
      </c>
      <c r="G649" s="3">
        <v>46.802</v>
      </c>
      <c r="H649" s="3">
        <f>IFERROR(INDEX('Tagging key'!D:D, MATCH(F649,'Tagging key'!C:C,0)),"")</f>
        <v>71.5</v>
      </c>
      <c r="I649" s="3">
        <f>IFERROR(INDEX('Tagging key'!E:E, MATCH(F649,'Tagging key'!C:C,0)),"")</f>
        <v>72.5</v>
      </c>
      <c r="J649" s="3">
        <f>IFERROR(INDEX('Tagging key'!F:F, MATCH(F649,'Tagging key'!C:C,0)),"")</f>
        <v>18</v>
      </c>
      <c r="K649" s="3">
        <v>45.000999999999998</v>
      </c>
      <c r="L649" s="3">
        <v>68.92</v>
      </c>
      <c r="M649" s="3">
        <v>68.87</v>
      </c>
      <c r="N649" s="3">
        <v>15.09</v>
      </c>
      <c r="O649" s="3"/>
      <c r="P649" s="22">
        <v>45877</v>
      </c>
      <c r="Q649" s="22">
        <v>45877</v>
      </c>
      <c r="R649" s="3"/>
    </row>
    <row r="650" spans="1:19" hidden="1" x14ac:dyDescent="0.25">
      <c r="A650" s="13">
        <v>18</v>
      </c>
      <c r="B650" s="13">
        <v>9</v>
      </c>
      <c r="C650" s="13" t="s">
        <v>248</v>
      </c>
      <c r="D650" s="13" t="s">
        <v>72</v>
      </c>
      <c r="E650" s="13" t="s">
        <v>963</v>
      </c>
      <c r="F650" s="13" t="str">
        <f t="shared" si="9"/>
        <v>S_G84</v>
      </c>
      <c r="G650" s="3">
        <v>53.701999999999998</v>
      </c>
      <c r="H650" s="3">
        <f>IFERROR(INDEX('Tagging key'!D:D, MATCH(F650,'Tagging key'!C:C,0)),"")</f>
        <v>74</v>
      </c>
      <c r="I650" s="3">
        <f>IFERROR(INDEX('Tagging key'!E:E, MATCH(F650,'Tagging key'!C:C,0)),"")</f>
        <v>77</v>
      </c>
      <c r="J650" s="3">
        <f>IFERROR(INDEX('Tagging key'!F:F, MATCH(F650,'Tagging key'!C:C,0)),"")</f>
        <v>18</v>
      </c>
      <c r="K650" s="3">
        <v>49.198999999999998</v>
      </c>
      <c r="L650" s="3">
        <v>75</v>
      </c>
      <c r="M650" s="3">
        <v>76.86</v>
      </c>
      <c r="N650" s="3">
        <v>20.38</v>
      </c>
      <c r="O650" s="3"/>
      <c r="P650" s="22">
        <v>45886</v>
      </c>
      <c r="Q650" s="22">
        <v>45886</v>
      </c>
      <c r="R650" s="3"/>
    </row>
    <row r="651" spans="1:19" hidden="1" x14ac:dyDescent="0.25">
      <c r="A651" s="11">
        <v>19</v>
      </c>
      <c r="B651" s="11">
        <v>1</v>
      </c>
      <c r="C651" s="11" t="s">
        <v>105</v>
      </c>
      <c r="D651" s="11" t="s">
        <v>964</v>
      </c>
      <c r="E651" s="11" t="s">
        <v>368</v>
      </c>
      <c r="F651" s="11" t="str">
        <f t="shared" si="9"/>
        <v>M_R59</v>
      </c>
      <c r="G651" s="3">
        <v>63.999000000000002</v>
      </c>
      <c r="H651" s="3">
        <f>IFERROR(INDEX('Tagging key'!D:D, MATCH(F651,'Tagging key'!C:C,0)),"")</f>
        <v>88.95</v>
      </c>
      <c r="I651" s="3">
        <f>IFERROR(INDEX('Tagging key'!E:E, MATCH(F651,'Tagging key'!C:C,0)),"")</f>
        <v>40.29</v>
      </c>
      <c r="J651" s="3">
        <f>IFERROR(INDEX('Tagging key'!F:F, MATCH(F651,'Tagging key'!C:C,0)),"")</f>
        <v>34.25</v>
      </c>
      <c r="K651" s="3">
        <v>63.755000000000003</v>
      </c>
      <c r="L651" s="3">
        <v>89.3</v>
      </c>
      <c r="M651" s="3">
        <v>38.58</v>
      </c>
      <c r="N651" s="3">
        <v>34.5</v>
      </c>
      <c r="O651" s="3"/>
      <c r="P651" s="22">
        <v>45877</v>
      </c>
      <c r="Q651" s="22">
        <v>45877</v>
      </c>
      <c r="R651" s="3"/>
    </row>
    <row r="652" spans="1:19" hidden="1" x14ac:dyDescent="0.25">
      <c r="A652" s="11">
        <v>19</v>
      </c>
      <c r="B652" s="11">
        <v>1</v>
      </c>
      <c r="C652" s="11" t="s">
        <v>105</v>
      </c>
      <c r="D652" s="11" t="s">
        <v>964</v>
      </c>
      <c r="E652" s="11" t="s">
        <v>924</v>
      </c>
      <c r="F652" s="11" t="str">
        <f t="shared" si="9"/>
        <v>M_B81</v>
      </c>
      <c r="G652" s="3">
        <v>56.43</v>
      </c>
      <c r="H652" s="3">
        <f>IFERROR(INDEX('Tagging key'!D:D, MATCH(F652,'Tagging key'!C:C,0)),"")</f>
        <v>82</v>
      </c>
      <c r="I652" s="3">
        <f>IFERROR(INDEX('Tagging key'!E:E, MATCH(F652,'Tagging key'!C:C,0)),"")</f>
        <v>40</v>
      </c>
      <c r="J652" s="3">
        <f>IFERROR(INDEX('Tagging key'!F:F, MATCH(F652,'Tagging key'!C:C,0)),"")</f>
        <v>31</v>
      </c>
      <c r="K652" s="3">
        <v>56.859000000000002</v>
      </c>
      <c r="L652" s="3">
        <v>82.77</v>
      </c>
      <c r="M652" s="3">
        <v>40.840000000000003</v>
      </c>
      <c r="N652" s="3">
        <v>32.14</v>
      </c>
      <c r="O652" s="3"/>
      <c r="P652" s="22">
        <v>45886</v>
      </c>
      <c r="Q652" s="22">
        <v>45886</v>
      </c>
      <c r="R652" s="3">
        <v>19.045000000000002</v>
      </c>
    </row>
    <row r="653" spans="1:19" hidden="1" x14ac:dyDescent="0.25">
      <c r="A653" s="11">
        <v>19</v>
      </c>
      <c r="B653" s="11">
        <v>1</v>
      </c>
      <c r="C653" s="11" t="s">
        <v>105</v>
      </c>
      <c r="D653" s="11" t="s">
        <v>964</v>
      </c>
      <c r="E653" s="11" t="s">
        <v>942</v>
      </c>
      <c r="F653" s="11" t="str">
        <f t="shared" si="9"/>
        <v>M_G29</v>
      </c>
      <c r="G653" s="3">
        <v>38.332999999999998</v>
      </c>
      <c r="H653" s="3">
        <f>IFERROR(INDEX('Tagging key'!D:D, MATCH(F653,'Tagging key'!C:C,0)),"")</f>
        <v>78</v>
      </c>
      <c r="I653" s="3">
        <f>IFERROR(INDEX('Tagging key'!E:E, MATCH(F653,'Tagging key'!C:C,0)),"")</f>
        <v>35</v>
      </c>
      <c r="J653" s="3">
        <f>IFERROR(INDEX('Tagging key'!F:F, MATCH(F653,'Tagging key'!C:C,0)),"")</f>
        <v>25</v>
      </c>
      <c r="K653" s="3">
        <v>38.578000000000003</v>
      </c>
      <c r="L653" s="3">
        <v>78.930000000000007</v>
      </c>
      <c r="M653" s="3">
        <v>38.79</v>
      </c>
      <c r="N653" s="3">
        <v>25.26</v>
      </c>
      <c r="O653" s="3"/>
      <c r="P653" s="22">
        <v>45879</v>
      </c>
      <c r="Q653" s="22">
        <v>45879</v>
      </c>
      <c r="R653" s="3"/>
    </row>
    <row r="654" spans="1:19" x14ac:dyDescent="0.25">
      <c r="A654" s="11">
        <v>19</v>
      </c>
      <c r="B654" s="11">
        <v>1</v>
      </c>
      <c r="C654" s="11" t="s">
        <v>105</v>
      </c>
      <c r="D654" s="11" t="s">
        <v>964</v>
      </c>
      <c r="E654" s="11" t="s">
        <v>131</v>
      </c>
      <c r="F654" s="11" t="str">
        <f t="shared" si="9"/>
        <v>M_G13</v>
      </c>
      <c r="G654" s="3">
        <v>48.588000000000001</v>
      </c>
      <c r="H654" s="3">
        <f>IFERROR(INDEX('Tagging key'!D:D, MATCH(F654,'Tagging key'!C:C,0)),"")</f>
        <v>76</v>
      </c>
      <c r="I654" s="3">
        <f>IFERROR(INDEX('Tagging key'!E:E, MATCH(F654,'Tagging key'!C:C,0)),"")</f>
        <v>39</v>
      </c>
      <c r="J654" s="3">
        <f>IFERROR(INDEX('Tagging key'!F:F, MATCH(F654,'Tagging key'!C:C,0)),"")</f>
        <v>28</v>
      </c>
      <c r="K654" s="3">
        <v>48.415999999999997</v>
      </c>
      <c r="L654" s="3">
        <v>76.03</v>
      </c>
      <c r="M654" s="3">
        <v>39.56</v>
      </c>
      <c r="N654" s="3">
        <v>29.82</v>
      </c>
      <c r="O654" s="3"/>
      <c r="P654" s="22">
        <v>45882</v>
      </c>
      <c r="Q654" s="22">
        <v>45882</v>
      </c>
      <c r="R654" s="3">
        <v>19.437999999999999</v>
      </c>
    </row>
    <row r="655" spans="1:19" hidden="1" x14ac:dyDescent="0.25">
      <c r="A655" s="12">
        <v>19</v>
      </c>
      <c r="B655" s="12">
        <v>2</v>
      </c>
      <c r="C655" s="12" t="s">
        <v>105</v>
      </c>
      <c r="D655" s="12" t="s">
        <v>964</v>
      </c>
      <c r="E655" s="12" t="s">
        <v>866</v>
      </c>
      <c r="F655" s="12" t="str">
        <f t="shared" si="9"/>
        <v>M_R72</v>
      </c>
      <c r="G655" s="3">
        <v>49.853000000000002</v>
      </c>
      <c r="H655" s="3">
        <f>IFERROR(INDEX('Tagging key'!D:D, MATCH(F655,'Tagging key'!C:C,0)),"")</f>
        <v>79.680000000000007</v>
      </c>
      <c r="I655" s="3">
        <f>IFERROR(INDEX('Tagging key'!E:E, MATCH(F655,'Tagging key'!C:C,0)),"")</f>
        <v>45.4</v>
      </c>
      <c r="J655" s="3">
        <f>IFERROR(INDEX('Tagging key'!F:F, MATCH(F655,'Tagging key'!C:C,0)),"")</f>
        <v>29.6</v>
      </c>
      <c r="K655" s="3">
        <v>49.75</v>
      </c>
      <c r="L655" s="3">
        <v>79.819999999999993</v>
      </c>
      <c r="M655" s="3">
        <v>40.6</v>
      </c>
      <c r="N655" s="3">
        <v>31.14</v>
      </c>
      <c r="O655" s="3"/>
      <c r="P655" s="22">
        <v>45877</v>
      </c>
      <c r="Q655" s="22">
        <v>45877</v>
      </c>
      <c r="R655" s="3"/>
    </row>
    <row r="656" spans="1:19" hidden="1" x14ac:dyDescent="0.25">
      <c r="A656" s="12">
        <v>19</v>
      </c>
      <c r="B656" s="12">
        <v>2</v>
      </c>
      <c r="C656" s="12" t="s">
        <v>105</v>
      </c>
      <c r="D656" s="12" t="s">
        <v>964</v>
      </c>
      <c r="E656" s="12" t="s">
        <v>540</v>
      </c>
      <c r="F656" s="12" t="str">
        <f t="shared" si="9"/>
        <v>M_B49</v>
      </c>
      <c r="G656" s="3">
        <v>51.619</v>
      </c>
      <c r="H656" s="3">
        <f>IFERROR(INDEX('Tagging key'!D:D, MATCH(F656,'Tagging key'!C:C,0)),"")</f>
        <v>80</v>
      </c>
      <c r="I656" s="3">
        <f>IFERROR(INDEX('Tagging key'!E:E, MATCH(F656,'Tagging key'!C:C,0)),"")</f>
        <v>38</v>
      </c>
      <c r="J656" s="3">
        <f>IFERROR(INDEX('Tagging key'!F:F, MATCH(F656,'Tagging key'!C:C,0)),"")</f>
        <v>29</v>
      </c>
      <c r="K656" s="3">
        <v>52.084000000000003</v>
      </c>
      <c r="L656" s="3">
        <v>81.78</v>
      </c>
      <c r="M656" s="3">
        <v>39.450000000000003</v>
      </c>
      <c r="N656" s="3">
        <v>29.82</v>
      </c>
      <c r="O656" s="3"/>
      <c r="P656" s="22">
        <v>45879</v>
      </c>
      <c r="Q656" s="22">
        <v>45879</v>
      </c>
      <c r="R656" s="3"/>
    </row>
    <row r="657" spans="1:19" hidden="1" x14ac:dyDescent="0.25">
      <c r="A657" s="12">
        <v>19</v>
      </c>
      <c r="B657" s="12">
        <v>2</v>
      </c>
      <c r="C657" s="12" t="s">
        <v>105</v>
      </c>
      <c r="D657" s="12" t="s">
        <v>964</v>
      </c>
      <c r="E657" s="12" t="s">
        <v>965</v>
      </c>
      <c r="F657" s="12" t="str">
        <f t="shared" si="9"/>
        <v>M_R5</v>
      </c>
      <c r="G657" s="3">
        <v>55.287999999999997</v>
      </c>
      <c r="H657" s="3">
        <f>IFERROR(INDEX('Tagging key'!D:D, MATCH(F657,'Tagging key'!C:C,0)),"")</f>
        <v>80.12</v>
      </c>
      <c r="I657" s="3">
        <f>IFERROR(INDEX('Tagging key'!E:E, MATCH(F657,'Tagging key'!C:C,0)),"")</f>
        <v>40.85</v>
      </c>
      <c r="J657" s="3">
        <f>IFERROR(INDEX('Tagging key'!F:F, MATCH(F657,'Tagging key'!C:C,0)),"")</f>
        <v>33.479999999999997</v>
      </c>
      <c r="K657" s="3">
        <v>55.262</v>
      </c>
      <c r="L657" s="3">
        <v>80.16</v>
      </c>
      <c r="M657" s="3">
        <v>35.71</v>
      </c>
      <c r="N657" s="3">
        <v>32.97</v>
      </c>
      <c r="O657" s="3"/>
      <c r="P657" s="22">
        <v>45886</v>
      </c>
      <c r="Q657" s="22">
        <v>45886</v>
      </c>
      <c r="R657" s="3">
        <v>22.353999999999999</v>
      </c>
      <c r="S657" t="s">
        <v>718</v>
      </c>
    </row>
    <row r="658" spans="1:19" x14ac:dyDescent="0.25">
      <c r="A658" s="12">
        <v>19</v>
      </c>
      <c r="B658" s="12">
        <v>2</v>
      </c>
      <c r="C658" s="12" t="s">
        <v>105</v>
      </c>
      <c r="D658" s="12" t="s">
        <v>964</v>
      </c>
      <c r="E658" s="12" t="s">
        <v>921</v>
      </c>
      <c r="F658" s="12" t="str">
        <f t="shared" si="9"/>
        <v>M_R48</v>
      </c>
      <c r="G658" s="3">
        <v>45.328000000000003</v>
      </c>
      <c r="H658" s="3">
        <f>IFERROR(INDEX('Tagging key'!D:D, MATCH(F658,'Tagging key'!C:C,0)),"")</f>
        <v>79.739999999999995</v>
      </c>
      <c r="I658" s="3">
        <f>IFERROR(INDEX('Tagging key'!E:E, MATCH(F658,'Tagging key'!C:C,0)),"")</f>
        <v>40.96</v>
      </c>
      <c r="J658" s="3">
        <f>IFERROR(INDEX('Tagging key'!F:F, MATCH(F658,'Tagging key'!C:C,0)),"")</f>
        <v>28.79</v>
      </c>
      <c r="K658" s="3">
        <v>46.084000000000003</v>
      </c>
      <c r="L658" s="3">
        <v>79.53</v>
      </c>
      <c r="M658" s="3">
        <v>38.54</v>
      </c>
      <c r="N658" s="3">
        <v>28.62</v>
      </c>
      <c r="O658" s="3"/>
      <c r="P658" s="22">
        <v>45882</v>
      </c>
      <c r="Q658" s="22">
        <v>45882</v>
      </c>
      <c r="R658" s="3">
        <v>15.534000000000001</v>
      </c>
    </row>
    <row r="659" spans="1:19" hidden="1" x14ac:dyDescent="0.25">
      <c r="A659" s="11">
        <v>19</v>
      </c>
      <c r="B659" s="11">
        <v>3</v>
      </c>
      <c r="C659" s="11" t="s">
        <v>105</v>
      </c>
      <c r="D659" s="11" t="s">
        <v>964</v>
      </c>
      <c r="E659" s="11" t="s">
        <v>682</v>
      </c>
      <c r="F659" s="11" t="str">
        <f t="shared" si="9"/>
        <v>M_B22</v>
      </c>
      <c r="G659" s="3">
        <v>42.665999999999997</v>
      </c>
      <c r="H659" s="3">
        <f>IFERROR(INDEX('Tagging key'!D:D, MATCH(F659,'Tagging key'!C:C,0)),"")</f>
        <v>78</v>
      </c>
      <c r="I659" s="3">
        <f>IFERROR(INDEX('Tagging key'!E:E, MATCH(F659,'Tagging key'!C:C,0)),"")</f>
        <v>37</v>
      </c>
      <c r="J659" s="3">
        <f>IFERROR(INDEX('Tagging key'!F:F, MATCH(F659,'Tagging key'!C:C,0)),"")</f>
        <v>26</v>
      </c>
      <c r="K659" s="3">
        <v>43.052</v>
      </c>
      <c r="L659" s="3">
        <v>79.23</v>
      </c>
      <c r="M659" s="3">
        <v>38.94</v>
      </c>
      <c r="N659" s="3">
        <v>26.35</v>
      </c>
      <c r="O659" s="3"/>
      <c r="P659" s="22">
        <v>45886</v>
      </c>
      <c r="Q659" s="22">
        <v>45886</v>
      </c>
      <c r="R659" s="3"/>
    </row>
    <row r="660" spans="1:19" hidden="1" x14ac:dyDescent="0.25">
      <c r="A660" s="11">
        <v>19</v>
      </c>
      <c r="B660" s="11">
        <v>3</v>
      </c>
      <c r="C660" s="11" t="s">
        <v>105</v>
      </c>
      <c r="D660" s="11" t="s">
        <v>964</v>
      </c>
      <c r="E660" s="11" t="s">
        <v>867</v>
      </c>
      <c r="F660" s="11" t="str">
        <f t="shared" si="9"/>
        <v>M_R34</v>
      </c>
      <c r="G660" s="3">
        <v>33.585999999999999</v>
      </c>
      <c r="H660" s="3">
        <f>IFERROR(INDEX('Tagging key'!D:D, MATCH(F660,'Tagging key'!C:C,0)),"")</f>
        <v>71</v>
      </c>
      <c r="I660" s="3">
        <f>IFERROR(INDEX('Tagging key'!E:E, MATCH(F660,'Tagging key'!C:C,0)),"")</f>
        <v>40.21</v>
      </c>
      <c r="J660" s="3">
        <f>IFERROR(INDEX('Tagging key'!F:F, MATCH(F660,'Tagging key'!C:C,0)),"")</f>
        <v>24.98</v>
      </c>
      <c r="K660" s="3">
        <v>34.487000000000002</v>
      </c>
      <c r="L660" s="3">
        <v>71.819999999999993</v>
      </c>
      <c r="M660" s="3">
        <v>39.01</v>
      </c>
      <c r="N660" s="3">
        <v>26.76</v>
      </c>
      <c r="O660" s="3"/>
      <c r="P660" s="22">
        <v>45877</v>
      </c>
      <c r="Q660" s="22">
        <v>45877</v>
      </c>
      <c r="R660" s="3"/>
    </row>
    <row r="661" spans="1:19" hidden="1" x14ac:dyDescent="0.25">
      <c r="A661" s="11">
        <v>19</v>
      </c>
      <c r="B661" s="11">
        <v>3</v>
      </c>
      <c r="C661" s="11" t="s">
        <v>105</v>
      </c>
      <c r="D661" s="11" t="s">
        <v>964</v>
      </c>
      <c r="E661" s="11" t="s">
        <v>949</v>
      </c>
      <c r="F661" s="11" t="str">
        <f t="shared" si="9"/>
        <v>M_R23</v>
      </c>
      <c r="G661" s="3">
        <v>37.557000000000002</v>
      </c>
      <c r="H661" s="3">
        <f>IFERROR(INDEX('Tagging key'!D:D, MATCH(F661,'Tagging key'!C:C,0)),"")</f>
        <v>74.09</v>
      </c>
      <c r="I661" s="3">
        <f>IFERROR(INDEX('Tagging key'!E:E, MATCH(F661,'Tagging key'!C:C,0)),"")</f>
        <v>36.81</v>
      </c>
      <c r="J661" s="3">
        <f>IFERROR(INDEX('Tagging key'!F:F, MATCH(F661,'Tagging key'!C:C,0)),"")</f>
        <v>28.26</v>
      </c>
      <c r="K661" s="3">
        <v>37.6</v>
      </c>
      <c r="L661" s="3">
        <v>74.510000000000005</v>
      </c>
      <c r="M661" s="3">
        <v>35.35</v>
      </c>
      <c r="N661" s="3">
        <v>29.48</v>
      </c>
      <c r="O661" s="3"/>
      <c r="P661" s="22">
        <v>45879</v>
      </c>
      <c r="Q661" s="22">
        <v>45879</v>
      </c>
      <c r="R661" s="3"/>
    </row>
    <row r="662" spans="1:19" x14ac:dyDescent="0.25">
      <c r="A662" s="11">
        <v>19</v>
      </c>
      <c r="B662" s="11">
        <v>3</v>
      </c>
      <c r="C662" s="11" t="s">
        <v>105</v>
      </c>
      <c r="D662" s="11" t="s">
        <v>964</v>
      </c>
      <c r="E662" s="11" t="s">
        <v>618</v>
      </c>
      <c r="F662" s="11" t="str">
        <f t="shared" si="9"/>
        <v>M_R54</v>
      </c>
      <c r="G662" s="3">
        <v>52.168999999999997</v>
      </c>
      <c r="H662" s="3">
        <f>IFERROR(INDEX('Tagging key'!D:D, MATCH(F662,'Tagging key'!C:C,0)),"")</f>
        <v>85.19</v>
      </c>
      <c r="I662" s="3">
        <f>IFERROR(INDEX('Tagging key'!E:E, MATCH(F662,'Tagging key'!C:C,0)),"")</f>
        <v>40.549999999999997</v>
      </c>
      <c r="J662" s="3">
        <f>IFERROR(INDEX('Tagging key'!F:F, MATCH(F662,'Tagging key'!C:C,0)),"")</f>
        <v>30.93</v>
      </c>
      <c r="K662" s="3">
        <v>52.963999999999999</v>
      </c>
      <c r="L662" s="3">
        <v>84.76</v>
      </c>
      <c r="M662" s="3">
        <v>39.03</v>
      </c>
      <c r="N662" s="3">
        <v>31.77</v>
      </c>
      <c r="O662" s="3"/>
      <c r="P662" s="22">
        <v>45882</v>
      </c>
      <c r="Q662" s="22">
        <v>45882</v>
      </c>
      <c r="R662" s="3">
        <v>17.373000000000001</v>
      </c>
    </row>
    <row r="663" spans="1:19" hidden="1" x14ac:dyDescent="0.25">
      <c r="A663" s="13">
        <v>19</v>
      </c>
      <c r="B663" s="13">
        <v>4</v>
      </c>
      <c r="C663" s="13" t="s">
        <v>105</v>
      </c>
      <c r="D663" s="13" t="s">
        <v>72</v>
      </c>
      <c r="E663" s="13" t="s">
        <v>163</v>
      </c>
      <c r="F663" s="13" t="str">
        <f t="shared" si="9"/>
        <v>S_G22</v>
      </c>
      <c r="G663" s="3">
        <v>43.63</v>
      </c>
      <c r="H663" s="3">
        <f>IFERROR(INDEX('Tagging key'!D:D, MATCH(F663,'Tagging key'!C:C,0)),"")</f>
        <v>65.37</v>
      </c>
      <c r="I663" s="3">
        <f>IFERROR(INDEX('Tagging key'!E:E, MATCH(F663,'Tagging key'!C:C,0)),"")</f>
        <v>69.959999999999994</v>
      </c>
      <c r="J663" s="3">
        <f>IFERROR(INDEX('Tagging key'!F:F, MATCH(F663,'Tagging key'!C:C,0)),"")</f>
        <v>20.46</v>
      </c>
      <c r="K663" s="3">
        <v>41.393000000000001</v>
      </c>
      <c r="L663" s="3">
        <v>65.7</v>
      </c>
      <c r="M663" s="3">
        <v>70.44</v>
      </c>
      <c r="N663" s="3">
        <v>20.76</v>
      </c>
      <c r="O663" s="3"/>
      <c r="P663" s="22">
        <v>45877</v>
      </c>
      <c r="Q663" s="22">
        <v>45877</v>
      </c>
      <c r="R663" s="3"/>
    </row>
    <row r="664" spans="1:19" hidden="1" x14ac:dyDescent="0.25">
      <c r="A664" s="13">
        <v>19</v>
      </c>
      <c r="B664" s="13">
        <v>4</v>
      </c>
      <c r="C664" s="13" t="s">
        <v>105</v>
      </c>
      <c r="D664" s="13" t="s">
        <v>72</v>
      </c>
      <c r="E664" s="13" t="s">
        <v>966</v>
      </c>
      <c r="F664" s="13" t="str">
        <f t="shared" ref="F664:F722" si="10">LEFT(D664,1)&amp;"_"&amp;E664</f>
        <v>S_Y48</v>
      </c>
      <c r="G664" s="3">
        <v>54.948</v>
      </c>
      <c r="H664" s="3">
        <f>IFERROR(INDEX('Tagging key'!D:D, MATCH(F664,'Tagging key'!C:C,0)),"")</f>
        <v>76</v>
      </c>
      <c r="I664" s="3">
        <f>IFERROR(INDEX('Tagging key'!E:E, MATCH(F664,'Tagging key'!C:C,0)),"")</f>
        <v>78</v>
      </c>
      <c r="J664" s="3">
        <f>IFERROR(INDEX('Tagging key'!F:F, MATCH(F664,'Tagging key'!C:C,0)),"")</f>
        <v>19</v>
      </c>
      <c r="K664" s="3">
        <v>50.064999999999998</v>
      </c>
      <c r="L664" s="3">
        <v>76.12</v>
      </c>
      <c r="M664" s="3">
        <v>79.14</v>
      </c>
      <c r="N664" s="3">
        <v>21.16</v>
      </c>
      <c r="O664" s="3"/>
      <c r="P664" s="22">
        <v>45886</v>
      </c>
      <c r="Q664" s="22">
        <v>45886</v>
      </c>
      <c r="R664" s="3">
        <v>22.440999999999999</v>
      </c>
    </row>
    <row r="665" spans="1:19" x14ac:dyDescent="0.25">
      <c r="A665" s="13">
        <v>19</v>
      </c>
      <c r="B665" s="13">
        <v>4</v>
      </c>
      <c r="C665" s="13" t="s">
        <v>105</v>
      </c>
      <c r="D665" s="13" t="s">
        <v>72</v>
      </c>
      <c r="E665" s="13" t="s">
        <v>967</v>
      </c>
      <c r="F665" s="13" t="str">
        <f t="shared" si="10"/>
        <v>S_G93</v>
      </c>
      <c r="G665" s="3">
        <v>56.856000000000002</v>
      </c>
      <c r="H665" s="3">
        <f>IFERROR(INDEX('Tagging key'!D:D, MATCH(F665,'Tagging key'!C:C,0)),"")</f>
        <v>74</v>
      </c>
      <c r="I665" s="3">
        <f>IFERROR(INDEX('Tagging key'!E:E, MATCH(F665,'Tagging key'!C:C,0)),"")</f>
        <v>77</v>
      </c>
      <c r="J665" s="3">
        <f>IFERROR(INDEX('Tagging key'!F:F, MATCH(F665,'Tagging key'!C:C,0)),"")</f>
        <v>19</v>
      </c>
      <c r="K665" s="3">
        <v>54.01</v>
      </c>
      <c r="L665" s="3">
        <v>77.239999999999995</v>
      </c>
      <c r="M665" s="3">
        <v>79.28</v>
      </c>
      <c r="N665" s="3">
        <v>20.61</v>
      </c>
      <c r="O665" s="3"/>
      <c r="P665" s="22">
        <v>45882</v>
      </c>
      <c r="Q665" s="22">
        <v>45882</v>
      </c>
      <c r="R665" s="3">
        <v>23.366</v>
      </c>
    </row>
    <row r="666" spans="1:19" hidden="1" x14ac:dyDescent="0.25">
      <c r="A666" s="13">
        <v>19</v>
      </c>
      <c r="B666" s="13">
        <v>4</v>
      </c>
      <c r="C666" s="13" t="s">
        <v>105</v>
      </c>
      <c r="D666" s="13" t="s">
        <v>72</v>
      </c>
      <c r="E666" s="13" t="s">
        <v>968</v>
      </c>
      <c r="F666" s="13" t="str">
        <f t="shared" si="10"/>
        <v>S_Y63</v>
      </c>
      <c r="G666" s="3">
        <v>51.548000000000002</v>
      </c>
      <c r="H666" s="3">
        <f>IFERROR(INDEX('Tagging key'!D:D, MATCH(F666,'Tagging key'!C:C,0)),"")</f>
        <v>68.5</v>
      </c>
      <c r="I666" s="3">
        <f>IFERROR(INDEX('Tagging key'!E:E, MATCH(F666,'Tagging key'!C:C,0)),"")</f>
        <v>80</v>
      </c>
      <c r="J666" s="3">
        <f>IFERROR(INDEX('Tagging key'!F:F, MATCH(F666,'Tagging key'!C:C,0)),"")</f>
        <v>21</v>
      </c>
      <c r="K666" s="3">
        <v>46.975000000000001</v>
      </c>
      <c r="L666" s="3">
        <v>76.11</v>
      </c>
      <c r="M666" s="3">
        <v>75.930000000000007</v>
      </c>
      <c r="N666" s="3">
        <v>19.64</v>
      </c>
      <c r="O666" s="3"/>
      <c r="P666" s="22">
        <v>45879</v>
      </c>
      <c r="Q666" s="22">
        <v>45879</v>
      </c>
      <c r="R666" s="3"/>
    </row>
    <row r="667" spans="1:19" hidden="1" x14ac:dyDescent="0.25">
      <c r="A667" s="14">
        <v>19</v>
      </c>
      <c r="B667" s="14">
        <v>5</v>
      </c>
      <c r="C667" s="14" t="s">
        <v>105</v>
      </c>
      <c r="D667" s="14" t="s">
        <v>72</v>
      </c>
      <c r="E667" s="14" t="s">
        <v>969</v>
      </c>
      <c r="F667" s="14" t="str">
        <f t="shared" si="10"/>
        <v>S_Y94</v>
      </c>
      <c r="G667" s="3">
        <v>48.982999999999997</v>
      </c>
      <c r="H667" s="3">
        <f>IFERROR(INDEX('Tagging key'!D:D, MATCH(F667,'Tagging key'!C:C,0)),"")</f>
        <v>71</v>
      </c>
      <c r="I667" s="3">
        <f>IFERROR(INDEX('Tagging key'!E:E, MATCH(F667,'Tagging key'!C:C,0)),"")</f>
        <v>75</v>
      </c>
      <c r="J667" s="3">
        <f>IFERROR(INDEX('Tagging key'!F:F, MATCH(F667,'Tagging key'!C:C,0)),"")</f>
        <v>17</v>
      </c>
      <c r="K667" s="3">
        <v>45.524999999999999</v>
      </c>
      <c r="L667" s="3">
        <v>72.150000000000006</v>
      </c>
      <c r="M667" s="3">
        <v>75.37</v>
      </c>
      <c r="N667" s="3">
        <v>20.36</v>
      </c>
      <c r="O667" s="3"/>
      <c r="P667" s="22">
        <v>45879</v>
      </c>
      <c r="Q667" s="22">
        <v>45879</v>
      </c>
      <c r="R667" s="3"/>
    </row>
    <row r="668" spans="1:19" hidden="1" x14ac:dyDescent="0.25">
      <c r="A668" s="14">
        <v>19</v>
      </c>
      <c r="B668" s="14">
        <v>5</v>
      </c>
      <c r="C668" s="14" t="s">
        <v>105</v>
      </c>
      <c r="D668" s="14" t="s">
        <v>72</v>
      </c>
      <c r="E668" s="14" t="s">
        <v>970</v>
      </c>
      <c r="F668" s="14" t="str">
        <f t="shared" si="10"/>
        <v>S_G79</v>
      </c>
      <c r="G668" s="3">
        <v>66.33</v>
      </c>
      <c r="H668" s="3">
        <f>IFERROR(INDEX('Tagging key'!D:D, MATCH(F668,'Tagging key'!C:C,0)),"")</f>
        <v>77</v>
      </c>
      <c r="I668" s="3">
        <f>IFERROR(INDEX('Tagging key'!E:E, MATCH(F668,'Tagging key'!C:C,0)),"")</f>
        <v>81</v>
      </c>
      <c r="J668" s="3">
        <f>IFERROR(INDEX('Tagging key'!F:F, MATCH(F668,'Tagging key'!C:C,0)),"")</f>
        <v>21</v>
      </c>
      <c r="K668" s="3">
        <v>56.284999999999997</v>
      </c>
      <c r="L668" s="3">
        <v>78</v>
      </c>
      <c r="M668" s="3">
        <v>81.73</v>
      </c>
      <c r="N668" s="3">
        <v>21.43</v>
      </c>
      <c r="O668" s="3"/>
      <c r="P668" s="22">
        <v>45886</v>
      </c>
      <c r="Q668" s="22">
        <v>45886</v>
      </c>
      <c r="R668" s="3">
        <v>25.327999999999999</v>
      </c>
    </row>
    <row r="669" spans="1:19" hidden="1" x14ac:dyDescent="0.25">
      <c r="A669" s="14">
        <v>19</v>
      </c>
      <c r="B669" s="14">
        <v>5</v>
      </c>
      <c r="C669" s="14" t="s">
        <v>105</v>
      </c>
      <c r="D669" s="14" t="s">
        <v>72</v>
      </c>
      <c r="E669" s="14" t="s">
        <v>971</v>
      </c>
      <c r="F669" s="14" t="str">
        <f t="shared" si="10"/>
        <v>S_Y79</v>
      </c>
      <c r="G669" s="3">
        <v>50.174999999999997</v>
      </c>
      <c r="H669" s="3">
        <f>IFERROR(INDEX('Tagging key'!D:D, MATCH(F669,'Tagging key'!C:C,0)),"")</f>
        <v>74</v>
      </c>
      <c r="I669" s="3">
        <f>IFERROR(INDEX('Tagging key'!E:E, MATCH(F669,'Tagging key'!C:C,0)),"")</f>
        <v>76</v>
      </c>
      <c r="J669" s="3">
        <f>IFERROR(INDEX('Tagging key'!F:F, MATCH(F669,'Tagging key'!C:C,0)),"")</f>
        <v>16</v>
      </c>
      <c r="K669" s="3">
        <v>43.875999999999998</v>
      </c>
      <c r="L669" s="3">
        <v>75.38</v>
      </c>
      <c r="M669" s="3">
        <v>76.73</v>
      </c>
      <c r="N669" s="3">
        <v>20.81</v>
      </c>
      <c r="O669" s="3"/>
      <c r="P669" s="22">
        <v>45877</v>
      </c>
      <c r="Q669" s="22">
        <v>45877</v>
      </c>
      <c r="R669" s="3"/>
    </row>
    <row r="670" spans="1:19" x14ac:dyDescent="0.25">
      <c r="A670" s="14">
        <v>19</v>
      </c>
      <c r="B670" s="14">
        <v>5</v>
      </c>
      <c r="C670" s="14" t="s">
        <v>105</v>
      </c>
      <c r="D670" s="14" t="s">
        <v>72</v>
      </c>
      <c r="E670" s="14" t="s">
        <v>972</v>
      </c>
      <c r="F670" s="14" t="str">
        <f t="shared" si="10"/>
        <v>S_Y67</v>
      </c>
      <c r="G670" s="3">
        <v>44.567999999999998</v>
      </c>
      <c r="H670" s="3">
        <f>IFERROR(INDEX('Tagging key'!D:D, MATCH(F670,'Tagging key'!C:C,0)),"")</f>
        <v>70</v>
      </c>
      <c r="I670" s="3">
        <f>IFERROR(INDEX('Tagging key'!E:E, MATCH(F670,'Tagging key'!C:C,0)),"")</f>
        <v>72</v>
      </c>
      <c r="J670" s="3">
        <f>IFERROR(INDEX('Tagging key'!F:F, MATCH(F670,'Tagging key'!C:C,0)),"")</f>
        <v>17</v>
      </c>
      <c r="K670" s="3">
        <v>43.656999999999996</v>
      </c>
      <c r="L670" s="3">
        <v>71.48</v>
      </c>
      <c r="M670" s="3">
        <v>70.67</v>
      </c>
      <c r="N670" s="3">
        <v>18.809999999999999</v>
      </c>
      <c r="O670" s="3"/>
      <c r="P670" s="22">
        <v>45882</v>
      </c>
      <c r="Q670" s="22">
        <v>45882</v>
      </c>
      <c r="R670" s="3">
        <v>21.350999999999999</v>
      </c>
    </row>
    <row r="671" spans="1:19" hidden="1" x14ac:dyDescent="0.25">
      <c r="A671" s="13">
        <v>19</v>
      </c>
      <c r="B671" s="13">
        <v>6</v>
      </c>
      <c r="C671" s="13" t="s">
        <v>105</v>
      </c>
      <c r="D671" s="13" t="s">
        <v>72</v>
      </c>
      <c r="E671" s="13" t="s">
        <v>973</v>
      </c>
      <c r="F671" s="13" t="str">
        <f t="shared" si="10"/>
        <v>S_G3</v>
      </c>
      <c r="G671" s="3">
        <v>66.116</v>
      </c>
      <c r="H671" s="3">
        <f>IFERROR(INDEX('Tagging key'!D:D, MATCH(F671,'Tagging key'!C:C,0)),"")</f>
        <v>76.97</v>
      </c>
      <c r="I671" s="3">
        <f>IFERROR(INDEX('Tagging key'!E:E, MATCH(F671,'Tagging key'!C:C,0)),"")</f>
        <v>80.12</v>
      </c>
      <c r="J671" s="3">
        <f>IFERROR(INDEX('Tagging key'!F:F, MATCH(F671,'Tagging key'!C:C,0)),"")</f>
        <v>22.36</v>
      </c>
      <c r="K671" s="3">
        <v>60.046999999999997</v>
      </c>
      <c r="L671" s="3">
        <v>78.81</v>
      </c>
      <c r="M671" s="3">
        <v>83.59</v>
      </c>
      <c r="N671" s="3">
        <v>23.07</v>
      </c>
      <c r="O671" s="3"/>
      <c r="P671" s="22">
        <v>45877</v>
      </c>
      <c r="Q671" s="22">
        <v>45877</v>
      </c>
      <c r="R671" s="3"/>
    </row>
    <row r="672" spans="1:19" hidden="1" x14ac:dyDescent="0.25">
      <c r="A672" s="13">
        <v>19</v>
      </c>
      <c r="B672" s="13">
        <v>6</v>
      </c>
      <c r="C672" s="13" t="s">
        <v>105</v>
      </c>
      <c r="D672" s="13" t="s">
        <v>72</v>
      </c>
      <c r="E672" s="13" t="s">
        <v>643</v>
      </c>
      <c r="F672" s="13" t="str">
        <f t="shared" si="10"/>
        <v>S_G20</v>
      </c>
      <c r="G672" s="3">
        <v>53.44</v>
      </c>
      <c r="H672" s="3">
        <f>IFERROR(INDEX('Tagging key'!D:D, MATCH(F672,'Tagging key'!C:C,0)),"")</f>
        <v>74.73</v>
      </c>
      <c r="I672" s="3">
        <f>IFERROR(INDEX('Tagging key'!E:E, MATCH(F672,'Tagging key'!C:C,0)),"")</f>
        <v>79.62</v>
      </c>
      <c r="J672" s="3">
        <f>IFERROR(INDEX('Tagging key'!F:F, MATCH(F672,'Tagging key'!C:C,0)),"")</f>
        <v>19.899999999999999</v>
      </c>
      <c r="K672" s="3">
        <v>52.372999999999998</v>
      </c>
      <c r="L672" s="3">
        <v>75.349999999999994</v>
      </c>
      <c r="M672" s="3">
        <v>80</v>
      </c>
      <c r="N672" s="3">
        <v>23.19</v>
      </c>
      <c r="O672" s="3"/>
      <c r="P672" s="22">
        <v>45879</v>
      </c>
      <c r="Q672" s="22">
        <v>45879</v>
      </c>
      <c r="R672" s="3"/>
    </row>
    <row r="673" spans="1:19" x14ac:dyDescent="0.25">
      <c r="A673" s="13">
        <v>19</v>
      </c>
      <c r="B673" s="13">
        <v>6</v>
      </c>
      <c r="C673" s="13" t="s">
        <v>105</v>
      </c>
      <c r="D673" s="13" t="s">
        <v>72</v>
      </c>
      <c r="E673" s="13" t="s">
        <v>974</v>
      </c>
      <c r="F673" s="13" t="str">
        <f t="shared" si="10"/>
        <v>S_G45</v>
      </c>
      <c r="G673" s="3">
        <v>44.878999999999998</v>
      </c>
      <c r="H673" s="3">
        <f>IFERROR(INDEX('Tagging key'!D:D, MATCH(F673,'Tagging key'!C:C,0)),"")</f>
        <v>71.28</v>
      </c>
      <c r="I673" s="3">
        <f>IFERROR(INDEX('Tagging key'!E:E, MATCH(F673,'Tagging key'!C:C,0)),"")</f>
        <v>68.67</v>
      </c>
      <c r="J673" s="3">
        <f>IFERROR(INDEX('Tagging key'!F:F, MATCH(F673,'Tagging key'!C:C,0)),"")</f>
        <v>18</v>
      </c>
      <c r="K673" s="3">
        <v>42.017000000000003</v>
      </c>
      <c r="L673" s="3">
        <v>71.150000000000006</v>
      </c>
      <c r="M673" s="3">
        <v>69.930000000000007</v>
      </c>
      <c r="N673" s="3">
        <v>19.37</v>
      </c>
      <c r="O673" s="3"/>
      <c r="P673" s="22">
        <v>45882</v>
      </c>
      <c r="Q673" s="22">
        <v>45882</v>
      </c>
      <c r="R673" s="3">
        <v>17.428000000000001</v>
      </c>
    </row>
    <row r="674" spans="1:19" hidden="1" x14ac:dyDescent="0.25">
      <c r="A674" s="13">
        <v>19</v>
      </c>
      <c r="B674" s="13">
        <v>6</v>
      </c>
      <c r="C674" s="13" t="s">
        <v>105</v>
      </c>
      <c r="D674" s="13" t="s">
        <v>72</v>
      </c>
      <c r="E674" s="13" t="s">
        <v>975</v>
      </c>
      <c r="F674" s="13" t="str">
        <f t="shared" si="10"/>
        <v>S_W76</v>
      </c>
      <c r="G674" s="3">
        <v>54.14</v>
      </c>
      <c r="H674" s="3">
        <f>IFERROR(INDEX('Tagging key'!D:D, MATCH(F674,'Tagging key'!C:C,0)),"")</f>
        <v>76</v>
      </c>
      <c r="I674" s="3">
        <f>IFERROR(INDEX('Tagging key'!E:E, MATCH(F674,'Tagging key'!C:C,0)),"")</f>
        <v>77</v>
      </c>
      <c r="J674" s="3">
        <f>IFERROR(INDEX('Tagging key'!F:F, MATCH(F674,'Tagging key'!C:C,0)),"")</f>
        <v>20</v>
      </c>
      <c r="K674" s="3">
        <v>48.502000000000002</v>
      </c>
      <c r="L674" s="3">
        <v>77.180000000000007</v>
      </c>
      <c r="M674" s="3">
        <v>77.77</v>
      </c>
      <c r="N674" s="3">
        <v>20.03</v>
      </c>
      <c r="O674" s="3"/>
      <c r="P674" s="22">
        <v>45886</v>
      </c>
      <c r="Q674" s="22">
        <v>45886</v>
      </c>
      <c r="R674" s="3">
        <v>24.14</v>
      </c>
    </row>
    <row r="675" spans="1:19" hidden="1" x14ac:dyDescent="0.25">
      <c r="A675" s="8">
        <v>19</v>
      </c>
      <c r="B675" s="8">
        <v>7</v>
      </c>
      <c r="C675" s="8" t="s">
        <v>105</v>
      </c>
      <c r="D675" s="8" t="s">
        <v>16</v>
      </c>
      <c r="E675" s="8" t="s">
        <v>946</v>
      </c>
      <c r="F675" s="8" t="str">
        <f t="shared" si="10"/>
        <v>O_R95</v>
      </c>
      <c r="G675" s="3">
        <v>40.084000000000003</v>
      </c>
      <c r="H675" s="3">
        <f>IFERROR(INDEX('Tagging key'!D:D, MATCH(F675,'Tagging key'!C:C,0)),"")</f>
        <v>68.19</v>
      </c>
      <c r="I675" s="3">
        <f>IFERROR(INDEX('Tagging key'!E:E, MATCH(F675,'Tagging key'!C:C,0)),"")</f>
        <v>44.09</v>
      </c>
      <c r="J675" s="3">
        <f>IFERROR(INDEX('Tagging key'!F:F, MATCH(F675,'Tagging key'!C:C,0)),"")</f>
        <v>18.71</v>
      </c>
      <c r="K675" s="3">
        <v>39.725000000000001</v>
      </c>
      <c r="L675" s="3">
        <v>68.72</v>
      </c>
      <c r="M675" s="3">
        <v>40.700000000000003</v>
      </c>
      <c r="N675" s="3">
        <v>25.68</v>
      </c>
      <c r="O675" s="3"/>
      <c r="P675" s="22">
        <v>45877</v>
      </c>
      <c r="Q675" s="22">
        <v>45877</v>
      </c>
      <c r="R675" s="3"/>
    </row>
    <row r="676" spans="1:19" hidden="1" x14ac:dyDescent="0.25">
      <c r="A676" s="8">
        <v>19</v>
      </c>
      <c r="B676" s="8">
        <v>7</v>
      </c>
      <c r="C676" s="8" t="s">
        <v>105</v>
      </c>
      <c r="D676" s="8" t="s">
        <v>16</v>
      </c>
      <c r="E676" s="8" t="s">
        <v>891</v>
      </c>
      <c r="F676" s="8" t="str">
        <f t="shared" si="10"/>
        <v>O_B63</v>
      </c>
      <c r="G676" s="3">
        <v>21.318999999999999</v>
      </c>
      <c r="H676" s="3">
        <f>IFERROR(INDEX('Tagging key'!D:D, MATCH(F676,'Tagging key'!C:C,0)),"")</f>
        <v>67.510000000000005</v>
      </c>
      <c r="I676" s="3">
        <f>IFERROR(INDEX('Tagging key'!E:E, MATCH(F676,'Tagging key'!C:C,0)),"")</f>
        <v>43.8</v>
      </c>
      <c r="J676" s="3">
        <f>IFERROR(INDEX('Tagging key'!F:F, MATCH(F676,'Tagging key'!C:C,0)),"")</f>
        <v>12.68</v>
      </c>
      <c r="K676" s="3">
        <v>21.247</v>
      </c>
      <c r="L676" s="3">
        <v>68.86</v>
      </c>
      <c r="M676" s="3">
        <v>45.15</v>
      </c>
      <c r="N676" s="3">
        <v>14.42</v>
      </c>
      <c r="O676" s="3"/>
      <c r="P676" s="22">
        <v>45879</v>
      </c>
      <c r="Q676" s="22">
        <v>45879</v>
      </c>
      <c r="R676" s="3"/>
      <c r="S676" t="s">
        <v>976</v>
      </c>
    </row>
    <row r="677" spans="1:19" x14ac:dyDescent="0.25">
      <c r="A677" s="8">
        <v>19</v>
      </c>
      <c r="B677" s="8">
        <v>7</v>
      </c>
      <c r="C677" s="8" t="s">
        <v>105</v>
      </c>
      <c r="D677" s="8" t="s">
        <v>16</v>
      </c>
      <c r="E677" s="8" t="s">
        <v>597</v>
      </c>
      <c r="F677" s="8" t="str">
        <f t="shared" si="10"/>
        <v>O_B9</v>
      </c>
      <c r="G677" s="3">
        <v>35.972000000000001</v>
      </c>
      <c r="H677" s="3">
        <f>IFERROR(INDEX('Tagging key'!D:D, MATCH(F677,'Tagging key'!C:C,0)),"")</f>
        <v>71.34</v>
      </c>
      <c r="I677" s="3">
        <f>IFERROR(INDEX('Tagging key'!E:E, MATCH(F677,'Tagging key'!C:C,0)),"")</f>
        <v>45.73</v>
      </c>
      <c r="J677" s="3">
        <f>IFERROR(INDEX('Tagging key'!F:F, MATCH(F677,'Tagging key'!C:C,0)),"")</f>
        <v>18.93</v>
      </c>
      <c r="K677" s="3">
        <v>35.72</v>
      </c>
      <c r="L677" s="3">
        <v>72.67</v>
      </c>
      <c r="M677" s="3">
        <v>42.18</v>
      </c>
      <c r="N677" s="3">
        <v>22.05</v>
      </c>
      <c r="O677" s="3"/>
      <c r="P677" s="22">
        <v>45882</v>
      </c>
      <c r="Q677" s="22">
        <v>45882</v>
      </c>
      <c r="R677" s="3"/>
    </row>
    <row r="678" spans="1:19" hidden="1" x14ac:dyDescent="0.25">
      <c r="A678" s="8">
        <v>19</v>
      </c>
      <c r="B678" s="8">
        <v>7</v>
      </c>
      <c r="C678" s="8" t="s">
        <v>105</v>
      </c>
      <c r="D678" s="8" t="s">
        <v>16</v>
      </c>
      <c r="E678" s="8" t="s">
        <v>871</v>
      </c>
      <c r="F678" s="8" t="str">
        <f t="shared" si="10"/>
        <v>O_R86</v>
      </c>
      <c r="G678" s="3">
        <v>29.638000000000002</v>
      </c>
      <c r="H678" s="3">
        <f>IFERROR(INDEX('Tagging key'!D:D, MATCH(F678,'Tagging key'!C:C,0)),"")</f>
        <v>57.79</v>
      </c>
      <c r="I678" s="3">
        <f>IFERROR(INDEX('Tagging key'!E:E, MATCH(F678,'Tagging key'!C:C,0)),"")</f>
        <v>53.49</v>
      </c>
      <c r="J678" s="3">
        <f>IFERROR(INDEX('Tagging key'!F:F, MATCH(F678,'Tagging key'!C:C,0)),"")</f>
        <v>16.149999999999999</v>
      </c>
      <c r="K678" s="3">
        <v>29.382999999999999</v>
      </c>
      <c r="L678" s="3">
        <v>61.46</v>
      </c>
      <c r="M678" s="3">
        <v>41.61</v>
      </c>
      <c r="N678" s="3">
        <v>17.11</v>
      </c>
      <c r="O678" s="3"/>
      <c r="P678" s="22">
        <v>45886</v>
      </c>
      <c r="Q678" s="22">
        <v>45886</v>
      </c>
      <c r="R678" s="3">
        <v>19.712</v>
      </c>
    </row>
    <row r="679" spans="1:19" hidden="1" x14ac:dyDescent="0.25">
      <c r="A679" s="9">
        <v>19</v>
      </c>
      <c r="B679" s="9">
        <v>8</v>
      </c>
      <c r="C679" s="9" t="s">
        <v>105</v>
      </c>
      <c r="D679" s="9" t="s">
        <v>16</v>
      </c>
      <c r="E679" s="9" t="s">
        <v>467</v>
      </c>
      <c r="F679" s="9" t="str">
        <f t="shared" si="10"/>
        <v>O_R57</v>
      </c>
      <c r="G679" s="3">
        <v>21.512</v>
      </c>
      <c r="H679" s="3">
        <f>IFERROR(INDEX('Tagging key'!D:D, MATCH(F679,'Tagging key'!C:C,0)),"")</f>
        <v>62.07</v>
      </c>
      <c r="I679" s="3">
        <f>IFERROR(INDEX('Tagging key'!E:E, MATCH(F679,'Tagging key'!C:C,0)),"")</f>
        <v>47.55</v>
      </c>
      <c r="J679" s="3">
        <f>IFERROR(INDEX('Tagging key'!F:F, MATCH(F679,'Tagging key'!C:C,0)),"")</f>
        <v>13.79</v>
      </c>
      <c r="K679" s="3">
        <v>21.317</v>
      </c>
      <c r="L679" s="3">
        <v>63.57</v>
      </c>
      <c r="M679" s="3">
        <v>43.2</v>
      </c>
      <c r="N679" s="3">
        <v>14.45</v>
      </c>
      <c r="O679" s="3"/>
      <c r="P679" s="22">
        <v>45879</v>
      </c>
      <c r="Q679" s="22">
        <v>45879</v>
      </c>
      <c r="R679" s="3"/>
    </row>
    <row r="680" spans="1:19" hidden="1" x14ac:dyDescent="0.25">
      <c r="A680" s="9">
        <v>19</v>
      </c>
      <c r="B680" s="9">
        <v>8</v>
      </c>
      <c r="C680" s="9" t="s">
        <v>105</v>
      </c>
      <c r="D680" s="9" t="s">
        <v>16</v>
      </c>
      <c r="E680" s="9" t="s">
        <v>264</v>
      </c>
      <c r="F680" s="9" t="str">
        <f t="shared" si="10"/>
        <v>O_B48</v>
      </c>
      <c r="G680" s="3">
        <v>26.824000000000002</v>
      </c>
      <c r="H680" s="3">
        <f>IFERROR(INDEX('Tagging key'!D:D, MATCH(F680,'Tagging key'!C:C,0)),"")</f>
        <v>70.650000000000006</v>
      </c>
      <c r="I680" s="3">
        <f>IFERROR(INDEX('Tagging key'!E:E, MATCH(F680,'Tagging key'!C:C,0)),"")</f>
        <v>51.33</v>
      </c>
      <c r="J680" s="3">
        <f>IFERROR(INDEX('Tagging key'!F:F, MATCH(F680,'Tagging key'!C:C,0)),"")</f>
        <v>15.85</v>
      </c>
      <c r="K680" s="3">
        <v>26.733000000000001</v>
      </c>
      <c r="L680" s="3">
        <v>70.3</v>
      </c>
      <c r="M680" s="3">
        <v>39.86</v>
      </c>
      <c r="N680" s="3">
        <v>17.47</v>
      </c>
      <c r="O680" s="3"/>
      <c r="P680" s="22">
        <v>45877</v>
      </c>
      <c r="Q680" s="22">
        <v>45877</v>
      </c>
      <c r="R680" s="3"/>
    </row>
    <row r="681" spans="1:19" hidden="1" x14ac:dyDescent="0.25">
      <c r="A681" s="9">
        <v>19</v>
      </c>
      <c r="B681" s="9">
        <v>8</v>
      </c>
      <c r="C681" s="9" t="s">
        <v>105</v>
      </c>
      <c r="D681" s="9" t="s">
        <v>16</v>
      </c>
      <c r="E681" s="9" t="s">
        <v>977</v>
      </c>
      <c r="F681" s="9" t="str">
        <f t="shared" si="10"/>
        <v>O_R99B</v>
      </c>
      <c r="G681" s="3">
        <v>30.215</v>
      </c>
      <c r="H681" s="3">
        <f>IFERROR(INDEX('Tagging key'!D:D, MATCH(F681,'Tagging key'!C:C,0)),"")</f>
        <v>61.23</v>
      </c>
      <c r="I681" s="3">
        <f>IFERROR(INDEX('Tagging key'!E:E, MATCH(F681,'Tagging key'!C:C,0)),"")</f>
        <v>50.9</v>
      </c>
      <c r="J681" s="3">
        <f>IFERROR(INDEX('Tagging key'!F:F, MATCH(F681,'Tagging key'!C:C,0)),"")</f>
        <v>16.559999999999999</v>
      </c>
      <c r="K681" s="3">
        <v>29.887</v>
      </c>
      <c r="L681" s="3">
        <v>61.6</v>
      </c>
      <c r="M681" s="3">
        <v>43.63</v>
      </c>
      <c r="N681" s="3">
        <v>18.079999999999998</v>
      </c>
      <c r="O681" s="3"/>
      <c r="P681" s="22">
        <v>45886</v>
      </c>
      <c r="Q681" s="22">
        <v>45886</v>
      </c>
      <c r="R681" s="3">
        <v>15.076000000000001</v>
      </c>
      <c r="S681" t="s">
        <v>718</v>
      </c>
    </row>
    <row r="682" spans="1:19" x14ac:dyDescent="0.25">
      <c r="A682" s="9">
        <v>19</v>
      </c>
      <c r="B682" s="9">
        <v>8</v>
      </c>
      <c r="C682" s="9" t="s">
        <v>105</v>
      </c>
      <c r="D682" s="9" t="s">
        <v>16</v>
      </c>
      <c r="E682" s="9" t="s">
        <v>55</v>
      </c>
      <c r="F682" s="9" t="str">
        <f t="shared" si="10"/>
        <v>O_R82</v>
      </c>
      <c r="G682" s="3">
        <v>28.869</v>
      </c>
      <c r="H682" s="3">
        <f>IFERROR(INDEX('Tagging key'!D:D, MATCH(F682,'Tagging key'!C:C,0)),"")</f>
        <v>68.39</v>
      </c>
      <c r="I682" s="3">
        <f>IFERROR(INDEX('Tagging key'!E:E, MATCH(F682,'Tagging key'!C:C,0)),"")</f>
        <v>53.16</v>
      </c>
      <c r="J682" s="3">
        <f>IFERROR(INDEX('Tagging key'!F:F, MATCH(F682,'Tagging key'!C:C,0)),"")</f>
        <v>16.95</v>
      </c>
      <c r="K682" s="3">
        <v>28.478999999999999</v>
      </c>
      <c r="L682" s="3">
        <v>69.94</v>
      </c>
      <c r="M682" s="3">
        <v>44.06</v>
      </c>
      <c r="N682" s="3">
        <v>18.190000000000001</v>
      </c>
      <c r="O682" s="3"/>
      <c r="P682" s="22">
        <v>45882</v>
      </c>
      <c r="Q682" s="22">
        <v>45882</v>
      </c>
      <c r="R682" s="3">
        <v>15.901</v>
      </c>
    </row>
    <row r="683" spans="1:19" hidden="1" x14ac:dyDescent="0.25">
      <c r="A683" s="8">
        <v>19</v>
      </c>
      <c r="B683" s="8">
        <v>9</v>
      </c>
      <c r="C683" s="8" t="s">
        <v>105</v>
      </c>
      <c r="D683" s="8" t="s">
        <v>16</v>
      </c>
      <c r="E683" s="8" t="s">
        <v>978</v>
      </c>
      <c r="F683" s="8" t="str">
        <f t="shared" si="10"/>
        <v>O_R10</v>
      </c>
      <c r="G683" s="3">
        <v>27.806000000000001</v>
      </c>
      <c r="H683" s="3">
        <f>IFERROR(INDEX('Tagging key'!D:D, MATCH(F683,'Tagging key'!C:C,0)),"")</f>
        <v>60.77</v>
      </c>
      <c r="I683" s="3">
        <f>IFERROR(INDEX('Tagging key'!E:E, MATCH(F683,'Tagging key'!C:C,0)),"")</f>
        <v>43.41</v>
      </c>
      <c r="J683" s="3">
        <f>IFERROR(INDEX('Tagging key'!F:F, MATCH(F683,'Tagging key'!C:C,0)),"")</f>
        <v>17.54</v>
      </c>
      <c r="K683" s="3">
        <v>27.504999999999999</v>
      </c>
      <c r="L683" s="3">
        <v>65.900000000000006</v>
      </c>
      <c r="M683" s="3">
        <v>49.43</v>
      </c>
      <c r="N683" s="3">
        <v>18.95</v>
      </c>
      <c r="O683" s="3"/>
      <c r="P683" s="22">
        <v>45877</v>
      </c>
      <c r="Q683" s="22">
        <v>45877</v>
      </c>
      <c r="R683" s="3"/>
    </row>
    <row r="684" spans="1:19" hidden="1" x14ac:dyDescent="0.25">
      <c r="A684" s="8">
        <v>19</v>
      </c>
      <c r="B684" s="8">
        <v>9</v>
      </c>
      <c r="C684" s="8" t="s">
        <v>105</v>
      </c>
      <c r="D684" s="8" t="s">
        <v>16</v>
      </c>
      <c r="E684" s="8" t="s">
        <v>893</v>
      </c>
      <c r="F684" s="8" t="str">
        <f t="shared" si="10"/>
        <v>O_R70</v>
      </c>
      <c r="G684" s="3">
        <v>21.117000000000001</v>
      </c>
      <c r="H684" s="3">
        <f>IFERROR(INDEX('Tagging key'!D:D, MATCH(F684,'Tagging key'!C:C,0)),"")</f>
        <v>58.41</v>
      </c>
      <c r="I684" s="3">
        <f>IFERROR(INDEX('Tagging key'!E:E, MATCH(F684,'Tagging key'!C:C,0)),"")</f>
        <v>43.38</v>
      </c>
      <c r="J684" s="3">
        <f>IFERROR(INDEX('Tagging key'!F:F, MATCH(F684,'Tagging key'!C:C,0)),"")</f>
        <v>13.69</v>
      </c>
      <c r="K684" s="3">
        <v>20.925000000000001</v>
      </c>
      <c r="L684" s="3">
        <v>58.01</v>
      </c>
      <c r="M684" s="3">
        <v>43.77</v>
      </c>
      <c r="N684" s="3">
        <v>13.96</v>
      </c>
      <c r="O684" s="3"/>
      <c r="P684" s="22">
        <v>45886</v>
      </c>
      <c r="Q684" s="22">
        <v>45886</v>
      </c>
      <c r="R684" s="3">
        <v>12.967000000000001</v>
      </c>
    </row>
    <row r="685" spans="1:19" hidden="1" x14ac:dyDescent="0.25">
      <c r="A685" s="8">
        <v>19</v>
      </c>
      <c r="B685" s="8">
        <v>9</v>
      </c>
      <c r="C685" s="8" t="s">
        <v>105</v>
      </c>
      <c r="D685" s="8" t="s">
        <v>16</v>
      </c>
      <c r="E685" s="8" t="s">
        <v>51</v>
      </c>
      <c r="F685" s="8" t="str">
        <f t="shared" si="10"/>
        <v>O_B67</v>
      </c>
      <c r="G685" s="3">
        <v>41.715000000000003</v>
      </c>
      <c r="H685" s="3">
        <f>IFERROR(INDEX('Tagging key'!D:D, MATCH(F685,'Tagging key'!C:C,0)),"")</f>
        <v>69.31</v>
      </c>
      <c r="I685" s="3">
        <f>IFERROR(INDEX('Tagging key'!E:E, MATCH(F685,'Tagging key'!C:C,0)),"")</f>
        <v>47.76</v>
      </c>
      <c r="J685" s="3">
        <f>IFERROR(INDEX('Tagging key'!F:F, MATCH(F685,'Tagging key'!C:C,0)),"")</f>
        <v>19.96</v>
      </c>
      <c r="K685" s="3">
        <v>41.444000000000003</v>
      </c>
      <c r="L685" s="3">
        <v>69.91</v>
      </c>
      <c r="M685" s="3">
        <v>45.29</v>
      </c>
      <c r="N685" s="3">
        <v>19.97</v>
      </c>
      <c r="O685" s="3"/>
      <c r="P685" s="22">
        <v>45879</v>
      </c>
      <c r="Q685" s="22">
        <v>45879</v>
      </c>
      <c r="R685" s="3"/>
    </row>
    <row r="686" spans="1:19" x14ac:dyDescent="0.25">
      <c r="A686" s="8">
        <v>19</v>
      </c>
      <c r="B686" s="8">
        <v>9</v>
      </c>
      <c r="C686" s="8" t="s">
        <v>105</v>
      </c>
      <c r="D686" s="8" t="s">
        <v>16</v>
      </c>
      <c r="E686" s="8" t="s">
        <v>781</v>
      </c>
      <c r="F686" s="8" t="str">
        <f t="shared" si="10"/>
        <v>O_R29</v>
      </c>
      <c r="G686" s="3">
        <v>37.347000000000001</v>
      </c>
      <c r="H686" s="3">
        <f>IFERROR(INDEX('Tagging key'!D:D, MATCH(F686,'Tagging key'!C:C,0)),"")</f>
        <v>79.22</v>
      </c>
      <c r="I686" s="3">
        <f>IFERROR(INDEX('Tagging key'!E:E, MATCH(F686,'Tagging key'!C:C,0)),"")</f>
        <v>46.14</v>
      </c>
      <c r="J686" s="3">
        <f>IFERROR(INDEX('Tagging key'!F:F, MATCH(F686,'Tagging key'!C:C,0)),"")</f>
        <v>15.02</v>
      </c>
      <c r="K686" s="3">
        <v>37.18</v>
      </c>
      <c r="L686" s="3">
        <v>77.349999999999994</v>
      </c>
      <c r="M686" s="3">
        <v>36.71</v>
      </c>
      <c r="N686" s="3">
        <v>19.100000000000001</v>
      </c>
      <c r="O686" s="3"/>
      <c r="P686" s="22">
        <v>45882</v>
      </c>
      <c r="Q686" s="22">
        <v>45882</v>
      </c>
      <c r="R686" s="3">
        <v>21.837</v>
      </c>
    </row>
    <row r="687" spans="1:19" hidden="1" x14ac:dyDescent="0.25">
      <c r="A687" s="13">
        <v>20</v>
      </c>
      <c r="B687" s="13">
        <v>1</v>
      </c>
      <c r="C687" s="13" t="s">
        <v>176</v>
      </c>
      <c r="D687" s="13" t="s">
        <v>72</v>
      </c>
      <c r="E687" s="13" t="s">
        <v>979</v>
      </c>
      <c r="F687" s="13" t="str">
        <f t="shared" si="10"/>
        <v>S_W90</v>
      </c>
      <c r="G687" s="3">
        <v>62.04</v>
      </c>
      <c r="H687" s="3">
        <f>IFERROR(INDEX('Tagging key'!D:D, MATCH(F687,'Tagging key'!C:C,0)),"")</f>
        <v>76</v>
      </c>
      <c r="I687" s="3">
        <f>IFERROR(INDEX('Tagging key'!E:E, MATCH(F687,'Tagging key'!C:C,0)),"")</f>
        <v>78</v>
      </c>
      <c r="J687" s="3">
        <f>IFERROR(INDEX('Tagging key'!F:F, MATCH(F687,'Tagging key'!C:C,0)),"")</f>
        <v>22</v>
      </c>
      <c r="K687" s="3">
        <v>57.987000000000002</v>
      </c>
      <c r="L687" s="3">
        <v>75.95</v>
      </c>
      <c r="M687" s="3">
        <v>80.040000000000006</v>
      </c>
      <c r="N687" s="3">
        <v>21.59</v>
      </c>
      <c r="O687" s="3"/>
      <c r="P687" s="22">
        <v>45886</v>
      </c>
      <c r="Q687" s="22">
        <v>45886</v>
      </c>
      <c r="R687" s="3"/>
    </row>
    <row r="688" spans="1:19" hidden="1" x14ac:dyDescent="0.25">
      <c r="A688" s="13">
        <v>20</v>
      </c>
      <c r="B688" s="13">
        <v>1</v>
      </c>
      <c r="C688" s="13" t="s">
        <v>176</v>
      </c>
      <c r="D688" s="13" t="s">
        <v>72</v>
      </c>
      <c r="E688" s="13" t="s">
        <v>980</v>
      </c>
      <c r="F688" s="13" t="str">
        <f t="shared" si="10"/>
        <v>S_W74</v>
      </c>
      <c r="G688" s="3">
        <v>47.24</v>
      </c>
      <c r="H688" s="3">
        <f>IFERROR(INDEX('Tagging key'!D:D, MATCH(F688,'Tagging key'!C:C,0)),"")</f>
        <v>72</v>
      </c>
      <c r="I688" s="3">
        <f>IFERROR(INDEX('Tagging key'!E:E, MATCH(F688,'Tagging key'!C:C,0)),"")</f>
        <v>75</v>
      </c>
      <c r="J688" s="3">
        <f>IFERROR(INDEX('Tagging key'!F:F, MATCH(F688,'Tagging key'!C:C,0)),"")</f>
        <v>19</v>
      </c>
      <c r="K688" s="3">
        <v>45.003</v>
      </c>
      <c r="L688" s="3">
        <v>73.78</v>
      </c>
      <c r="M688" s="3">
        <v>75.81</v>
      </c>
      <c r="N688" s="3">
        <v>18.62</v>
      </c>
      <c r="O688" s="3"/>
      <c r="P688" s="22">
        <v>45877</v>
      </c>
      <c r="Q688" s="22">
        <v>45877</v>
      </c>
      <c r="R688" s="3"/>
    </row>
    <row r="689" spans="1:19" x14ac:dyDescent="0.25">
      <c r="A689" s="13">
        <v>20</v>
      </c>
      <c r="B689" s="13">
        <v>1</v>
      </c>
      <c r="C689" s="13" t="s">
        <v>176</v>
      </c>
      <c r="D689" s="13" t="s">
        <v>72</v>
      </c>
      <c r="E689" s="13" t="s">
        <v>981</v>
      </c>
      <c r="F689" s="13" t="str">
        <f t="shared" si="10"/>
        <v>S_Y40</v>
      </c>
      <c r="G689" s="3">
        <v>53.49</v>
      </c>
      <c r="H689" s="3">
        <f>IFERROR(INDEX('Tagging key'!D:D, MATCH(F689,'Tagging key'!C:C,0)),"")</f>
        <v>71</v>
      </c>
      <c r="I689" s="3">
        <f>IFERROR(INDEX('Tagging key'!E:E, MATCH(F689,'Tagging key'!C:C,0)),"")</f>
        <v>77</v>
      </c>
      <c r="J689" s="3">
        <f>IFERROR(INDEX('Tagging key'!F:F, MATCH(F689,'Tagging key'!C:C,0)),"")</f>
        <v>17</v>
      </c>
      <c r="K689" s="3">
        <v>50.97</v>
      </c>
      <c r="L689" s="3">
        <v>72.599999999999994</v>
      </c>
      <c r="M689" s="3">
        <v>78.98</v>
      </c>
      <c r="N689" s="3">
        <v>19.559999999999999</v>
      </c>
      <c r="O689" s="3"/>
      <c r="P689" s="22">
        <v>45882</v>
      </c>
      <c r="Q689" s="22">
        <v>45882</v>
      </c>
      <c r="R689" s="3">
        <v>24.285</v>
      </c>
    </row>
    <row r="690" spans="1:19" hidden="1" x14ac:dyDescent="0.25">
      <c r="A690" s="13">
        <v>20</v>
      </c>
      <c r="B690" s="13">
        <v>1</v>
      </c>
      <c r="C690" s="13" t="s">
        <v>176</v>
      </c>
      <c r="D690" s="13" t="s">
        <v>72</v>
      </c>
      <c r="E690" s="13" t="s">
        <v>982</v>
      </c>
      <c r="F690" s="13" t="str">
        <f t="shared" si="10"/>
        <v>S_Y96</v>
      </c>
      <c r="G690" s="3">
        <v>54.462000000000003</v>
      </c>
      <c r="H690" s="3">
        <f>IFERROR(INDEX('Tagging key'!D:D, MATCH(F690,'Tagging key'!C:C,0)),"")</f>
        <v>68</v>
      </c>
      <c r="I690" s="3">
        <f>IFERROR(INDEX('Tagging key'!E:E, MATCH(F690,'Tagging key'!C:C,0)),"")</f>
        <v>75</v>
      </c>
      <c r="J690" s="3">
        <f>IFERROR(INDEX('Tagging key'!F:F, MATCH(F690,'Tagging key'!C:C,0)),"")</f>
        <v>19</v>
      </c>
      <c r="K690" s="3">
        <v>52.628</v>
      </c>
      <c r="L690" s="3">
        <v>71.31</v>
      </c>
      <c r="M690" s="3">
        <v>76.81</v>
      </c>
      <c r="N690" s="3">
        <v>19.97</v>
      </c>
      <c r="O690" s="3"/>
      <c r="P690" s="22">
        <v>45879</v>
      </c>
      <c r="Q690" s="22">
        <v>45879</v>
      </c>
      <c r="R690" s="3"/>
    </row>
    <row r="691" spans="1:19" hidden="1" x14ac:dyDescent="0.25">
      <c r="A691" s="14">
        <v>20</v>
      </c>
      <c r="B691" s="14">
        <v>2</v>
      </c>
      <c r="C691" s="14" t="s">
        <v>176</v>
      </c>
      <c r="D691" s="14" t="s">
        <v>72</v>
      </c>
      <c r="E691" s="14" t="s">
        <v>983</v>
      </c>
      <c r="F691" s="14" t="str">
        <f t="shared" si="10"/>
        <v>S_W51</v>
      </c>
      <c r="G691" s="3">
        <v>61.152999999999999</v>
      </c>
      <c r="H691" s="3">
        <f>IFERROR(INDEX('Tagging key'!D:D, MATCH(F691,'Tagging key'!C:C,0)),"")</f>
        <v>79</v>
      </c>
      <c r="I691" s="3">
        <f>IFERROR(INDEX('Tagging key'!E:E, MATCH(F691,'Tagging key'!C:C,0)),"")</f>
        <v>81</v>
      </c>
      <c r="J691" s="3">
        <f>IFERROR(INDEX('Tagging key'!F:F, MATCH(F691,'Tagging key'!C:C,0)),"")</f>
        <v>20</v>
      </c>
      <c r="K691" s="3">
        <v>58.393999999999998</v>
      </c>
      <c r="L691" s="3">
        <v>78.53</v>
      </c>
      <c r="M691" s="3">
        <v>80.91</v>
      </c>
      <c r="N691" s="3">
        <v>22.19</v>
      </c>
      <c r="O691" s="3"/>
      <c r="P691" s="22">
        <v>45886</v>
      </c>
      <c r="Q691" s="22">
        <v>45886</v>
      </c>
      <c r="R691" s="3">
        <v>25.231000000000002</v>
      </c>
    </row>
    <row r="692" spans="1:19" hidden="1" x14ac:dyDescent="0.25">
      <c r="A692" s="14">
        <v>20</v>
      </c>
      <c r="B692" s="14">
        <v>2</v>
      </c>
      <c r="C692" s="14" t="s">
        <v>176</v>
      </c>
      <c r="D692" s="14" t="s">
        <v>72</v>
      </c>
      <c r="E692" s="14" t="s">
        <v>984</v>
      </c>
      <c r="F692" s="14" t="str">
        <f t="shared" si="10"/>
        <v>S_Y50</v>
      </c>
      <c r="G692" s="3">
        <v>55.116999999999997</v>
      </c>
      <c r="H692" s="3">
        <f>IFERROR(INDEX('Tagging key'!D:D, MATCH(F692,'Tagging key'!C:C,0)),"")</f>
        <v>75</v>
      </c>
      <c r="I692" s="3">
        <f>IFERROR(INDEX('Tagging key'!E:E, MATCH(F692,'Tagging key'!C:C,0)),"")</f>
        <v>77.5</v>
      </c>
      <c r="J692" s="3">
        <f>IFERROR(INDEX('Tagging key'!F:F, MATCH(F692,'Tagging key'!C:C,0)),"")</f>
        <v>19</v>
      </c>
      <c r="K692" s="3">
        <v>49.91</v>
      </c>
      <c r="L692" s="3">
        <v>75.150000000000006</v>
      </c>
      <c r="M692" s="3">
        <v>78.95</v>
      </c>
      <c r="N692" s="3">
        <v>19.579999999999998</v>
      </c>
      <c r="O692" s="3"/>
      <c r="P692" s="22">
        <v>45877</v>
      </c>
      <c r="Q692" s="22">
        <v>45877</v>
      </c>
      <c r="R692" s="3"/>
    </row>
    <row r="693" spans="1:19" x14ac:dyDescent="0.25">
      <c r="A693" s="14">
        <v>20</v>
      </c>
      <c r="B693" s="14">
        <v>2</v>
      </c>
      <c r="C693" s="14" t="s">
        <v>176</v>
      </c>
      <c r="D693" s="14" t="s">
        <v>72</v>
      </c>
      <c r="E693" s="14" t="s">
        <v>985</v>
      </c>
      <c r="F693" s="14" t="str">
        <f t="shared" si="10"/>
        <v>S_Y56</v>
      </c>
      <c r="G693" s="3">
        <v>43.343000000000004</v>
      </c>
      <c r="H693" s="3">
        <f>IFERROR(INDEX('Tagging key'!D:D, MATCH(F693,'Tagging key'!C:C,0)),"")</f>
        <v>67</v>
      </c>
      <c r="I693" s="3">
        <f>IFERROR(INDEX('Tagging key'!E:E, MATCH(F693,'Tagging key'!C:C,0)),"")</f>
        <v>74</v>
      </c>
      <c r="J693" s="3">
        <f>IFERROR(INDEX('Tagging key'!F:F, MATCH(F693,'Tagging key'!C:C,0)),"")</f>
        <v>18</v>
      </c>
      <c r="K693" s="3">
        <v>40.976999999999997</v>
      </c>
      <c r="L693" s="3">
        <v>67.75</v>
      </c>
      <c r="M693" s="3">
        <v>74.81</v>
      </c>
      <c r="N693" s="3">
        <v>20.77</v>
      </c>
      <c r="O693" s="3"/>
      <c r="P693" s="22">
        <v>45882</v>
      </c>
      <c r="Q693" s="22">
        <v>45882</v>
      </c>
      <c r="R693" s="3">
        <v>17.727</v>
      </c>
    </row>
    <row r="694" spans="1:19" hidden="1" x14ac:dyDescent="0.25">
      <c r="A694" s="14">
        <v>20</v>
      </c>
      <c r="B694" s="14">
        <v>2</v>
      </c>
      <c r="C694" s="14" t="s">
        <v>176</v>
      </c>
      <c r="D694" s="14" t="s">
        <v>72</v>
      </c>
      <c r="E694" s="14" t="s">
        <v>986</v>
      </c>
      <c r="F694" s="14" t="str">
        <f t="shared" si="10"/>
        <v>S_G42B</v>
      </c>
      <c r="G694" s="3">
        <v>55.497</v>
      </c>
      <c r="H694" s="3">
        <f>IFERROR(INDEX('Tagging key'!D:D, MATCH(F694,'Tagging key'!C:C,0)),"")</f>
        <v>77.099999999999994</v>
      </c>
      <c r="I694" s="3">
        <f>IFERROR(INDEX('Tagging key'!E:E, MATCH(F694,'Tagging key'!C:C,0)),"")</f>
        <v>78.3</v>
      </c>
      <c r="J694" s="3">
        <f>IFERROR(INDEX('Tagging key'!F:F, MATCH(F694,'Tagging key'!C:C,0)),"")</f>
        <v>20.399999999999999</v>
      </c>
      <c r="K694" s="3">
        <v>55.02</v>
      </c>
      <c r="L694" s="3">
        <v>76.209999999999994</v>
      </c>
      <c r="M694" s="3">
        <v>78.849999999999994</v>
      </c>
      <c r="N694" s="3">
        <v>23.91</v>
      </c>
      <c r="O694" s="3"/>
      <c r="P694" s="22">
        <v>45879</v>
      </c>
      <c r="Q694" s="22">
        <v>45879</v>
      </c>
      <c r="R694" s="3"/>
      <c r="S694" t="s">
        <v>987</v>
      </c>
    </row>
    <row r="695" spans="1:19" x14ac:dyDescent="0.25">
      <c r="A695" s="13">
        <v>20</v>
      </c>
      <c r="B695" s="13">
        <v>3</v>
      </c>
      <c r="C695" s="13" t="s">
        <v>176</v>
      </c>
      <c r="D695" s="13" t="s">
        <v>72</v>
      </c>
      <c r="E695" s="13" t="s">
        <v>988</v>
      </c>
      <c r="F695" s="13" t="str">
        <f t="shared" si="10"/>
        <v>S_Y33</v>
      </c>
      <c r="G695" s="3">
        <v>54.225000000000001</v>
      </c>
      <c r="H695" s="3">
        <f>IFERROR(INDEX('Tagging key'!D:D, MATCH(F695,'Tagging key'!C:C,0)),"")</f>
        <v>71</v>
      </c>
      <c r="I695" s="3">
        <f>IFERROR(INDEX('Tagging key'!E:E, MATCH(F695,'Tagging key'!C:C,0)),"")</f>
        <v>76</v>
      </c>
      <c r="J695" s="3">
        <f>IFERROR(INDEX('Tagging key'!F:F, MATCH(F695,'Tagging key'!C:C,0)),"")</f>
        <v>19.5</v>
      </c>
      <c r="K695" s="3">
        <v>54.811</v>
      </c>
      <c r="L695" s="3">
        <v>72.739999999999995</v>
      </c>
      <c r="M695" s="3">
        <v>77.8</v>
      </c>
      <c r="N695" s="3">
        <v>20.76</v>
      </c>
      <c r="O695" s="3"/>
      <c r="P695" s="22">
        <v>45882</v>
      </c>
      <c r="Q695" s="22">
        <v>45882</v>
      </c>
      <c r="R695" s="3">
        <v>22.971</v>
      </c>
      <c r="S695" t="s">
        <v>989</v>
      </c>
    </row>
    <row r="696" spans="1:19" hidden="1" x14ac:dyDescent="0.25">
      <c r="A696" s="13">
        <v>20</v>
      </c>
      <c r="B696" s="13">
        <v>3</v>
      </c>
      <c r="C696" s="13" t="s">
        <v>176</v>
      </c>
      <c r="D696" s="13" t="s">
        <v>72</v>
      </c>
      <c r="E696" s="13" t="s">
        <v>990</v>
      </c>
      <c r="F696" s="13" t="str">
        <f t="shared" si="10"/>
        <v>S_G92</v>
      </c>
      <c r="G696" s="3">
        <v>60.686999999999998</v>
      </c>
      <c r="H696" s="3">
        <f>IFERROR(INDEX('Tagging key'!D:D, MATCH(F696,'Tagging key'!C:C,0)),"")</f>
        <v>73</v>
      </c>
      <c r="I696" s="3">
        <f>IFERROR(INDEX('Tagging key'!E:E, MATCH(F696,'Tagging key'!C:C,0)),"")</f>
        <v>77</v>
      </c>
      <c r="J696" s="3">
        <f>IFERROR(INDEX('Tagging key'!F:F, MATCH(F696,'Tagging key'!C:C,0)),"")</f>
        <v>20</v>
      </c>
      <c r="K696" s="3">
        <v>56.045999999999999</v>
      </c>
      <c r="L696" s="3">
        <v>74.569999999999993</v>
      </c>
      <c r="M696" s="3">
        <v>79.39</v>
      </c>
      <c r="N696" s="3">
        <v>23</v>
      </c>
      <c r="O696" s="3"/>
      <c r="P696" s="22">
        <v>45877</v>
      </c>
      <c r="Q696" s="22">
        <v>45877</v>
      </c>
      <c r="R696" s="3"/>
    </row>
    <row r="697" spans="1:19" hidden="1" x14ac:dyDescent="0.25">
      <c r="A697" s="13">
        <v>20</v>
      </c>
      <c r="B697" s="13">
        <v>3</v>
      </c>
      <c r="C697" s="13" t="s">
        <v>176</v>
      </c>
      <c r="D697" s="13" t="s">
        <v>72</v>
      </c>
      <c r="E697" s="13" t="s">
        <v>991</v>
      </c>
      <c r="F697" s="13" t="str">
        <f t="shared" si="10"/>
        <v>S_Y12</v>
      </c>
      <c r="G697" s="3">
        <v>64.271000000000001</v>
      </c>
      <c r="H697" s="3">
        <f>IFERROR(INDEX('Tagging key'!D:D, MATCH(F697,'Tagging key'!C:C,0)),"")</f>
        <v>72.5</v>
      </c>
      <c r="I697" s="3">
        <f>IFERROR(INDEX('Tagging key'!E:E, MATCH(F697,'Tagging key'!C:C,0)),"")</f>
        <v>76</v>
      </c>
      <c r="J697" s="3">
        <f>IFERROR(INDEX('Tagging key'!F:F, MATCH(F697,'Tagging key'!C:C,0)),"")</f>
        <v>17</v>
      </c>
      <c r="K697" s="3">
        <v>44.896999999999998</v>
      </c>
      <c r="L697" s="3">
        <v>74.209999999999994</v>
      </c>
      <c r="M697" s="3">
        <v>75.09</v>
      </c>
      <c r="N697" s="3">
        <v>18.440000000000001</v>
      </c>
      <c r="O697" s="3"/>
      <c r="P697" s="22">
        <v>45879</v>
      </c>
      <c r="Q697" s="22">
        <v>45879</v>
      </c>
      <c r="R697" s="3"/>
    </row>
    <row r="698" spans="1:19" hidden="1" x14ac:dyDescent="0.25">
      <c r="A698" s="13">
        <v>20</v>
      </c>
      <c r="B698" s="13">
        <v>3</v>
      </c>
      <c r="C698" s="13" t="s">
        <v>176</v>
      </c>
      <c r="D698" s="13" t="s">
        <v>72</v>
      </c>
      <c r="E698" s="13" t="s">
        <v>992</v>
      </c>
      <c r="F698" s="13" t="str">
        <f t="shared" si="10"/>
        <v>S_G56</v>
      </c>
      <c r="G698" s="3">
        <v>67.557000000000002</v>
      </c>
      <c r="H698" s="3">
        <f>IFERROR(INDEX('Tagging key'!D:D, MATCH(F698,'Tagging key'!C:C,0)),"")</f>
        <v>72</v>
      </c>
      <c r="I698" s="3">
        <f>IFERROR(INDEX('Tagging key'!E:E, MATCH(F698,'Tagging key'!C:C,0)),"")</f>
        <v>80</v>
      </c>
      <c r="J698" s="3">
        <f>IFERROR(INDEX('Tagging key'!F:F, MATCH(F698,'Tagging key'!C:C,0)),"")</f>
        <v>21</v>
      </c>
      <c r="K698" s="3">
        <v>65.126000000000005</v>
      </c>
      <c r="L698" s="3">
        <v>73.37</v>
      </c>
      <c r="M698" s="3">
        <v>81.459999999999994</v>
      </c>
      <c r="N698" s="3">
        <v>23</v>
      </c>
      <c r="O698" s="3"/>
      <c r="P698" s="22">
        <v>45886</v>
      </c>
      <c r="Q698" s="22">
        <v>45886</v>
      </c>
      <c r="R698" s="3">
        <v>27.210999999999999</v>
      </c>
    </row>
    <row r="699" spans="1:19" hidden="1" x14ac:dyDescent="0.25">
      <c r="A699" s="8">
        <v>20</v>
      </c>
      <c r="B699" s="8">
        <v>4</v>
      </c>
      <c r="C699" s="8" t="s">
        <v>105</v>
      </c>
      <c r="D699" s="8" t="s">
        <v>16</v>
      </c>
      <c r="E699" s="8" t="s">
        <v>192</v>
      </c>
      <c r="F699" s="8" t="str">
        <f t="shared" si="10"/>
        <v>O_R88</v>
      </c>
      <c r="G699" s="3">
        <v>30.873999999999999</v>
      </c>
      <c r="H699" s="3">
        <f>IFERROR(INDEX('Tagging key'!D:D, MATCH(F699,'Tagging key'!C:C,0)),"")</f>
        <v>72.88</v>
      </c>
      <c r="I699" s="3">
        <f>IFERROR(INDEX('Tagging key'!E:E, MATCH(F699,'Tagging key'!C:C,0)),"")</f>
        <v>50.25</v>
      </c>
      <c r="J699" s="3">
        <f>IFERROR(INDEX('Tagging key'!F:F, MATCH(F699,'Tagging key'!C:C,0)),"")</f>
        <v>16.440000000000001</v>
      </c>
      <c r="K699" s="3">
        <v>30.609000000000002</v>
      </c>
      <c r="L699" s="3">
        <v>75.150000000000006</v>
      </c>
      <c r="M699" s="3">
        <v>49.71</v>
      </c>
      <c r="N699" s="3">
        <v>18.899999999999999</v>
      </c>
      <c r="O699" s="3"/>
      <c r="P699" s="22">
        <v>45877</v>
      </c>
      <c r="Q699" s="22">
        <v>45877</v>
      </c>
      <c r="R699" s="3"/>
    </row>
    <row r="700" spans="1:19" hidden="1" x14ac:dyDescent="0.25">
      <c r="A700" s="8">
        <v>20</v>
      </c>
      <c r="B700" s="8">
        <v>4</v>
      </c>
      <c r="C700" s="8" t="s">
        <v>105</v>
      </c>
      <c r="D700" s="8" t="s">
        <v>16</v>
      </c>
      <c r="E700" s="8" t="s">
        <v>98</v>
      </c>
      <c r="F700" s="8" t="str">
        <f t="shared" si="10"/>
        <v>O_B2</v>
      </c>
      <c r="G700" s="3">
        <v>24.763999999999999</v>
      </c>
      <c r="H700" s="3">
        <f>IFERROR(INDEX('Tagging key'!D:D, MATCH(F700,'Tagging key'!C:C,0)),"")</f>
        <v>63.73</v>
      </c>
      <c r="I700" s="3">
        <f>IFERROR(INDEX('Tagging key'!E:E, MATCH(F700,'Tagging key'!C:C,0)),"")</f>
        <v>53.03</v>
      </c>
      <c r="J700" s="3">
        <f>IFERROR(INDEX('Tagging key'!F:F, MATCH(F700,'Tagging key'!C:C,0)),"")</f>
        <v>17.95</v>
      </c>
      <c r="K700" s="3">
        <v>24.792000000000002</v>
      </c>
      <c r="L700" s="3">
        <v>67.36</v>
      </c>
      <c r="M700" s="3">
        <v>34.83</v>
      </c>
      <c r="N700" s="3">
        <v>19.18</v>
      </c>
      <c r="O700" s="3"/>
      <c r="P700" s="22">
        <v>45886</v>
      </c>
      <c r="Q700" s="22">
        <v>45886</v>
      </c>
      <c r="R700" s="3"/>
    </row>
    <row r="701" spans="1:19" hidden="1" x14ac:dyDescent="0.25">
      <c r="A701" s="8">
        <v>20</v>
      </c>
      <c r="B701" s="8">
        <v>4</v>
      </c>
      <c r="C701" s="8" t="s">
        <v>105</v>
      </c>
      <c r="D701" s="8" t="s">
        <v>16</v>
      </c>
      <c r="E701" s="8" t="s">
        <v>484</v>
      </c>
      <c r="F701" s="8" t="str">
        <f t="shared" si="10"/>
        <v>O_R26</v>
      </c>
      <c r="G701" s="3">
        <v>36.701999999999998</v>
      </c>
      <c r="H701" s="3">
        <f>IFERROR(INDEX('Tagging key'!D:D, MATCH(F701,'Tagging key'!C:C,0)),"")</f>
        <v>62.62</v>
      </c>
      <c r="I701" s="3">
        <f>IFERROR(INDEX('Tagging key'!E:E, MATCH(F701,'Tagging key'!C:C,0)),"")</f>
        <v>57.92</v>
      </c>
      <c r="J701" s="3">
        <f>IFERROR(INDEX('Tagging key'!F:F, MATCH(F701,'Tagging key'!C:C,0)),"")</f>
        <v>19.47</v>
      </c>
      <c r="K701" s="3">
        <v>36.421999999999997</v>
      </c>
      <c r="L701" s="3">
        <v>65.510000000000005</v>
      </c>
      <c r="M701" s="3">
        <v>55.27</v>
      </c>
      <c r="N701" s="3">
        <v>17.309999999999999</v>
      </c>
      <c r="O701" s="3"/>
      <c r="P701" s="22">
        <v>45879</v>
      </c>
      <c r="Q701" s="22">
        <v>45879</v>
      </c>
      <c r="R701" s="3"/>
    </row>
    <row r="702" spans="1:19" x14ac:dyDescent="0.25">
      <c r="A702" s="8">
        <v>20</v>
      </c>
      <c r="B702" s="8">
        <v>4</v>
      </c>
      <c r="C702" s="8" t="s">
        <v>105</v>
      </c>
      <c r="D702" s="8" t="s">
        <v>16</v>
      </c>
      <c r="E702" s="8" t="s">
        <v>473</v>
      </c>
      <c r="F702" s="8" t="str">
        <f t="shared" si="10"/>
        <v>O_R25</v>
      </c>
      <c r="G702" s="3">
        <v>33.878999999999998</v>
      </c>
      <c r="H702" s="3">
        <f>IFERROR(INDEX('Tagging key'!D:D, MATCH(F702,'Tagging key'!C:C,0)),"")</f>
        <v>68.069999999999993</v>
      </c>
      <c r="I702" s="3">
        <f>IFERROR(INDEX('Tagging key'!E:E, MATCH(F702,'Tagging key'!C:C,0)),"")</f>
        <v>43.91</v>
      </c>
      <c r="J702" s="3">
        <f>IFERROR(INDEX('Tagging key'!F:F, MATCH(F702,'Tagging key'!C:C,0)),"")</f>
        <v>17.93</v>
      </c>
      <c r="K702" s="3">
        <v>33.360999999999997</v>
      </c>
      <c r="L702" s="3">
        <v>71.41</v>
      </c>
      <c r="M702" s="3">
        <v>44.25</v>
      </c>
      <c r="N702" s="3">
        <v>19.16</v>
      </c>
      <c r="O702" s="3"/>
      <c r="P702" s="22">
        <v>45882</v>
      </c>
      <c r="Q702" s="22">
        <v>45882</v>
      </c>
      <c r="R702" s="3">
        <v>20.913</v>
      </c>
    </row>
    <row r="703" spans="1:19" x14ac:dyDescent="0.25">
      <c r="A703" s="9">
        <v>20</v>
      </c>
      <c r="B703" s="9">
        <v>5</v>
      </c>
      <c r="C703" s="9" t="s">
        <v>105</v>
      </c>
      <c r="D703" s="9" t="s">
        <v>16</v>
      </c>
      <c r="E703" s="9" t="s">
        <v>931</v>
      </c>
      <c r="F703" s="9" t="str">
        <f t="shared" si="10"/>
        <v>O_B29</v>
      </c>
      <c r="G703" s="3">
        <v>30.936</v>
      </c>
      <c r="H703" s="3">
        <f>IFERROR(INDEX('Tagging key'!D:D, MATCH(F703,'Tagging key'!C:C,0)),"")</f>
        <v>62.15</v>
      </c>
      <c r="I703" s="3">
        <f>IFERROR(INDEX('Tagging key'!E:E, MATCH(F703,'Tagging key'!C:C,0)),"")</f>
        <v>45.91</v>
      </c>
      <c r="J703" s="3">
        <f>IFERROR(INDEX('Tagging key'!F:F, MATCH(F703,'Tagging key'!C:C,0)),"")</f>
        <v>16.34</v>
      </c>
      <c r="K703" s="3">
        <v>31.018999999999998</v>
      </c>
      <c r="L703" s="3">
        <v>61.32</v>
      </c>
      <c r="M703" s="3">
        <v>45.68</v>
      </c>
      <c r="N703" s="3">
        <v>17.04</v>
      </c>
      <c r="O703" s="3"/>
      <c r="P703" s="22">
        <v>45882</v>
      </c>
      <c r="Q703" s="22">
        <v>45882</v>
      </c>
      <c r="R703" s="3">
        <v>22.120999999999999</v>
      </c>
    </row>
    <row r="704" spans="1:19" hidden="1" x14ac:dyDescent="0.25">
      <c r="A704" s="9">
        <v>20</v>
      </c>
      <c r="B704" s="9">
        <v>5</v>
      </c>
      <c r="C704" s="9" t="s">
        <v>105</v>
      </c>
      <c r="D704" s="9" t="s">
        <v>16</v>
      </c>
      <c r="E704" s="9" t="s">
        <v>892</v>
      </c>
      <c r="F704" s="9" t="str">
        <f t="shared" si="10"/>
        <v>O_R71</v>
      </c>
      <c r="G704" s="3">
        <v>51.271999999999998</v>
      </c>
      <c r="H704" s="3">
        <f>IFERROR(INDEX('Tagging key'!D:D, MATCH(F704,'Tagging key'!C:C,0)),"")</f>
        <v>79.97</v>
      </c>
      <c r="I704" s="3">
        <f>IFERROR(INDEX('Tagging key'!E:E, MATCH(F704,'Tagging key'!C:C,0)),"")</f>
        <v>55.16</v>
      </c>
      <c r="J704" s="3">
        <f>IFERROR(INDEX('Tagging key'!F:F, MATCH(F704,'Tagging key'!C:C,0)),"")</f>
        <v>18.45</v>
      </c>
      <c r="K704" s="3">
        <v>50.756999999999998</v>
      </c>
      <c r="L704" s="3">
        <v>75.83</v>
      </c>
      <c r="M704" s="3">
        <v>50.85</v>
      </c>
      <c r="N704" s="3">
        <v>19.739999999999998</v>
      </c>
      <c r="O704" s="3"/>
      <c r="P704" s="22">
        <v>45879</v>
      </c>
      <c r="Q704" s="22">
        <v>45879</v>
      </c>
      <c r="R704" s="3"/>
    </row>
    <row r="705" spans="1:19" hidden="1" x14ac:dyDescent="0.25">
      <c r="A705" s="9">
        <v>20</v>
      </c>
      <c r="B705" s="9">
        <v>5</v>
      </c>
      <c r="C705" s="9" t="s">
        <v>105</v>
      </c>
      <c r="D705" s="9" t="s">
        <v>16</v>
      </c>
      <c r="E705" s="9" t="s">
        <v>256</v>
      </c>
      <c r="F705" s="9" t="str">
        <f t="shared" si="10"/>
        <v>O_B19</v>
      </c>
      <c r="G705" s="3">
        <v>41.469000000000001</v>
      </c>
      <c r="H705" s="3">
        <f>IFERROR(INDEX('Tagging key'!D:D, MATCH(F705,'Tagging key'!C:C,0)),"")</f>
        <v>80.52</v>
      </c>
      <c r="I705" s="3">
        <f>IFERROR(INDEX('Tagging key'!E:E, MATCH(F705,'Tagging key'!C:C,0)),"")</f>
        <v>46.08</v>
      </c>
      <c r="J705" s="3">
        <f>IFERROR(INDEX('Tagging key'!F:F, MATCH(F705,'Tagging key'!C:C,0)),"")</f>
        <v>16.48</v>
      </c>
      <c r="K705" s="3">
        <v>41.338000000000001</v>
      </c>
      <c r="L705" s="3">
        <v>79.97</v>
      </c>
      <c r="M705" s="3">
        <v>47.86</v>
      </c>
      <c r="N705" s="3">
        <v>23.37</v>
      </c>
      <c r="O705" s="3"/>
      <c r="P705" s="22">
        <v>45877</v>
      </c>
      <c r="Q705" s="22">
        <v>45877</v>
      </c>
      <c r="R705" s="3"/>
    </row>
    <row r="706" spans="1:19" hidden="1" x14ac:dyDescent="0.25">
      <c r="A706" s="9">
        <v>20</v>
      </c>
      <c r="B706" s="9">
        <v>5</v>
      </c>
      <c r="C706" s="9" t="s">
        <v>105</v>
      </c>
      <c r="D706" s="9" t="s">
        <v>16</v>
      </c>
      <c r="E706" s="9" t="s">
        <v>715</v>
      </c>
      <c r="F706" s="9" t="str">
        <f t="shared" si="10"/>
        <v>O_R85</v>
      </c>
      <c r="G706" s="3">
        <v>27.731999999999999</v>
      </c>
      <c r="H706" s="3">
        <f>IFERROR(INDEX('Tagging key'!D:D, MATCH(F706,'Tagging key'!C:C,0)),"")</f>
        <v>62.41</v>
      </c>
      <c r="I706" s="3">
        <f>IFERROR(INDEX('Tagging key'!E:E, MATCH(F706,'Tagging key'!C:C,0)),"")</f>
        <v>49.13</v>
      </c>
      <c r="J706" s="3">
        <f>IFERROR(INDEX('Tagging key'!F:F, MATCH(F706,'Tagging key'!C:C,0)),"")</f>
        <v>13.66</v>
      </c>
      <c r="K706" s="3">
        <v>27.626999999999999</v>
      </c>
      <c r="L706" s="3">
        <v>63.25</v>
      </c>
      <c r="M706" s="3">
        <v>48.75</v>
      </c>
      <c r="N706" s="3">
        <v>16.61</v>
      </c>
      <c r="O706" s="3"/>
      <c r="P706" s="22">
        <v>45886</v>
      </c>
      <c r="Q706" s="22">
        <v>45886</v>
      </c>
      <c r="R706" s="3">
        <v>18.257999999999999</v>
      </c>
    </row>
    <row r="707" spans="1:19" hidden="1" x14ac:dyDescent="0.25">
      <c r="A707" s="8">
        <v>20</v>
      </c>
      <c r="B707" s="8">
        <v>6</v>
      </c>
      <c r="C707" s="8" t="s">
        <v>105</v>
      </c>
      <c r="D707" s="8" t="s">
        <v>16</v>
      </c>
      <c r="E707" s="8" t="s">
        <v>599</v>
      </c>
      <c r="F707" s="8" t="str">
        <f t="shared" si="10"/>
        <v>O_B11</v>
      </c>
      <c r="G707" s="3">
        <v>37.884</v>
      </c>
      <c r="H707" s="3">
        <f>IFERROR(INDEX('Tagging key'!D:D, MATCH(F707,'Tagging key'!C:C,0)),"")</f>
        <v>76.08</v>
      </c>
      <c r="I707" s="3">
        <f>IFERROR(INDEX('Tagging key'!E:E, MATCH(F707,'Tagging key'!C:C,0)),"")</f>
        <v>50.98</v>
      </c>
      <c r="J707" s="3">
        <f>IFERROR(INDEX('Tagging key'!F:F, MATCH(F707,'Tagging key'!C:C,0)),"")</f>
        <v>18.13</v>
      </c>
      <c r="K707" s="3">
        <v>37.6</v>
      </c>
      <c r="L707" s="3">
        <v>75.930000000000007</v>
      </c>
      <c r="M707" s="3">
        <v>51.92</v>
      </c>
      <c r="N707" s="3">
        <v>23.99</v>
      </c>
      <c r="O707" s="3"/>
      <c r="P707" s="22">
        <v>45877</v>
      </c>
      <c r="Q707" s="22">
        <v>45877</v>
      </c>
      <c r="R707" s="3"/>
    </row>
    <row r="708" spans="1:19" x14ac:dyDescent="0.25">
      <c r="A708" s="8">
        <v>20</v>
      </c>
      <c r="B708" s="8">
        <v>6</v>
      </c>
      <c r="C708" s="8" t="s">
        <v>105</v>
      </c>
      <c r="D708" s="8" t="s">
        <v>16</v>
      </c>
      <c r="E708" s="8" t="s">
        <v>930</v>
      </c>
      <c r="F708" s="8" t="str">
        <f t="shared" si="10"/>
        <v>O_R81</v>
      </c>
      <c r="G708" s="19">
        <v>33.700000000000003</v>
      </c>
      <c r="H708" s="19">
        <f>IFERROR(INDEX('Tagging key'!D:D, MATCH(F708,'Tagging key'!C:C,0)),"")</f>
        <v>66.489999999999995</v>
      </c>
      <c r="I708" s="19">
        <f>IFERROR(INDEX('Tagging key'!E:E, MATCH(F708,'Tagging key'!C:C,0)),"")</f>
        <v>49.37</v>
      </c>
      <c r="J708" s="19">
        <f>IFERROR(INDEX('Tagging key'!F:F, MATCH(F708,'Tagging key'!C:C,0)),"")</f>
        <v>20.52</v>
      </c>
      <c r="K708" s="19"/>
      <c r="L708" s="19"/>
      <c r="M708" s="19"/>
      <c r="N708" s="19"/>
      <c r="O708" s="19"/>
      <c r="P708" s="19"/>
      <c r="Q708" s="19"/>
      <c r="R708" s="19"/>
      <c r="S708" t="s">
        <v>993</v>
      </c>
    </row>
    <row r="709" spans="1:19" x14ac:dyDescent="0.25">
      <c r="A709" s="8">
        <v>20</v>
      </c>
      <c r="B709" s="8">
        <v>6</v>
      </c>
      <c r="C709" s="8" t="s">
        <v>105</v>
      </c>
      <c r="D709" s="8" t="s">
        <v>16</v>
      </c>
      <c r="E709" s="8" t="s">
        <v>955</v>
      </c>
      <c r="F709" s="8" t="str">
        <f t="shared" si="10"/>
        <v>O_Y1</v>
      </c>
      <c r="G709" s="3">
        <v>28.091000000000001</v>
      </c>
      <c r="H709" s="3">
        <f>IFERROR(INDEX('Tagging key'!D:D, MATCH(F709,'Tagging key'!C:C,0)),"")</f>
        <v>63.78</v>
      </c>
      <c r="I709" s="3">
        <f>IFERROR(INDEX('Tagging key'!E:E, MATCH(F709,'Tagging key'!C:C,0)),"")</f>
        <v>49.78</v>
      </c>
      <c r="J709" s="3">
        <f>IFERROR(INDEX('Tagging key'!F:F, MATCH(F709,'Tagging key'!C:C,0)),"")</f>
        <v>18.7</v>
      </c>
      <c r="K709" s="3">
        <v>27.62</v>
      </c>
      <c r="L709" s="3">
        <v>63.66</v>
      </c>
      <c r="M709" s="3">
        <v>47.09</v>
      </c>
      <c r="N709" s="3">
        <v>17.7</v>
      </c>
      <c r="O709" s="3"/>
      <c r="P709" s="22">
        <v>45882</v>
      </c>
      <c r="Q709" s="22">
        <v>45882</v>
      </c>
      <c r="R709" s="3">
        <v>14.89</v>
      </c>
    </row>
    <row r="710" spans="1:19" hidden="1" x14ac:dyDescent="0.25">
      <c r="A710" s="8">
        <v>20</v>
      </c>
      <c r="B710" s="8">
        <v>6</v>
      </c>
      <c r="C710" s="8" t="s">
        <v>105</v>
      </c>
      <c r="D710" s="8" t="s">
        <v>16</v>
      </c>
      <c r="E710" s="8" t="s">
        <v>864</v>
      </c>
      <c r="F710" s="8" t="str">
        <f t="shared" si="10"/>
        <v>O_Y2</v>
      </c>
      <c r="G710" s="3">
        <v>33.762</v>
      </c>
      <c r="H710" s="3">
        <f>IFERROR(INDEX('Tagging key'!D:D, MATCH(F710,'Tagging key'!C:C,0)),"")</f>
        <v>69.260000000000005</v>
      </c>
      <c r="I710" s="3">
        <f>IFERROR(INDEX('Tagging key'!E:E, MATCH(F710,'Tagging key'!C:C,0)),"")</f>
        <v>49.41</v>
      </c>
      <c r="J710" s="3">
        <f>IFERROR(INDEX('Tagging key'!F:F, MATCH(F710,'Tagging key'!C:C,0)),"")</f>
        <v>21.33</v>
      </c>
      <c r="K710" s="3">
        <v>33.204999999999998</v>
      </c>
      <c r="L710" s="3">
        <v>67.31</v>
      </c>
      <c r="M710" s="3">
        <v>45.21</v>
      </c>
      <c r="N710" s="3">
        <v>17.3</v>
      </c>
      <c r="O710" s="3"/>
      <c r="P710" s="22">
        <v>45879</v>
      </c>
      <c r="Q710" s="22">
        <v>45879</v>
      </c>
      <c r="R710" s="3"/>
    </row>
    <row r="711" spans="1:19" x14ac:dyDescent="0.25">
      <c r="A711" s="11">
        <v>20</v>
      </c>
      <c r="B711" s="11">
        <v>7</v>
      </c>
      <c r="C711" s="11" t="s">
        <v>176</v>
      </c>
      <c r="D711" s="11" t="s">
        <v>964</v>
      </c>
      <c r="E711" s="11" t="s">
        <v>408</v>
      </c>
      <c r="F711" s="11" t="str">
        <f t="shared" si="10"/>
        <v>M_G8</v>
      </c>
      <c r="G711" s="3">
        <v>44.652999999999999</v>
      </c>
      <c r="H711" s="3">
        <f>IFERROR(INDEX('Tagging key'!D:D, MATCH(F711,'Tagging key'!C:C,0)),"")</f>
        <v>72</v>
      </c>
      <c r="I711" s="3">
        <f>IFERROR(INDEX('Tagging key'!E:E, MATCH(F711,'Tagging key'!C:C,0)),"")</f>
        <v>37</v>
      </c>
      <c r="J711" s="3">
        <f>IFERROR(INDEX('Tagging key'!F:F, MATCH(F711,'Tagging key'!C:C,0)),"")</f>
        <v>29</v>
      </c>
      <c r="K711" s="3">
        <v>47.24</v>
      </c>
      <c r="L711" s="3">
        <v>73.010000000000005</v>
      </c>
      <c r="M711" s="3">
        <v>36.6</v>
      </c>
      <c r="N711" s="3">
        <v>30.13</v>
      </c>
      <c r="O711" s="3"/>
      <c r="P711" s="22">
        <v>45882</v>
      </c>
      <c r="Q711" s="22">
        <v>45882</v>
      </c>
      <c r="R711" s="3">
        <v>22.626000000000001</v>
      </c>
    </row>
    <row r="712" spans="1:19" hidden="1" x14ac:dyDescent="0.25">
      <c r="A712" s="11">
        <v>20</v>
      </c>
      <c r="B712" s="11">
        <v>7</v>
      </c>
      <c r="C712" s="11" t="s">
        <v>176</v>
      </c>
      <c r="D712" s="11" t="s">
        <v>964</v>
      </c>
      <c r="E712" s="11" t="s">
        <v>926</v>
      </c>
      <c r="F712" s="11" t="str">
        <f t="shared" si="10"/>
        <v>M_R1</v>
      </c>
      <c r="G712" s="3">
        <v>47.284999999999997</v>
      </c>
      <c r="H712" s="3">
        <f>IFERROR(INDEX('Tagging key'!D:D, MATCH(F712,'Tagging key'!C:C,0)),"")</f>
        <v>79.790000000000006</v>
      </c>
      <c r="I712" s="3">
        <f>IFERROR(INDEX('Tagging key'!E:E, MATCH(F712,'Tagging key'!C:C,0)),"")</f>
        <v>39.26</v>
      </c>
      <c r="J712" s="3">
        <f>IFERROR(INDEX('Tagging key'!F:F, MATCH(F712,'Tagging key'!C:C,0)),"")</f>
        <v>29.34</v>
      </c>
      <c r="K712" s="3">
        <v>47.197000000000003</v>
      </c>
      <c r="L712" s="3">
        <v>80.02</v>
      </c>
      <c r="M712" s="3">
        <v>35.130000000000003</v>
      </c>
      <c r="N712" s="3">
        <v>29.55</v>
      </c>
      <c r="O712" s="3"/>
      <c r="P712" s="22">
        <v>45877</v>
      </c>
      <c r="Q712" s="22">
        <v>45877</v>
      </c>
      <c r="R712" s="3"/>
      <c r="S712" t="s">
        <v>989</v>
      </c>
    </row>
    <row r="713" spans="1:19" hidden="1" x14ac:dyDescent="0.25">
      <c r="A713" s="11">
        <v>20</v>
      </c>
      <c r="B713" s="11">
        <v>7</v>
      </c>
      <c r="C713" s="11" t="s">
        <v>176</v>
      </c>
      <c r="D713" s="11" t="s">
        <v>964</v>
      </c>
      <c r="E713" s="11" t="s">
        <v>241</v>
      </c>
      <c r="F713" s="11" t="str">
        <f t="shared" si="10"/>
        <v>M_G9</v>
      </c>
      <c r="G713" s="3">
        <v>35</v>
      </c>
      <c r="H713" s="3">
        <f>IFERROR(INDEX('Tagging key'!D:D, MATCH(F713,'Tagging key'!C:C,0)),"")</f>
        <v>71</v>
      </c>
      <c r="I713" s="3">
        <f>IFERROR(INDEX('Tagging key'!E:E, MATCH(F713,'Tagging key'!C:C,0)),"")</f>
        <v>38</v>
      </c>
      <c r="J713" s="3">
        <f>IFERROR(INDEX('Tagging key'!F:F, MATCH(F713,'Tagging key'!C:C,0)),"")</f>
        <v>25</v>
      </c>
      <c r="K713" s="3">
        <v>35.881999999999998</v>
      </c>
      <c r="L713" s="3">
        <v>72.47</v>
      </c>
      <c r="M713" s="3">
        <v>38.83</v>
      </c>
      <c r="N713" s="3">
        <v>25.58</v>
      </c>
      <c r="O713" s="3"/>
      <c r="P713" s="22">
        <v>45886</v>
      </c>
      <c r="Q713" s="22">
        <v>45886</v>
      </c>
      <c r="R713" s="3">
        <v>9.8290000000000006</v>
      </c>
    </row>
    <row r="714" spans="1:19" hidden="1" x14ac:dyDescent="0.25">
      <c r="A714" s="11">
        <v>20</v>
      </c>
      <c r="B714" s="11">
        <v>7</v>
      </c>
      <c r="C714" s="11" t="s">
        <v>176</v>
      </c>
      <c r="D714" s="11" t="s">
        <v>964</v>
      </c>
      <c r="E714" s="11" t="s">
        <v>739</v>
      </c>
      <c r="F714" s="11" t="str">
        <f t="shared" si="10"/>
        <v>M_B90</v>
      </c>
      <c r="G714" s="3">
        <v>55.344000000000001</v>
      </c>
      <c r="H714" s="3">
        <f>IFERROR(INDEX('Tagging key'!D:D, MATCH(F714,'Tagging key'!C:C,0)),"")</f>
        <v>81</v>
      </c>
      <c r="I714" s="3">
        <f>IFERROR(INDEX('Tagging key'!E:E, MATCH(F714,'Tagging key'!C:C,0)),"")</f>
        <v>40</v>
      </c>
      <c r="J714" s="3">
        <f>IFERROR(INDEX('Tagging key'!F:F, MATCH(F714,'Tagging key'!C:C,0)),"")</f>
        <v>30</v>
      </c>
      <c r="K714" s="3">
        <v>56.109000000000002</v>
      </c>
      <c r="L714" s="3">
        <v>81.47</v>
      </c>
      <c r="M714" s="3">
        <v>40.67</v>
      </c>
      <c r="N714" s="3">
        <v>30.29</v>
      </c>
      <c r="O714" s="3"/>
      <c r="P714" s="22">
        <v>45879</v>
      </c>
      <c r="Q714" s="22">
        <v>45879</v>
      </c>
      <c r="R714" s="3"/>
    </row>
    <row r="715" spans="1:19" x14ac:dyDescent="0.25">
      <c r="A715" s="12">
        <v>20</v>
      </c>
      <c r="B715" s="12">
        <v>8</v>
      </c>
      <c r="C715" s="12" t="s">
        <v>176</v>
      </c>
      <c r="D715" s="12" t="s">
        <v>964</v>
      </c>
      <c r="E715" s="12" t="s">
        <v>361</v>
      </c>
      <c r="F715" s="12" t="str">
        <f t="shared" si="10"/>
        <v>M_R21</v>
      </c>
      <c r="G715" s="3">
        <v>42.628</v>
      </c>
      <c r="H715" s="3">
        <f>IFERROR(INDEX('Tagging key'!D:D, MATCH(F715,'Tagging key'!C:C,0)),"")</f>
        <v>70.69</v>
      </c>
      <c r="I715" s="3">
        <f>IFERROR(INDEX('Tagging key'!E:E, MATCH(F715,'Tagging key'!C:C,0)),"")</f>
        <v>38</v>
      </c>
      <c r="J715" s="3">
        <f>IFERROR(INDEX('Tagging key'!F:F, MATCH(F715,'Tagging key'!C:C,0)),"")</f>
        <v>29.23</v>
      </c>
      <c r="K715" s="3">
        <v>42.04</v>
      </c>
      <c r="L715" s="3">
        <v>69.87</v>
      </c>
      <c r="M715" s="3">
        <v>34.94</v>
      </c>
      <c r="N715" s="3">
        <v>29.69</v>
      </c>
      <c r="O715" s="3"/>
      <c r="P715" s="22">
        <v>45882</v>
      </c>
      <c r="Q715" s="22">
        <v>45882</v>
      </c>
      <c r="R715" s="3">
        <v>17.994</v>
      </c>
    </row>
    <row r="716" spans="1:19" hidden="1" x14ac:dyDescent="0.25">
      <c r="A716" s="12">
        <v>20</v>
      </c>
      <c r="B716" s="12">
        <v>8</v>
      </c>
      <c r="C716" s="12" t="s">
        <v>176</v>
      </c>
      <c r="D716" s="12" t="s">
        <v>964</v>
      </c>
      <c r="E716" s="12" t="s">
        <v>674</v>
      </c>
      <c r="F716" s="12" t="str">
        <f t="shared" si="10"/>
        <v>M_B80</v>
      </c>
      <c r="G716" s="3">
        <v>54.942999999999998</v>
      </c>
      <c r="H716" s="3">
        <f>IFERROR(INDEX('Tagging key'!D:D, MATCH(F716,'Tagging key'!C:C,0)),"")</f>
        <v>79</v>
      </c>
      <c r="I716" s="3">
        <f>IFERROR(INDEX('Tagging key'!E:E, MATCH(F716,'Tagging key'!C:C,0)),"")</f>
        <v>41</v>
      </c>
      <c r="J716" s="3">
        <f>IFERROR(INDEX('Tagging key'!F:F, MATCH(F716,'Tagging key'!C:C,0)),"")</f>
        <v>31</v>
      </c>
      <c r="K716" s="3">
        <v>54.43</v>
      </c>
      <c r="L716" s="3">
        <v>80.849999999999994</v>
      </c>
      <c r="M716" s="3">
        <v>40.619999999999997</v>
      </c>
      <c r="N716" s="3">
        <v>33.22</v>
      </c>
      <c r="O716" s="3"/>
      <c r="P716" s="22">
        <v>45877</v>
      </c>
      <c r="Q716" s="22">
        <v>45877</v>
      </c>
      <c r="R716" s="3"/>
    </row>
    <row r="717" spans="1:19" hidden="1" x14ac:dyDescent="0.25">
      <c r="A717" s="12">
        <v>20</v>
      </c>
      <c r="B717" s="12">
        <v>8</v>
      </c>
      <c r="C717" s="12" t="s">
        <v>176</v>
      </c>
      <c r="D717" s="12" t="s">
        <v>964</v>
      </c>
      <c r="E717" s="12" t="s">
        <v>863</v>
      </c>
      <c r="F717" s="12" t="str">
        <f t="shared" si="10"/>
        <v>M_G18</v>
      </c>
      <c r="G717" s="3">
        <v>27.524999999999999</v>
      </c>
      <c r="H717" s="3">
        <f>IFERROR(INDEX('Tagging key'!D:D, MATCH(F717,'Tagging key'!C:C,0)),"")</f>
        <v>61</v>
      </c>
      <c r="I717" s="3">
        <f>IFERROR(INDEX('Tagging key'!E:E, MATCH(F717,'Tagging key'!C:C,0)),"")</f>
        <v>33</v>
      </c>
      <c r="J717" s="3">
        <f>IFERROR(INDEX('Tagging key'!F:F, MATCH(F717,'Tagging key'!C:C,0)),"")</f>
        <v>24</v>
      </c>
      <c r="K717" s="3">
        <v>27.748999999999999</v>
      </c>
      <c r="L717" s="3">
        <v>64.16</v>
      </c>
      <c r="M717" s="3">
        <v>34.69</v>
      </c>
      <c r="N717" s="3">
        <v>25.83</v>
      </c>
      <c r="O717" s="3"/>
      <c r="P717" s="22">
        <v>45879</v>
      </c>
      <c r="Q717" s="22">
        <v>45879</v>
      </c>
      <c r="R717" s="3"/>
    </row>
    <row r="718" spans="1:19" hidden="1" x14ac:dyDescent="0.25">
      <c r="A718" s="12">
        <v>20</v>
      </c>
      <c r="B718" s="12">
        <v>8</v>
      </c>
      <c r="C718" s="12" t="s">
        <v>176</v>
      </c>
      <c r="D718" s="12" t="s">
        <v>964</v>
      </c>
      <c r="E718" s="12" t="s">
        <v>243</v>
      </c>
      <c r="F718" s="12" t="str">
        <f t="shared" si="10"/>
        <v>M_G27</v>
      </c>
      <c r="G718" s="3">
        <v>39.375</v>
      </c>
      <c r="H718" s="3">
        <f>IFERROR(INDEX('Tagging key'!D:D, MATCH(F718,'Tagging key'!C:C,0)),"")</f>
        <v>75</v>
      </c>
      <c r="I718" s="3">
        <f>IFERROR(INDEX('Tagging key'!E:E, MATCH(F718,'Tagging key'!C:C,0)),"")</f>
        <v>37</v>
      </c>
      <c r="J718" s="3">
        <f>IFERROR(INDEX('Tagging key'!F:F, MATCH(F718,'Tagging key'!C:C,0)),"")</f>
        <v>28</v>
      </c>
      <c r="K718" s="3">
        <v>41.808</v>
      </c>
      <c r="L718" s="3">
        <v>76.86</v>
      </c>
      <c r="M718" s="3">
        <v>36.86</v>
      </c>
      <c r="N718" s="3">
        <v>28.09</v>
      </c>
      <c r="O718" s="3"/>
      <c r="P718" s="22">
        <v>45886</v>
      </c>
      <c r="Q718" s="22">
        <v>45886</v>
      </c>
      <c r="R718" s="3">
        <v>14.459</v>
      </c>
    </row>
    <row r="719" spans="1:19" hidden="1" x14ac:dyDescent="0.25">
      <c r="A719" s="11">
        <v>20</v>
      </c>
      <c r="B719" s="11">
        <v>9</v>
      </c>
      <c r="C719" s="11" t="s">
        <v>176</v>
      </c>
      <c r="D719" s="11" t="s">
        <v>964</v>
      </c>
      <c r="E719" s="11" t="s">
        <v>307</v>
      </c>
      <c r="F719" s="11" t="str">
        <f t="shared" si="10"/>
        <v>M_B27</v>
      </c>
      <c r="G719" s="3">
        <v>54.491999999999997</v>
      </c>
      <c r="H719" s="3">
        <f>IFERROR(INDEX('Tagging key'!D:D, MATCH(F719,'Tagging key'!C:C,0)),"")</f>
        <v>80</v>
      </c>
      <c r="I719" s="3">
        <f>IFERROR(INDEX('Tagging key'!E:E, MATCH(F719,'Tagging key'!C:C,0)),"")</f>
        <v>41</v>
      </c>
      <c r="J719" s="3">
        <f>IFERROR(INDEX('Tagging key'!F:F, MATCH(F719,'Tagging key'!C:C,0)),"")</f>
        <v>29</v>
      </c>
      <c r="K719" s="3">
        <v>54.652000000000001</v>
      </c>
      <c r="L719" s="3">
        <v>81.98</v>
      </c>
      <c r="M719" s="3">
        <v>41.09</v>
      </c>
      <c r="N719" s="3">
        <v>30.44</v>
      </c>
      <c r="O719" s="3"/>
      <c r="P719" s="22">
        <v>45877</v>
      </c>
      <c r="Q719" s="22">
        <v>45877</v>
      </c>
      <c r="R719" s="3"/>
    </row>
    <row r="720" spans="1:19" x14ac:dyDescent="0.25">
      <c r="A720" s="11">
        <v>20</v>
      </c>
      <c r="B720" s="11">
        <v>9</v>
      </c>
      <c r="C720" s="11" t="s">
        <v>176</v>
      </c>
      <c r="D720" s="11" t="s">
        <v>964</v>
      </c>
      <c r="E720" s="11" t="s">
        <v>994</v>
      </c>
      <c r="F720" s="11" t="str">
        <f t="shared" si="10"/>
        <v>M_B75</v>
      </c>
      <c r="G720" s="3">
        <v>29.306000000000001</v>
      </c>
      <c r="H720" s="3">
        <f>IFERROR(INDEX('Tagging key'!D:D, MATCH(F720,'Tagging key'!C:C,0)),"")</f>
        <v>67</v>
      </c>
      <c r="I720" s="3">
        <f>IFERROR(INDEX('Tagging key'!E:E, MATCH(F720,'Tagging key'!C:C,0)),"")</f>
        <v>35</v>
      </c>
      <c r="J720" s="3">
        <f>IFERROR(INDEX('Tagging key'!F:F, MATCH(F720,'Tagging key'!C:C,0)),"")</f>
        <v>22</v>
      </c>
      <c r="K720" s="3">
        <v>28.972000000000001</v>
      </c>
      <c r="L720" s="3">
        <v>67.819999999999993</v>
      </c>
      <c r="M720" s="3">
        <v>35.07</v>
      </c>
      <c r="N720" s="3">
        <v>23.06</v>
      </c>
      <c r="O720" s="3"/>
      <c r="P720" s="22">
        <v>45882</v>
      </c>
      <c r="Q720" s="22">
        <v>45882</v>
      </c>
      <c r="R720" s="3">
        <v>10.551</v>
      </c>
    </row>
    <row r="721" spans="1:18" hidden="1" x14ac:dyDescent="0.25">
      <c r="A721" s="11">
        <v>20</v>
      </c>
      <c r="B721" s="11">
        <v>9</v>
      </c>
      <c r="C721" s="11" t="s">
        <v>176</v>
      </c>
      <c r="D721" s="11" t="s">
        <v>964</v>
      </c>
      <c r="E721" s="11" t="s">
        <v>565</v>
      </c>
      <c r="F721" s="11" t="str">
        <f t="shared" si="10"/>
        <v>M_Y3</v>
      </c>
      <c r="G721" s="3">
        <v>19.323</v>
      </c>
      <c r="H721" s="3">
        <f>IFERROR(INDEX('Tagging key'!D:D, MATCH(F721,'Tagging key'!C:C,0)),"")</f>
        <v>59.27</v>
      </c>
      <c r="I721" s="3">
        <f>IFERROR(INDEX('Tagging key'!E:E, MATCH(F721,'Tagging key'!C:C,0)),"")</f>
        <v>35.15</v>
      </c>
      <c r="J721" s="3">
        <f>IFERROR(INDEX('Tagging key'!F:F, MATCH(F721,'Tagging key'!C:C,0)),"")</f>
        <v>19.68</v>
      </c>
      <c r="K721" s="3">
        <v>19.901</v>
      </c>
      <c r="L721" s="3">
        <v>59.85</v>
      </c>
      <c r="M721" s="3">
        <v>31.55</v>
      </c>
      <c r="N721" s="3">
        <v>19.86</v>
      </c>
      <c r="O721" s="3"/>
      <c r="P721" s="22">
        <v>45879</v>
      </c>
      <c r="Q721" s="22">
        <v>45879</v>
      </c>
      <c r="R721" s="3"/>
    </row>
    <row r="722" spans="1:18" hidden="1" x14ac:dyDescent="0.25">
      <c r="A722" s="11">
        <v>20</v>
      </c>
      <c r="B722" s="11">
        <v>9</v>
      </c>
      <c r="C722" s="11" t="s">
        <v>176</v>
      </c>
      <c r="D722" s="11" t="s">
        <v>964</v>
      </c>
      <c r="E722" s="11" t="s">
        <v>711</v>
      </c>
      <c r="F722" s="11" t="str">
        <f t="shared" si="10"/>
        <v>M_Y4</v>
      </c>
      <c r="G722" s="3">
        <v>54.997</v>
      </c>
      <c r="H722" s="3">
        <f>IFERROR(INDEX('Tagging key'!D:D, MATCH(F722,'Tagging key'!C:C,0)),"")</f>
        <v>85.34</v>
      </c>
      <c r="I722" s="3">
        <f>IFERROR(INDEX('Tagging key'!E:E, MATCH(F722,'Tagging key'!C:C,0)),"")</f>
        <v>43.28</v>
      </c>
      <c r="J722" s="3">
        <f>IFERROR(INDEX('Tagging key'!F:F, MATCH(F722,'Tagging key'!C:C,0)),"")</f>
        <v>30.25</v>
      </c>
      <c r="K722" s="3">
        <v>54.83</v>
      </c>
      <c r="L722" s="3">
        <v>84.83</v>
      </c>
      <c r="M722" s="3">
        <v>41.9</v>
      </c>
      <c r="N722" s="3">
        <v>30.88</v>
      </c>
      <c r="O722" s="3"/>
      <c r="P722" s="22">
        <v>45886</v>
      </c>
      <c r="Q722" s="22">
        <v>45886</v>
      </c>
      <c r="R722" s="3"/>
    </row>
  </sheetData>
  <autoFilter ref="A1:U722" xr:uid="{E7F2E4ED-403A-8A47-8056-25A6932550C9}">
    <filterColumn colId="0" showButton="0"/>
    <filterColumn colId="1" showButton="0"/>
    <filterColumn colId="2" showButton="0"/>
    <filterColumn colId="3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6">
      <filters blank="1">
        <dateGroupItem year="2025" month="8" day="13" dateTimeGrouping="day"/>
      </filters>
    </filterColumn>
  </autoFilter>
  <mergeCells count="4">
    <mergeCell ref="A1:E1"/>
    <mergeCell ref="G1:J1"/>
    <mergeCell ref="K1:P1"/>
    <mergeCell ref="S1:S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1C59-CC89-4974-A77C-1BD1CFA7686B}">
  <dimension ref="A1:U721"/>
  <sheetViews>
    <sheetView tabSelected="1" topLeftCell="G1" workbookViewId="0">
      <selection activeCell="P1" sqref="P1"/>
    </sheetView>
  </sheetViews>
  <sheetFormatPr defaultColWidth="11" defaultRowHeight="15.75" x14ac:dyDescent="0.25"/>
  <cols>
    <col min="12" max="12" width="12" customWidth="1"/>
    <col min="13" max="13" width="11.125" customWidth="1"/>
    <col min="19" max="19" width="29.5" customWidth="1"/>
    <col min="21" max="21" width="39.875" customWidth="1"/>
  </cols>
  <sheetData>
    <row r="1" spans="1:2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1570</v>
      </c>
      <c r="F1" s="1" t="s">
        <v>7</v>
      </c>
      <c r="G1" s="25" t="s">
        <v>1569</v>
      </c>
      <c r="H1" s="2" t="s">
        <v>1571</v>
      </c>
      <c r="I1" s="2" t="s">
        <v>1572</v>
      </c>
      <c r="J1" s="2" t="s">
        <v>1573</v>
      </c>
      <c r="K1" s="2" t="s">
        <v>1574</v>
      </c>
      <c r="L1" s="2" t="s">
        <v>1575</v>
      </c>
      <c r="M1" s="2" t="s">
        <v>1576</v>
      </c>
      <c r="N1" s="21" t="s">
        <v>1577</v>
      </c>
      <c r="O1" s="2" t="s">
        <v>12</v>
      </c>
      <c r="P1" s="2"/>
      <c r="Q1" s="28" t="s">
        <v>0</v>
      </c>
      <c r="R1" s="29" t="s">
        <v>1578</v>
      </c>
      <c r="S1" s="30" t="s">
        <v>1</v>
      </c>
      <c r="U1" s="10"/>
    </row>
    <row r="2" spans="1:21" x14ac:dyDescent="0.25">
      <c r="A2" s="8">
        <v>1</v>
      </c>
      <c r="B2" s="8">
        <v>1</v>
      </c>
      <c r="C2" s="8" t="s">
        <v>15</v>
      </c>
      <c r="D2" s="8" t="s">
        <v>16</v>
      </c>
      <c r="E2" s="8" t="s">
        <v>17</v>
      </c>
      <c r="F2" s="8" t="s">
        <v>18</v>
      </c>
      <c r="G2" s="3">
        <v>19.64</v>
      </c>
      <c r="H2">
        <v>73</v>
      </c>
      <c r="I2">
        <v>37.32</v>
      </c>
      <c r="J2">
        <v>12.43</v>
      </c>
      <c r="K2">
        <v>19.405999999999999</v>
      </c>
      <c r="L2">
        <v>72.88</v>
      </c>
      <c r="M2">
        <v>33.65</v>
      </c>
      <c r="N2">
        <v>16.190000000000001</v>
      </c>
      <c r="P2" s="26">
        <v>45886</v>
      </c>
      <c r="Q2" s="26">
        <v>45886</v>
      </c>
      <c r="U2" t="s">
        <v>19</v>
      </c>
    </row>
    <row r="3" spans="1:21" x14ac:dyDescent="0.25">
      <c r="A3" s="8">
        <v>1</v>
      </c>
      <c r="B3" s="8">
        <v>1</v>
      </c>
      <c r="C3" s="8" t="s">
        <v>15</v>
      </c>
      <c r="D3" s="8" t="s">
        <v>16</v>
      </c>
      <c r="E3" s="8" t="s">
        <v>20</v>
      </c>
      <c r="F3" s="8" t="s">
        <v>21</v>
      </c>
      <c r="G3" s="3">
        <v>35.546999999999997</v>
      </c>
      <c r="H3" s="3">
        <v>73.819999999999993</v>
      </c>
      <c r="I3" s="3">
        <v>54.05</v>
      </c>
      <c r="J3" s="3">
        <v>14.88</v>
      </c>
      <c r="K3" s="3">
        <v>35.465000000000003</v>
      </c>
      <c r="L3" s="3">
        <v>75.17</v>
      </c>
      <c r="M3" s="3">
        <v>50.24</v>
      </c>
      <c r="N3" s="3">
        <v>19.13</v>
      </c>
      <c r="O3" s="3"/>
      <c r="P3" s="22">
        <v>45879</v>
      </c>
      <c r="Q3" s="22">
        <v>45879</v>
      </c>
      <c r="R3" s="3"/>
      <c r="U3" t="s">
        <v>22</v>
      </c>
    </row>
    <row r="4" spans="1:21" x14ac:dyDescent="0.25">
      <c r="A4" s="8">
        <v>1</v>
      </c>
      <c r="B4" s="8">
        <v>1</v>
      </c>
      <c r="C4" s="8" t="s">
        <v>15</v>
      </c>
      <c r="D4" s="8" t="s">
        <v>16</v>
      </c>
      <c r="E4" s="8" t="s">
        <v>23</v>
      </c>
      <c r="F4" s="8" t="s">
        <v>24</v>
      </c>
      <c r="G4" s="3">
        <v>30.829000000000001</v>
      </c>
      <c r="H4" s="3">
        <f>IFERROR(INDEX('Tagging key'!D:D, MATCH(F4,'Tagging key'!C:C,0)),"")</f>
        <v>72.75</v>
      </c>
      <c r="I4" s="3">
        <f>IFERROR(INDEX('Tagging key'!E:E, MATCH(F4,'Tagging key'!C:C,0)),"")</f>
        <v>42.12</v>
      </c>
      <c r="J4" s="3">
        <f>IFERROR(INDEX('Tagging key'!F:F, MATCH(F4,'Tagging key'!C:C,0)),"")</f>
        <v>16.440000000000001</v>
      </c>
      <c r="K4" s="3">
        <v>30.754000000000001</v>
      </c>
      <c r="L4" s="3">
        <v>67.887</v>
      </c>
      <c r="M4" s="3">
        <v>36.020000000000003</v>
      </c>
      <c r="N4" s="3">
        <v>11.71</v>
      </c>
      <c r="O4" s="3"/>
      <c r="P4" s="22">
        <v>45877</v>
      </c>
      <c r="Q4" s="22">
        <v>45877</v>
      </c>
      <c r="R4" s="3"/>
    </row>
    <row r="5" spans="1:21" x14ac:dyDescent="0.25">
      <c r="A5" s="8">
        <v>1</v>
      </c>
      <c r="B5" s="8">
        <v>1</v>
      </c>
      <c r="C5" s="8" t="s">
        <v>15</v>
      </c>
      <c r="D5" s="8" t="s">
        <v>16</v>
      </c>
      <c r="E5" s="8" t="s">
        <v>25</v>
      </c>
      <c r="F5" s="8" t="s">
        <v>26</v>
      </c>
      <c r="G5" s="3">
        <v>32.082999999999998</v>
      </c>
      <c r="H5" s="3">
        <f>IFERROR(INDEX('Tagging key'!D:D, MATCH(F5,'Tagging key'!C:C,0)),"")</f>
        <v>63.69</v>
      </c>
      <c r="I5" s="3">
        <f>IFERROR(INDEX('Tagging key'!E:E, MATCH(F5,'Tagging key'!C:C,0)),"")</f>
        <v>53.55</v>
      </c>
      <c r="J5" s="3">
        <f>IFERROR(INDEX('Tagging key'!F:F, MATCH(F5,'Tagging key'!C:C,0)),"")</f>
        <v>18.02</v>
      </c>
      <c r="K5" s="3">
        <v>32.183</v>
      </c>
      <c r="L5" s="3">
        <v>63.77</v>
      </c>
      <c r="M5" s="3">
        <v>53.09</v>
      </c>
      <c r="N5" s="3">
        <v>19.13</v>
      </c>
      <c r="O5" s="3"/>
      <c r="P5" s="22">
        <v>45882</v>
      </c>
      <c r="Q5" s="22">
        <v>45882</v>
      </c>
      <c r="R5" s="3">
        <v>22.071000000000002</v>
      </c>
    </row>
    <row r="6" spans="1:21" x14ac:dyDescent="0.25">
      <c r="A6" s="9">
        <v>1</v>
      </c>
      <c r="B6" s="9">
        <v>2</v>
      </c>
      <c r="C6" s="9" t="s">
        <v>15</v>
      </c>
      <c r="D6" s="9" t="s">
        <v>16</v>
      </c>
      <c r="E6" s="9" t="s">
        <v>27</v>
      </c>
      <c r="F6" s="9" t="s">
        <v>28</v>
      </c>
      <c r="G6" s="3">
        <v>20.536999999999999</v>
      </c>
      <c r="H6" s="3">
        <f>IFERROR(INDEX('Tagging key'!D:D, MATCH(F6,'Tagging key'!C:C,0)),"")</f>
        <v>59.48</v>
      </c>
      <c r="I6" s="3">
        <f>IFERROR(INDEX('Tagging key'!E:E, MATCH(F6,'Tagging key'!C:C,0)),"")</f>
        <v>42.39</v>
      </c>
      <c r="J6" s="3">
        <f>IFERROR(INDEX('Tagging key'!F:F, MATCH(F6,'Tagging key'!C:C,0)),"")</f>
        <v>13.12</v>
      </c>
      <c r="K6" s="3">
        <v>20.257999999999999</v>
      </c>
      <c r="L6" s="3">
        <v>58.38</v>
      </c>
      <c r="M6" s="3">
        <v>39.17</v>
      </c>
      <c r="N6" s="3">
        <v>14.78</v>
      </c>
      <c r="O6" s="3"/>
      <c r="P6" s="22">
        <v>45882</v>
      </c>
      <c r="Q6" s="22">
        <v>45882</v>
      </c>
      <c r="R6" s="3">
        <v>11.349</v>
      </c>
    </row>
    <row r="7" spans="1:21" x14ac:dyDescent="0.25">
      <c r="A7" s="9">
        <v>1</v>
      </c>
      <c r="B7" s="9">
        <v>2</v>
      </c>
      <c r="C7" s="9" t="s">
        <v>15</v>
      </c>
      <c r="D7" s="9" t="s">
        <v>16</v>
      </c>
      <c r="E7" s="9" t="s">
        <v>29</v>
      </c>
      <c r="F7" s="9" t="s">
        <v>30</v>
      </c>
      <c r="G7" s="3">
        <v>87.494</v>
      </c>
      <c r="H7" s="3">
        <f>IFERROR(INDEX('Tagging key'!D:D, MATCH(F7,'Tagging key'!C:C,0)),"")</f>
        <v>69.63</v>
      </c>
      <c r="I7" s="3">
        <f>IFERROR(INDEX('Tagging key'!E:E, MATCH(F7,'Tagging key'!C:C,0)),"")</f>
        <v>70.349999999999994</v>
      </c>
      <c r="J7" s="3">
        <f>IFERROR(INDEX('Tagging key'!F:F, MATCH(F7,'Tagging key'!C:C,0)),"")</f>
        <v>23.62</v>
      </c>
      <c r="K7" s="3">
        <v>86.667000000000002</v>
      </c>
      <c r="L7" s="3">
        <v>73.010000000000005</v>
      </c>
      <c r="M7" s="3">
        <v>64.849999999999994</v>
      </c>
      <c r="N7" s="3">
        <v>21.42</v>
      </c>
      <c r="O7" s="3"/>
      <c r="P7" s="22">
        <v>45877</v>
      </c>
      <c r="Q7" s="22">
        <v>45877</v>
      </c>
      <c r="R7" s="3"/>
      <c r="S7" t="s">
        <v>31</v>
      </c>
    </row>
    <row r="8" spans="1:21" x14ac:dyDescent="0.25">
      <c r="A8" s="9">
        <v>1</v>
      </c>
      <c r="B8" s="9">
        <v>2</v>
      </c>
      <c r="C8" s="9" t="s">
        <v>15</v>
      </c>
      <c r="D8" s="9" t="s">
        <v>16</v>
      </c>
      <c r="E8" s="9" t="s">
        <v>32</v>
      </c>
      <c r="F8" s="9" t="s">
        <v>33</v>
      </c>
      <c r="G8" s="3">
        <v>29.658000000000001</v>
      </c>
      <c r="H8" s="3">
        <f>IFERROR(INDEX('Tagging key'!D:D, MATCH(F8,'Tagging key'!C:C,0)),"")</f>
        <v>72.69</v>
      </c>
      <c r="I8" s="3">
        <f>IFERROR(INDEX('Tagging key'!E:E, MATCH(F8,'Tagging key'!C:C,0)),"")</f>
        <v>44.55</v>
      </c>
      <c r="J8" s="3">
        <f>IFERROR(INDEX('Tagging key'!F:F, MATCH(F8,'Tagging key'!C:C,0)),"")</f>
        <v>14.49</v>
      </c>
      <c r="K8" s="3">
        <v>29.744</v>
      </c>
      <c r="L8" s="3">
        <v>71.61</v>
      </c>
      <c r="M8" s="3">
        <v>44.79</v>
      </c>
      <c r="N8" s="3">
        <v>16.88</v>
      </c>
      <c r="O8" s="3"/>
      <c r="P8" s="22">
        <v>45879</v>
      </c>
      <c r="Q8" s="22">
        <v>45879</v>
      </c>
      <c r="R8" s="3"/>
      <c r="S8" t="s">
        <v>34</v>
      </c>
    </row>
    <row r="9" spans="1:21" x14ac:dyDescent="0.25">
      <c r="A9" s="9">
        <v>1</v>
      </c>
      <c r="B9" s="9">
        <v>2</v>
      </c>
      <c r="C9" s="9" t="s">
        <v>15</v>
      </c>
      <c r="D9" s="9" t="s">
        <v>16</v>
      </c>
      <c r="E9" s="9" t="s">
        <v>35</v>
      </c>
      <c r="F9" s="9" t="s">
        <v>36</v>
      </c>
      <c r="G9" s="3">
        <v>28.24</v>
      </c>
      <c r="H9" s="3">
        <f>IFERROR(INDEX('Tagging key'!D:D, MATCH(F9,'Tagging key'!C:C,0)),"")</f>
        <v>66.349999999999994</v>
      </c>
      <c r="I9" s="3">
        <f>IFERROR(INDEX('Tagging key'!E:E, MATCH(F9,'Tagging key'!C:C,0)),"")</f>
        <v>50.23</v>
      </c>
      <c r="J9" s="3">
        <f>IFERROR(INDEX('Tagging key'!F:F, MATCH(F9,'Tagging key'!C:C,0)),"")</f>
        <v>14.63</v>
      </c>
      <c r="K9" s="3">
        <v>28.045999999999999</v>
      </c>
      <c r="L9" s="3">
        <v>65.13</v>
      </c>
      <c r="M9" s="3">
        <v>47.82</v>
      </c>
      <c r="N9" s="3">
        <v>17.97</v>
      </c>
      <c r="O9" s="3"/>
      <c r="P9" s="22">
        <v>45879</v>
      </c>
      <c r="Q9" s="22">
        <v>45879</v>
      </c>
      <c r="R9" s="3"/>
    </row>
    <row r="10" spans="1:21" x14ac:dyDescent="0.25">
      <c r="A10" s="8">
        <v>1</v>
      </c>
      <c r="B10" s="8">
        <v>3</v>
      </c>
      <c r="C10" s="8" t="s">
        <v>15</v>
      </c>
      <c r="D10" s="8" t="s">
        <v>16</v>
      </c>
      <c r="E10" s="8" t="s">
        <v>37</v>
      </c>
      <c r="F10" s="8" t="s">
        <v>38</v>
      </c>
      <c r="G10" s="3">
        <v>33.590000000000003</v>
      </c>
      <c r="H10" s="3">
        <f>IFERROR(INDEX('Tagging key'!D:D, MATCH(F10,'Tagging key'!C:C,0)),"")</f>
        <v>62.02</v>
      </c>
      <c r="I10" s="3">
        <f>IFERROR(INDEX('Tagging key'!E:E, MATCH(F10,'Tagging key'!C:C,0)),"")</f>
        <v>43.46</v>
      </c>
      <c r="J10" s="3">
        <f>IFERROR(INDEX('Tagging key'!F:F, MATCH(F10,'Tagging key'!C:C,0)),"")</f>
        <v>17.309999999999999</v>
      </c>
      <c r="K10" s="3">
        <v>33.459000000000003</v>
      </c>
      <c r="L10" s="3">
        <v>62.33</v>
      </c>
      <c r="M10" s="3">
        <v>44.03</v>
      </c>
      <c r="N10" s="3">
        <v>17.73</v>
      </c>
      <c r="O10" s="3"/>
      <c r="P10" s="26">
        <v>45886</v>
      </c>
      <c r="Q10" s="26">
        <v>45886</v>
      </c>
    </row>
    <row r="11" spans="1:21" x14ac:dyDescent="0.25">
      <c r="A11" s="8">
        <v>1</v>
      </c>
      <c r="B11" s="8">
        <v>3</v>
      </c>
      <c r="C11" s="8" t="s">
        <v>15</v>
      </c>
      <c r="D11" s="8" t="s">
        <v>16</v>
      </c>
      <c r="E11" s="8" t="s">
        <v>39</v>
      </c>
      <c r="F11" s="8" t="s">
        <v>40</v>
      </c>
      <c r="G11" s="3">
        <v>42.011000000000003</v>
      </c>
      <c r="H11" s="16">
        <f>IFERROR(INDEX('Tagging key'!D:D, MATCH(F11,'Tagging key'!C:C,0)),"")</f>
        <v>76.48</v>
      </c>
      <c r="I11" s="16">
        <f>IFERROR(INDEX('Tagging key'!E:E, MATCH(F11,'Tagging key'!C:C,0)),"")</f>
        <v>44.98</v>
      </c>
      <c r="J11" s="16">
        <f>IFERROR(INDEX('Tagging key'!F:F, MATCH(F11,'Tagging key'!C:C,0)),"")</f>
        <v>20.399999999999999</v>
      </c>
      <c r="K11" s="16">
        <v>41.79</v>
      </c>
      <c r="L11" s="16">
        <v>70.64</v>
      </c>
      <c r="M11" s="16">
        <v>39.33</v>
      </c>
      <c r="N11" s="16">
        <v>14.93</v>
      </c>
      <c r="O11" s="16"/>
      <c r="P11" s="23">
        <v>45877</v>
      </c>
      <c r="Q11" s="23">
        <v>45877</v>
      </c>
      <c r="R11" s="16"/>
    </row>
    <row r="12" spans="1:21" x14ac:dyDescent="0.25">
      <c r="A12" s="8">
        <v>1</v>
      </c>
      <c r="B12" s="8">
        <v>3</v>
      </c>
      <c r="C12" s="8" t="s">
        <v>15</v>
      </c>
      <c r="D12" s="8" t="s">
        <v>16</v>
      </c>
      <c r="E12" s="8" t="s">
        <v>41</v>
      </c>
      <c r="F12" s="8" t="s">
        <v>42</v>
      </c>
      <c r="G12" s="3">
        <v>29.664000000000001</v>
      </c>
      <c r="H12" s="3">
        <f>IFERROR(INDEX('Tagging key'!D:D, MATCH(F12,'Tagging key'!C:C,0)),"")</f>
        <v>67.87</v>
      </c>
      <c r="I12" s="3">
        <f>IFERROR(INDEX('Tagging key'!E:E, MATCH(F12,'Tagging key'!C:C,0)),"")</f>
        <v>51.68</v>
      </c>
      <c r="J12" s="3">
        <f>IFERROR(INDEX('Tagging key'!F:F, MATCH(F12,'Tagging key'!C:C,0)),"")</f>
        <v>14.59</v>
      </c>
      <c r="K12" s="3">
        <v>29.542000000000002</v>
      </c>
      <c r="L12" s="3">
        <v>66.760000000000005</v>
      </c>
      <c r="M12" s="3">
        <v>46.35</v>
      </c>
      <c r="N12" s="3">
        <v>17.399999999999999</v>
      </c>
      <c r="O12" s="3"/>
      <c r="P12" s="26">
        <v>45886</v>
      </c>
      <c r="Q12" s="26">
        <v>45886</v>
      </c>
      <c r="S12" t="s">
        <v>43</v>
      </c>
    </row>
    <row r="13" spans="1:21" x14ac:dyDescent="0.25">
      <c r="A13" s="8">
        <v>1</v>
      </c>
      <c r="B13" s="8">
        <v>3</v>
      </c>
      <c r="C13" s="8" t="s">
        <v>15</v>
      </c>
      <c r="D13" s="8" t="s">
        <v>16</v>
      </c>
      <c r="E13" s="8" t="s">
        <v>44</v>
      </c>
      <c r="F13" s="8" t="s">
        <v>45</v>
      </c>
      <c r="G13" s="3">
        <v>34.232999999999997</v>
      </c>
      <c r="H13" s="3">
        <f>IFERROR(INDEX('Tagging key'!D:D, MATCH(F13,'Tagging key'!C:C,0)),"")</f>
        <v>66.290000000000006</v>
      </c>
      <c r="I13" s="3">
        <f>IFERROR(INDEX('Tagging key'!E:E, MATCH(F13,'Tagging key'!C:C,0)),"")</f>
        <v>47.34</v>
      </c>
      <c r="J13" s="3">
        <f>IFERROR(INDEX('Tagging key'!F:F, MATCH(F13,'Tagging key'!C:C,0)),"")</f>
        <v>15.65</v>
      </c>
      <c r="K13" s="3">
        <v>34.228999999999999</v>
      </c>
      <c r="L13" s="3">
        <v>66.77</v>
      </c>
      <c r="M13" s="3">
        <v>48.18</v>
      </c>
      <c r="N13" s="3">
        <v>19.8</v>
      </c>
      <c r="O13" s="3"/>
      <c r="P13" s="22">
        <v>45882</v>
      </c>
      <c r="Q13" s="22">
        <v>45882</v>
      </c>
      <c r="R13" s="3">
        <v>21.574000000000002</v>
      </c>
    </row>
    <row r="14" spans="1:21" x14ac:dyDescent="0.25">
      <c r="A14" s="11">
        <v>1</v>
      </c>
      <c r="B14" s="11">
        <v>4</v>
      </c>
      <c r="C14" s="11" t="s">
        <v>15</v>
      </c>
      <c r="D14" s="11" t="s">
        <v>46</v>
      </c>
      <c r="E14" s="11" t="s">
        <v>47</v>
      </c>
      <c r="F14" s="11" t="s">
        <v>48</v>
      </c>
      <c r="G14" s="3">
        <v>82.3</v>
      </c>
      <c r="H14" s="3">
        <f>IFERROR(INDEX('Tagging key'!D:D, MATCH(F14,'Tagging key'!C:C,0)),"")</f>
        <v>96</v>
      </c>
      <c r="I14" s="3">
        <f>IFERROR(INDEX('Tagging key'!E:E, MATCH(F14,'Tagging key'!C:C,0)),"")</f>
        <v>46</v>
      </c>
      <c r="J14" s="3">
        <f>IFERROR(INDEX('Tagging key'!F:F, MATCH(F14,'Tagging key'!C:C,0)),"")</f>
        <v>37</v>
      </c>
      <c r="K14" s="3">
        <v>82.114999999999995</v>
      </c>
      <c r="L14" s="3">
        <v>98.74</v>
      </c>
      <c r="M14" s="3">
        <v>47.44</v>
      </c>
      <c r="N14" s="3">
        <v>36.25</v>
      </c>
      <c r="O14" s="3"/>
      <c r="P14" s="22">
        <v>45882</v>
      </c>
      <c r="Q14" s="22">
        <v>45882</v>
      </c>
      <c r="R14" s="3">
        <v>23.783000000000001</v>
      </c>
    </row>
    <row r="15" spans="1:21" x14ac:dyDescent="0.25">
      <c r="A15" s="11">
        <v>1</v>
      </c>
      <c r="B15" s="11">
        <v>4</v>
      </c>
      <c r="C15" s="11" t="s">
        <v>15</v>
      </c>
      <c r="D15" s="11" t="s">
        <v>46</v>
      </c>
      <c r="E15" s="11" t="s">
        <v>49</v>
      </c>
      <c r="F15" s="11" t="s">
        <v>50</v>
      </c>
      <c r="G15" s="3">
        <v>41.287999999999997</v>
      </c>
      <c r="H15" s="3">
        <f>IFERROR(INDEX('Tagging key'!D:D, MATCH(F15,'Tagging key'!C:C,0)),"")</f>
        <v>75.98</v>
      </c>
      <c r="I15" s="3">
        <f>IFERROR(INDEX('Tagging key'!E:E, MATCH(F15,'Tagging key'!C:C,0)),"")</f>
        <v>40.25</v>
      </c>
      <c r="J15" s="3">
        <f>IFERROR(INDEX('Tagging key'!F:F, MATCH(F15,'Tagging key'!C:C,0)),"")</f>
        <v>27.05</v>
      </c>
      <c r="K15" s="3">
        <v>41.253999999999998</v>
      </c>
      <c r="L15" s="3">
        <v>70.849999999999994</v>
      </c>
      <c r="M15" s="3">
        <v>33.99</v>
      </c>
      <c r="N15" s="3">
        <v>23.42</v>
      </c>
      <c r="O15" s="3"/>
      <c r="P15" s="22">
        <v>45877</v>
      </c>
      <c r="Q15" s="22">
        <v>45877</v>
      </c>
      <c r="R15" s="3"/>
    </row>
    <row r="16" spans="1:21" x14ac:dyDescent="0.25">
      <c r="A16" s="11">
        <v>1</v>
      </c>
      <c r="B16" s="11">
        <v>4</v>
      </c>
      <c r="C16" s="11" t="s">
        <v>15</v>
      </c>
      <c r="D16" s="11" t="s">
        <v>46</v>
      </c>
      <c r="E16" s="11" t="s">
        <v>51</v>
      </c>
      <c r="F16" s="11" t="s">
        <v>52</v>
      </c>
      <c r="G16" s="3">
        <v>79.137</v>
      </c>
      <c r="H16" s="3">
        <f>IFERROR(INDEX('Tagging key'!D:D, MATCH(F16,'Tagging key'!C:C,0)),"")</f>
        <v>92.37</v>
      </c>
      <c r="I16" s="3">
        <f>IFERROR(INDEX('Tagging key'!E:E, MATCH(F16,'Tagging key'!C:C,0)),"")</f>
        <v>47.28</v>
      </c>
      <c r="J16" s="3">
        <f>IFERROR(INDEX('Tagging key'!F:F, MATCH(F16,'Tagging key'!C:C,0)),"")</f>
        <v>34.01</v>
      </c>
      <c r="K16" s="3">
        <v>78.926000000000002</v>
      </c>
      <c r="L16" s="3">
        <v>94.2</v>
      </c>
      <c r="M16" s="3">
        <v>45.59</v>
      </c>
      <c r="N16" s="3">
        <v>37.21</v>
      </c>
      <c r="O16" s="3"/>
      <c r="P16" s="22">
        <v>45879</v>
      </c>
      <c r="Q16" s="22">
        <v>45879</v>
      </c>
      <c r="R16" s="3"/>
    </row>
    <row r="17" spans="1:19" x14ac:dyDescent="0.25">
      <c r="A17" s="11">
        <v>1</v>
      </c>
      <c r="B17" s="11">
        <v>4</v>
      </c>
      <c r="C17" s="11" t="s">
        <v>15</v>
      </c>
      <c r="D17" s="11" t="s">
        <v>46</v>
      </c>
      <c r="E17" s="11" t="s">
        <v>53</v>
      </c>
      <c r="F17" s="11" t="s">
        <v>54</v>
      </c>
      <c r="G17" s="3">
        <v>37.579000000000001</v>
      </c>
      <c r="H17" s="3">
        <f>IFERROR(INDEX('Tagging key'!D:D, MATCH(F17,'Tagging key'!C:C,0)),"")</f>
        <v>74.19</v>
      </c>
      <c r="I17" s="3">
        <f>IFERROR(INDEX('Tagging key'!E:E, MATCH(F17,'Tagging key'!C:C,0)),"")</f>
        <v>38.65</v>
      </c>
      <c r="J17" s="3">
        <f>IFERROR(INDEX('Tagging key'!F:F, MATCH(F17,'Tagging key'!C:C,0)),"")</f>
        <v>27.59</v>
      </c>
      <c r="K17" s="3">
        <v>38.648000000000003</v>
      </c>
      <c r="L17" s="3">
        <v>74.260000000000005</v>
      </c>
      <c r="M17" s="3">
        <v>34.49</v>
      </c>
      <c r="N17" s="3">
        <v>28.23</v>
      </c>
      <c r="O17" s="3"/>
      <c r="P17" s="26">
        <v>45886</v>
      </c>
      <c r="Q17" s="26">
        <v>45886</v>
      </c>
    </row>
    <row r="18" spans="1:19" x14ac:dyDescent="0.25">
      <c r="A18" s="12">
        <v>1</v>
      </c>
      <c r="B18" s="12">
        <v>5</v>
      </c>
      <c r="C18" s="12" t="s">
        <v>15</v>
      </c>
      <c r="D18" s="12" t="s">
        <v>46</v>
      </c>
      <c r="E18" s="12" t="s">
        <v>55</v>
      </c>
      <c r="F18" s="12" t="s">
        <v>56</v>
      </c>
      <c r="G18" s="3">
        <v>42.545000000000002</v>
      </c>
      <c r="H18" s="3">
        <f>IFERROR(INDEX('Tagging key'!D:D, MATCH(F18,'Tagging key'!C:C,0)),"")</f>
        <v>81</v>
      </c>
      <c r="I18" s="3">
        <f>IFERROR(INDEX('Tagging key'!E:E, MATCH(F18,'Tagging key'!C:C,0)),"")</f>
        <v>41</v>
      </c>
      <c r="J18" s="3">
        <f>IFERROR(INDEX('Tagging key'!F:F, MATCH(F18,'Tagging key'!C:C,0)),"")</f>
        <v>28</v>
      </c>
      <c r="K18" s="3">
        <v>48.896999999999998</v>
      </c>
      <c r="L18" s="3">
        <v>82.36</v>
      </c>
      <c r="M18" s="3">
        <v>40.42</v>
      </c>
      <c r="N18" s="3">
        <v>28.98</v>
      </c>
      <c r="O18" s="3"/>
      <c r="P18" s="22">
        <v>45879</v>
      </c>
      <c r="Q18" s="22">
        <v>45879</v>
      </c>
      <c r="R18" s="3"/>
    </row>
    <row r="19" spans="1:19" x14ac:dyDescent="0.25">
      <c r="A19" s="12">
        <v>1</v>
      </c>
      <c r="B19" s="12">
        <v>5</v>
      </c>
      <c r="C19" s="12" t="s">
        <v>15</v>
      </c>
      <c r="D19" s="12" t="s">
        <v>46</v>
      </c>
      <c r="E19" s="12" t="s">
        <v>57</v>
      </c>
      <c r="F19" s="12" t="s">
        <v>58</v>
      </c>
      <c r="G19" s="3">
        <v>41.808</v>
      </c>
      <c r="H19" s="3">
        <f>IFERROR(INDEX('Tagging key'!D:D, MATCH(F19,'Tagging key'!C:C,0)),"")</f>
        <v>77.14</v>
      </c>
      <c r="I19" s="3">
        <f>IFERROR(INDEX('Tagging key'!E:E, MATCH(F19,'Tagging key'!C:C,0)),"")</f>
        <v>41.67</v>
      </c>
      <c r="J19" s="3">
        <f>IFERROR(INDEX('Tagging key'!F:F, MATCH(F19,'Tagging key'!C:C,0)),"")</f>
        <v>27.56</v>
      </c>
      <c r="K19" s="3">
        <v>42.924999999999997</v>
      </c>
      <c r="L19" s="3">
        <v>73.25</v>
      </c>
      <c r="M19" s="3">
        <v>33.22</v>
      </c>
      <c r="N19" s="3">
        <v>22.36</v>
      </c>
      <c r="O19" s="3"/>
      <c r="P19" s="22">
        <v>45877</v>
      </c>
      <c r="Q19" s="22">
        <v>45877</v>
      </c>
      <c r="R19" s="3"/>
    </row>
    <row r="20" spans="1:19" x14ac:dyDescent="0.25">
      <c r="A20" s="12">
        <v>1</v>
      </c>
      <c r="B20" s="12">
        <v>5</v>
      </c>
      <c r="C20" s="12" t="s">
        <v>15</v>
      </c>
      <c r="D20" s="12" t="s">
        <v>46</v>
      </c>
      <c r="E20" s="12" t="s">
        <v>59</v>
      </c>
      <c r="F20" s="12" t="s">
        <v>60</v>
      </c>
      <c r="G20" s="3">
        <v>48.347999999999999</v>
      </c>
      <c r="H20" s="3">
        <f>IFERROR(INDEX('Tagging key'!D:D, MATCH(F20,'Tagging key'!C:C,0)),"")</f>
        <v>77</v>
      </c>
      <c r="I20" s="3">
        <f>IFERROR(INDEX('Tagging key'!E:E, MATCH(F20,'Tagging key'!C:C,0)),"")</f>
        <v>39</v>
      </c>
      <c r="J20" s="3">
        <f>IFERROR(INDEX('Tagging key'!F:F, MATCH(F20,'Tagging key'!C:C,0)),"")</f>
        <v>31</v>
      </c>
      <c r="K20" s="3">
        <v>59.116999999999997</v>
      </c>
      <c r="L20" s="3">
        <v>78.349999999999994</v>
      </c>
      <c r="M20" s="3">
        <v>39.340000000000003</v>
      </c>
      <c r="N20" s="3">
        <v>31.23</v>
      </c>
      <c r="O20" s="3"/>
      <c r="P20" s="22">
        <v>45882</v>
      </c>
      <c r="Q20" s="22">
        <v>45882</v>
      </c>
      <c r="R20" s="3">
        <v>26.2</v>
      </c>
    </row>
    <row r="21" spans="1:19" x14ac:dyDescent="0.25">
      <c r="A21" s="12">
        <v>1</v>
      </c>
      <c r="B21" s="12">
        <v>5</v>
      </c>
      <c r="C21" s="12" t="s">
        <v>15</v>
      </c>
      <c r="D21" s="12" t="s">
        <v>46</v>
      </c>
      <c r="E21" s="12" t="s">
        <v>61</v>
      </c>
      <c r="F21" s="12" t="s">
        <v>62</v>
      </c>
      <c r="G21" s="3">
        <v>46.31</v>
      </c>
      <c r="H21" s="3">
        <f>IFERROR(INDEX('Tagging key'!D:D, MATCH(F21,'Tagging key'!C:C,0)),"")</f>
        <v>78</v>
      </c>
      <c r="I21" s="3">
        <f>IFERROR(INDEX('Tagging key'!E:E, MATCH(F21,'Tagging key'!C:C,0)),"")</f>
        <v>40</v>
      </c>
      <c r="J21" s="3">
        <f>IFERROR(INDEX('Tagging key'!F:F, MATCH(F21,'Tagging key'!C:C,0)),"")</f>
        <v>26</v>
      </c>
      <c r="K21" s="3">
        <v>47.335000000000001</v>
      </c>
      <c r="L21" s="3">
        <v>81.040000000000006</v>
      </c>
      <c r="M21" s="3">
        <v>40.92</v>
      </c>
      <c r="N21" s="3">
        <v>26.14</v>
      </c>
      <c r="O21" s="3"/>
      <c r="P21" s="26">
        <v>45886</v>
      </c>
      <c r="Q21" s="26">
        <v>45886</v>
      </c>
    </row>
    <row r="22" spans="1:19" x14ac:dyDescent="0.25">
      <c r="A22" s="11">
        <v>1</v>
      </c>
      <c r="B22" s="11">
        <v>6</v>
      </c>
      <c r="C22" s="11" t="s">
        <v>15</v>
      </c>
      <c r="D22" s="11" t="s">
        <v>46</v>
      </c>
      <c r="E22" s="11" t="s">
        <v>63</v>
      </c>
      <c r="F22" s="11" t="s">
        <v>64</v>
      </c>
      <c r="G22" s="3">
        <v>23.08</v>
      </c>
      <c r="H22" s="3">
        <f>IFERROR(INDEX('Tagging key'!D:D, MATCH(F22,'Tagging key'!C:C,0)),"")</f>
        <v>62.3</v>
      </c>
      <c r="I22" s="3">
        <f>IFERROR(INDEX('Tagging key'!E:E, MATCH(F22,'Tagging key'!C:C,0)),"")</f>
        <v>34.5</v>
      </c>
      <c r="J22" s="3">
        <f>IFERROR(INDEX('Tagging key'!F:F, MATCH(F22,'Tagging key'!C:C,0)),"")</f>
        <v>21.4</v>
      </c>
      <c r="K22" s="3">
        <v>23.276</v>
      </c>
      <c r="L22" s="3">
        <v>63.05</v>
      </c>
      <c r="M22" s="3">
        <v>34.99</v>
      </c>
      <c r="N22" s="3">
        <v>22.39</v>
      </c>
      <c r="O22" s="3"/>
      <c r="P22" s="22">
        <v>45879</v>
      </c>
      <c r="Q22" s="22">
        <v>45879</v>
      </c>
      <c r="R22" s="3"/>
      <c r="S22" t="s">
        <v>65</v>
      </c>
    </row>
    <row r="23" spans="1:19" x14ac:dyDescent="0.25">
      <c r="A23" s="11">
        <v>1</v>
      </c>
      <c r="B23" s="11">
        <v>6</v>
      </c>
      <c r="C23" s="11" t="s">
        <v>15</v>
      </c>
      <c r="D23" s="11" t="s">
        <v>46</v>
      </c>
      <c r="E23" s="11" t="s">
        <v>66</v>
      </c>
      <c r="F23" s="11" t="s">
        <v>67</v>
      </c>
      <c r="G23" s="3">
        <v>45.984000000000002</v>
      </c>
      <c r="H23" s="3">
        <f>IFERROR(INDEX('Tagging key'!D:D, MATCH(F23,'Tagging key'!C:C,0)),"")</f>
        <v>76.72</v>
      </c>
      <c r="I23" s="3">
        <f>IFERROR(INDEX('Tagging key'!E:E, MATCH(F23,'Tagging key'!C:C,0)),"")</f>
        <v>42.05</v>
      </c>
      <c r="J23" s="3">
        <f>IFERROR(INDEX('Tagging key'!F:F, MATCH(F23,'Tagging key'!C:C,0)),"")</f>
        <v>26.28</v>
      </c>
      <c r="K23" s="3">
        <v>46.107999999999997</v>
      </c>
      <c r="L23" s="3">
        <v>71.5</v>
      </c>
      <c r="M23" s="3">
        <v>36.06</v>
      </c>
      <c r="N23" s="3">
        <v>21.64</v>
      </c>
      <c r="O23" s="3"/>
      <c r="P23" s="22">
        <v>45877</v>
      </c>
      <c r="Q23" s="22">
        <v>45877</v>
      </c>
      <c r="R23" s="3"/>
    </row>
    <row r="24" spans="1:19" x14ac:dyDescent="0.25">
      <c r="A24" s="11">
        <v>1</v>
      </c>
      <c r="B24" s="11">
        <v>6</v>
      </c>
      <c r="C24" s="11" t="s">
        <v>15</v>
      </c>
      <c r="D24" s="11" t="s">
        <v>46</v>
      </c>
      <c r="E24" s="11" t="s">
        <v>68</v>
      </c>
      <c r="F24" s="11" t="s">
        <v>69</v>
      </c>
      <c r="G24" s="3">
        <v>31.393000000000001</v>
      </c>
      <c r="H24" s="3">
        <f>IFERROR(INDEX('Tagging key'!D:D, MATCH(F24,'Tagging key'!C:C,0)),"")</f>
        <v>68</v>
      </c>
      <c r="I24" s="3">
        <f>IFERROR(INDEX('Tagging key'!E:E, MATCH(F24,'Tagging key'!C:C,0)),"")</f>
        <v>33</v>
      </c>
      <c r="J24" s="3">
        <f>IFERROR(INDEX('Tagging key'!F:F, MATCH(F24,'Tagging key'!C:C,0)),"")</f>
        <v>26</v>
      </c>
      <c r="K24" s="3">
        <v>31.966000000000001</v>
      </c>
      <c r="L24" s="3">
        <v>69.739999999999995</v>
      </c>
      <c r="M24" s="3">
        <v>34.26</v>
      </c>
      <c r="N24" s="3">
        <v>26.15</v>
      </c>
      <c r="O24" s="3"/>
      <c r="P24" s="22">
        <v>45882</v>
      </c>
      <c r="Q24" s="22">
        <v>45882</v>
      </c>
      <c r="R24" s="3">
        <v>11.113</v>
      </c>
    </row>
    <row r="25" spans="1:19" x14ac:dyDescent="0.25">
      <c r="A25" s="11">
        <v>1</v>
      </c>
      <c r="B25" s="11">
        <v>6</v>
      </c>
      <c r="C25" s="11" t="s">
        <v>15</v>
      </c>
      <c r="D25" s="11" t="s">
        <v>46</v>
      </c>
      <c r="E25" s="11" t="s">
        <v>70</v>
      </c>
      <c r="F25" s="11" t="s">
        <v>71</v>
      </c>
      <c r="G25" s="3">
        <v>51.927</v>
      </c>
      <c r="H25" s="3">
        <f>IFERROR(INDEX('Tagging key'!D:D, MATCH(F25,'Tagging key'!C:C,0)),"")</f>
        <v>79</v>
      </c>
      <c r="I25" s="3">
        <f>IFERROR(INDEX('Tagging key'!E:E, MATCH(F25,'Tagging key'!C:C,0)),"")</f>
        <v>37</v>
      </c>
      <c r="J25" s="3">
        <f>IFERROR(INDEX('Tagging key'!F:F, MATCH(F25,'Tagging key'!C:C,0)),"")</f>
        <v>32</v>
      </c>
      <c r="K25">
        <v>52.338999999999999</v>
      </c>
      <c r="L25" s="3">
        <v>79.34</v>
      </c>
      <c r="M25" s="3">
        <v>37.270000000000003</v>
      </c>
      <c r="N25" s="3">
        <v>32.94</v>
      </c>
      <c r="O25" s="3"/>
      <c r="P25" s="26">
        <v>45886</v>
      </c>
      <c r="Q25" s="26">
        <v>45886</v>
      </c>
    </row>
    <row r="26" spans="1:19" x14ac:dyDescent="0.25">
      <c r="A26" s="13">
        <v>1</v>
      </c>
      <c r="B26" s="13">
        <v>7</v>
      </c>
      <c r="C26" s="13" t="s">
        <v>15</v>
      </c>
      <c r="D26" s="13" t="s">
        <v>72</v>
      </c>
      <c r="E26" s="13" t="s">
        <v>73</v>
      </c>
      <c r="F26" s="13" t="s">
        <v>74</v>
      </c>
      <c r="G26" s="3">
        <v>50.988</v>
      </c>
      <c r="H26" s="3">
        <f>IFERROR(INDEX('Tagging key'!D:D, MATCH(F26,'Tagging key'!C:C,0)),"")</f>
        <v>69</v>
      </c>
      <c r="I26" s="3">
        <f>IFERROR(INDEX('Tagging key'!E:E, MATCH(F26,'Tagging key'!C:C,0)),"")</f>
        <v>71.5</v>
      </c>
      <c r="J26" s="3">
        <f>IFERROR(INDEX('Tagging key'!F:F, MATCH(F26,'Tagging key'!C:C,0)),"")</f>
        <v>18</v>
      </c>
      <c r="K26" s="3">
        <v>46.064</v>
      </c>
      <c r="L26" s="3">
        <v>69.92</v>
      </c>
      <c r="M26" s="3">
        <v>73.16</v>
      </c>
      <c r="N26" s="3">
        <v>21</v>
      </c>
      <c r="O26" s="3"/>
      <c r="P26" s="22">
        <v>45882</v>
      </c>
      <c r="Q26" s="22">
        <v>45882</v>
      </c>
      <c r="R26" s="3">
        <v>23.565000000000001</v>
      </c>
    </row>
    <row r="27" spans="1:19" x14ac:dyDescent="0.25">
      <c r="A27" s="13">
        <v>1</v>
      </c>
      <c r="B27" s="13">
        <v>7</v>
      </c>
      <c r="C27" s="13" t="s">
        <v>15</v>
      </c>
      <c r="D27" s="13" t="s">
        <v>72</v>
      </c>
      <c r="E27" s="13" t="s">
        <v>75</v>
      </c>
      <c r="F27" s="13" t="s">
        <v>76</v>
      </c>
      <c r="G27" s="3">
        <v>50.64</v>
      </c>
      <c r="H27" s="3">
        <f>IFERROR(INDEX('Tagging key'!D:D, MATCH(F27,'Tagging key'!C:C,0)),"")</f>
        <v>71</v>
      </c>
      <c r="I27" s="3">
        <f>IFERROR(INDEX('Tagging key'!E:E, MATCH(F27,'Tagging key'!C:C,0)),"")</f>
        <v>73</v>
      </c>
      <c r="J27" s="3">
        <f>IFERROR(INDEX('Tagging key'!F:F, MATCH(F27,'Tagging key'!C:C,0)),"")</f>
        <v>20</v>
      </c>
      <c r="K27" s="3">
        <v>40.579000000000001</v>
      </c>
      <c r="L27" s="3">
        <v>70.88</v>
      </c>
      <c r="M27" s="3">
        <v>74.319999999999993</v>
      </c>
      <c r="N27" s="3">
        <v>21.2</v>
      </c>
      <c r="O27" s="3"/>
      <c r="P27" s="26">
        <v>45886</v>
      </c>
      <c r="Q27" s="26">
        <v>45886</v>
      </c>
      <c r="S27" t="s">
        <v>77</v>
      </c>
    </row>
    <row r="28" spans="1:19" x14ac:dyDescent="0.25">
      <c r="A28" s="13">
        <v>1</v>
      </c>
      <c r="B28" s="13">
        <v>7</v>
      </c>
      <c r="C28" s="13" t="s">
        <v>15</v>
      </c>
      <c r="D28" s="13" t="s">
        <v>72</v>
      </c>
      <c r="E28" s="13" t="s">
        <v>78</v>
      </c>
      <c r="F28" s="13" t="s">
        <v>79</v>
      </c>
      <c r="G28" s="3">
        <v>57.49</v>
      </c>
      <c r="H28" s="3">
        <f>IFERROR(INDEX('Tagging key'!D:D, MATCH(F28,'Tagging key'!C:C,0)),"")</f>
        <v>71.5</v>
      </c>
      <c r="I28" s="3">
        <f>IFERROR(INDEX('Tagging key'!E:E, MATCH(F28,'Tagging key'!C:C,0)),"")</f>
        <v>75.5</v>
      </c>
      <c r="J28" s="3">
        <f>IFERROR(INDEX('Tagging key'!F:F, MATCH(F28,'Tagging key'!C:C,0)),"")</f>
        <v>20</v>
      </c>
      <c r="K28" s="3">
        <v>55.155000000000001</v>
      </c>
      <c r="L28" s="3">
        <v>73.62</v>
      </c>
      <c r="M28" s="3">
        <v>78.319999999999993</v>
      </c>
      <c r="N28" s="3">
        <v>23.12</v>
      </c>
      <c r="O28" s="3"/>
      <c r="P28" s="22">
        <v>45879</v>
      </c>
      <c r="Q28" s="22">
        <v>45879</v>
      </c>
      <c r="R28" s="3">
        <v>20.812999999999999</v>
      </c>
    </row>
    <row r="29" spans="1:19" x14ac:dyDescent="0.25">
      <c r="A29" s="13">
        <v>1</v>
      </c>
      <c r="B29" s="13">
        <v>7</v>
      </c>
      <c r="C29" s="13" t="s">
        <v>15</v>
      </c>
      <c r="D29" s="13" t="s">
        <v>72</v>
      </c>
      <c r="E29" s="13" t="s">
        <v>80</v>
      </c>
      <c r="F29" s="13" t="s">
        <v>81</v>
      </c>
      <c r="G29" s="3">
        <v>46.17</v>
      </c>
      <c r="H29" s="3">
        <f>IFERROR(INDEX('Tagging key'!D:D, MATCH(F29,'Tagging key'!C:C,0)),"")</f>
        <v>66</v>
      </c>
      <c r="I29" s="3">
        <f>IFERROR(INDEX('Tagging key'!E:E, MATCH(F29,'Tagging key'!C:C,0)),"")</f>
        <v>70</v>
      </c>
      <c r="J29" s="3">
        <f>IFERROR(INDEX('Tagging key'!F:F, MATCH(F29,'Tagging key'!C:C,0)),"")</f>
        <v>17</v>
      </c>
      <c r="K29" s="3">
        <v>43.563000000000002</v>
      </c>
      <c r="L29" s="3">
        <v>63.06</v>
      </c>
      <c r="M29" s="3">
        <v>65.510000000000005</v>
      </c>
      <c r="N29" s="3">
        <v>14.5</v>
      </c>
      <c r="O29" s="3"/>
      <c r="P29" s="22">
        <v>45877</v>
      </c>
      <c r="Q29" s="22">
        <v>45877</v>
      </c>
      <c r="R29" s="3"/>
    </row>
    <row r="30" spans="1:19" x14ac:dyDescent="0.25">
      <c r="A30" s="14">
        <v>1</v>
      </c>
      <c r="B30" s="14">
        <v>8</v>
      </c>
      <c r="C30" s="14" t="s">
        <v>15</v>
      </c>
      <c r="D30" s="14" t="s">
        <v>72</v>
      </c>
      <c r="E30" s="14" t="s">
        <v>82</v>
      </c>
      <c r="F30" s="14" t="s">
        <v>83</v>
      </c>
      <c r="G30" s="3">
        <v>70.19</v>
      </c>
      <c r="H30" s="3">
        <f>IFERROR(INDEX('Tagging key'!D:D, MATCH(F30,'Tagging key'!C:C,0)),"")</f>
        <v>77</v>
      </c>
      <c r="I30" s="3">
        <f>IFERROR(INDEX('Tagging key'!E:E, MATCH(F30,'Tagging key'!C:C,0)),"")</f>
        <v>80</v>
      </c>
      <c r="J30" s="3">
        <f>IFERROR(INDEX('Tagging key'!F:F, MATCH(F30,'Tagging key'!C:C,0)),"")</f>
        <v>20</v>
      </c>
      <c r="K30" s="3">
        <v>66.168000000000006</v>
      </c>
      <c r="L30" s="3">
        <v>78.34</v>
      </c>
      <c r="M30" s="3">
        <v>81.95</v>
      </c>
      <c r="N30" s="3">
        <v>22.6</v>
      </c>
      <c r="O30" s="3"/>
      <c r="P30" s="22">
        <v>45882</v>
      </c>
      <c r="Q30" s="22">
        <v>45882</v>
      </c>
      <c r="R30" s="3">
        <v>33.408999999999999</v>
      </c>
    </row>
    <row r="31" spans="1:19" x14ac:dyDescent="0.25">
      <c r="A31" s="14">
        <v>1</v>
      </c>
      <c r="B31" s="14">
        <v>8</v>
      </c>
      <c r="C31" s="14" t="s">
        <v>15</v>
      </c>
      <c r="D31" s="14" t="s">
        <v>72</v>
      </c>
      <c r="E31" s="14" t="s">
        <v>84</v>
      </c>
      <c r="F31" s="14" t="s">
        <v>85</v>
      </c>
      <c r="G31" s="3">
        <v>43.73</v>
      </c>
      <c r="H31" s="3">
        <f>IFERROR(INDEX('Tagging key'!D:D, MATCH(F31,'Tagging key'!C:C,0)),"")</f>
        <v>67</v>
      </c>
      <c r="I31" s="3">
        <f>IFERROR(INDEX('Tagging key'!E:E, MATCH(F31,'Tagging key'!C:C,0)),"")</f>
        <v>70</v>
      </c>
      <c r="J31" s="3">
        <f>IFERROR(INDEX('Tagging key'!F:F, MATCH(F31,'Tagging key'!C:C,0)),"")</f>
        <v>13</v>
      </c>
      <c r="K31" s="3">
        <v>40.048000000000002</v>
      </c>
      <c r="L31" s="3">
        <v>67.84</v>
      </c>
      <c r="M31" s="3">
        <v>71.900000000000006</v>
      </c>
      <c r="N31" s="3">
        <v>17.36</v>
      </c>
      <c r="O31" s="3"/>
      <c r="P31" s="26">
        <v>45886</v>
      </c>
      <c r="Q31" s="26">
        <v>45886</v>
      </c>
    </row>
    <row r="32" spans="1:19" x14ac:dyDescent="0.25">
      <c r="A32" s="14">
        <v>1</v>
      </c>
      <c r="B32" s="14">
        <v>8</v>
      </c>
      <c r="C32" s="14" t="s">
        <v>15</v>
      </c>
      <c r="D32" s="14" t="s">
        <v>72</v>
      </c>
      <c r="E32" s="14" t="s">
        <v>86</v>
      </c>
      <c r="F32" s="14" t="s">
        <v>87</v>
      </c>
      <c r="G32" s="3">
        <v>45.28</v>
      </c>
      <c r="H32" s="3">
        <f>IFERROR(INDEX('Tagging key'!D:D, MATCH(F32,'Tagging key'!C:C,0)),"")</f>
        <v>69.62</v>
      </c>
      <c r="I32" s="3">
        <f>IFERROR(INDEX('Tagging key'!E:E, MATCH(F32,'Tagging key'!C:C,0)),"")</f>
        <v>70.989999999999995</v>
      </c>
      <c r="J32" s="3">
        <f>IFERROR(INDEX('Tagging key'!F:F, MATCH(F32,'Tagging key'!C:C,0)),"")</f>
        <v>17.559999999999999</v>
      </c>
      <c r="K32" s="3">
        <v>43.895000000000003</v>
      </c>
      <c r="L32" s="3">
        <v>66.209999999999994</v>
      </c>
      <c r="M32" s="3">
        <v>69.48</v>
      </c>
      <c r="N32" s="3">
        <v>14.26</v>
      </c>
      <c r="O32" s="3"/>
      <c r="P32" s="22">
        <v>45877</v>
      </c>
      <c r="Q32" s="22">
        <v>45877</v>
      </c>
      <c r="R32" s="3"/>
    </row>
    <row r="33" spans="1:20" x14ac:dyDescent="0.25">
      <c r="A33" s="14">
        <v>1</v>
      </c>
      <c r="B33" s="14">
        <v>8</v>
      </c>
      <c r="C33" s="14" t="s">
        <v>15</v>
      </c>
      <c r="D33" s="14" t="s">
        <v>72</v>
      </c>
      <c r="E33" s="14" t="s">
        <v>88</v>
      </c>
      <c r="F33" s="14" t="s">
        <v>89</v>
      </c>
      <c r="G33" s="3">
        <v>46.96</v>
      </c>
      <c r="H33" s="3">
        <f>IFERROR(INDEX('Tagging key'!D:D, MATCH(F33,'Tagging key'!C:C,0)),"")</f>
        <v>76</v>
      </c>
      <c r="I33" s="3">
        <f>IFERROR(INDEX('Tagging key'!E:E, MATCH(F33,'Tagging key'!C:C,0)),"")</f>
        <v>74</v>
      </c>
      <c r="J33" s="3">
        <f>IFERROR(INDEX('Tagging key'!F:F, MATCH(F33,'Tagging key'!C:C,0)),"")</f>
        <v>16.54</v>
      </c>
      <c r="K33" s="3">
        <v>43.487000000000002</v>
      </c>
      <c r="L33" s="3">
        <v>72.25</v>
      </c>
      <c r="M33" s="3">
        <v>70.2</v>
      </c>
      <c r="N33" s="3">
        <v>19</v>
      </c>
      <c r="O33" s="3"/>
      <c r="P33" s="22">
        <v>45879</v>
      </c>
      <c r="Q33" s="22">
        <v>45879</v>
      </c>
      <c r="R33" s="3"/>
    </row>
    <row r="34" spans="1:20" x14ac:dyDescent="0.25">
      <c r="A34" s="13">
        <v>1</v>
      </c>
      <c r="B34" s="13">
        <v>9</v>
      </c>
      <c r="C34" s="13" t="s">
        <v>15</v>
      </c>
      <c r="D34" s="13" t="s">
        <v>72</v>
      </c>
      <c r="E34" s="13" t="s">
        <v>90</v>
      </c>
      <c r="F34" s="13" t="s">
        <v>91</v>
      </c>
      <c r="G34" s="3"/>
      <c r="H34" s="3" t="str">
        <f>IFERROR(INDEX('Tagging key'!D:D, MATCH(F34,'Tagging key'!C:C,0)),"")</f>
        <v/>
      </c>
      <c r="I34" s="3" t="str">
        <f>IFERROR(INDEX('Tagging key'!E:E, MATCH(F34,'Tagging key'!C:C,0)),"")</f>
        <v/>
      </c>
      <c r="J34" s="3" t="str">
        <f>IFERROR(INDEX('Tagging key'!F:F, MATCH(F34,'Tagging key'!C:C,0)),"")</f>
        <v/>
      </c>
      <c r="K34" s="3">
        <v>63.924999999999997</v>
      </c>
      <c r="L34" s="3">
        <v>74.739999999999995</v>
      </c>
      <c r="M34" s="3">
        <v>79.150000000000006</v>
      </c>
      <c r="N34" s="3">
        <v>15.8</v>
      </c>
      <c r="O34" s="3"/>
      <c r="P34" s="22">
        <v>45877</v>
      </c>
      <c r="Q34" s="22">
        <v>45877</v>
      </c>
      <c r="R34" s="3"/>
      <c r="S34" t="s">
        <v>92</v>
      </c>
      <c r="T34" t="s">
        <v>93</v>
      </c>
    </row>
    <row r="35" spans="1:20" x14ac:dyDescent="0.25">
      <c r="A35" s="13">
        <v>1</v>
      </c>
      <c r="B35" s="13">
        <v>9</v>
      </c>
      <c r="C35" s="13" t="s">
        <v>15</v>
      </c>
      <c r="D35" s="13" t="s">
        <v>72</v>
      </c>
      <c r="E35" s="13" t="s">
        <v>94</v>
      </c>
      <c r="F35" s="13" t="s">
        <v>95</v>
      </c>
      <c r="G35" s="3"/>
      <c r="H35" s="3" t="str">
        <f>IFERROR(INDEX('Tagging key'!D:D, MATCH(F35,'Tagging key'!C:C,0)),"")</f>
        <v/>
      </c>
      <c r="I35" s="3" t="str">
        <f>IFERROR(INDEX('Tagging key'!E:E, MATCH(F35,'Tagging key'!C:C,0)),"")</f>
        <v/>
      </c>
      <c r="J35" s="3" t="str">
        <f>IFERROR(INDEX('Tagging key'!F:F, MATCH(F35,'Tagging key'!C:C,0)),"")</f>
        <v/>
      </c>
      <c r="K35" s="3">
        <v>64.117999999999995</v>
      </c>
      <c r="L35" s="3">
        <v>79.66</v>
      </c>
      <c r="M35" s="3">
        <v>84.5</v>
      </c>
      <c r="N35" s="3">
        <v>21.52</v>
      </c>
      <c r="O35" s="3"/>
      <c r="P35" s="22">
        <v>45879</v>
      </c>
      <c r="Q35" s="22">
        <v>45879</v>
      </c>
      <c r="R35" s="3"/>
      <c r="S35" t="s">
        <v>96</v>
      </c>
      <c r="T35" t="s">
        <v>97</v>
      </c>
    </row>
    <row r="36" spans="1:20" x14ac:dyDescent="0.25">
      <c r="A36" s="13">
        <v>1</v>
      </c>
      <c r="B36" s="13">
        <v>9</v>
      </c>
      <c r="C36" s="13" t="s">
        <v>15</v>
      </c>
      <c r="D36" s="13" t="s">
        <v>72</v>
      </c>
      <c r="E36" s="13" t="s">
        <v>98</v>
      </c>
      <c r="F36" s="13" t="s">
        <v>99</v>
      </c>
      <c r="G36" s="3"/>
      <c r="H36" s="3" t="str">
        <f>IFERROR(INDEX('Tagging key'!D:D, MATCH(F36,'Tagging key'!C:C,0)),"")</f>
        <v/>
      </c>
      <c r="I36" s="3" t="str">
        <f>IFERROR(INDEX('Tagging key'!E:E, MATCH(F36,'Tagging key'!C:C,0)),"")</f>
        <v/>
      </c>
      <c r="J36" s="3" t="str">
        <f>IFERROR(INDEX('Tagging key'!F:F, MATCH(F36,'Tagging key'!C:C,0)),"")</f>
        <v/>
      </c>
      <c r="K36" s="3">
        <v>48.91</v>
      </c>
      <c r="L36" s="3">
        <v>71.349999999999994</v>
      </c>
      <c r="M36" s="3">
        <v>75.45</v>
      </c>
      <c r="N36" s="3">
        <v>19.71</v>
      </c>
      <c r="O36" s="3"/>
      <c r="P36" s="22">
        <v>45882</v>
      </c>
      <c r="Q36" s="22">
        <v>45882</v>
      </c>
      <c r="R36" s="3"/>
      <c r="S36" t="s">
        <v>100</v>
      </c>
    </row>
    <row r="37" spans="1:20" x14ac:dyDescent="0.25">
      <c r="A37" s="13">
        <v>1</v>
      </c>
      <c r="B37" s="13">
        <v>9</v>
      </c>
      <c r="C37" s="13" t="s">
        <v>15</v>
      </c>
      <c r="D37" s="13" t="s">
        <v>72</v>
      </c>
      <c r="E37" s="13" t="s">
        <v>101</v>
      </c>
      <c r="F37" s="13" t="s">
        <v>102</v>
      </c>
      <c r="G37" s="3"/>
      <c r="H37" s="3" t="str">
        <f>IFERROR(INDEX('Tagging key'!D:D, MATCH(F37,'Tagging key'!C:C,0)),"")</f>
        <v/>
      </c>
      <c r="I37" s="3" t="str">
        <f>IFERROR(INDEX('Tagging key'!E:E, MATCH(F37,'Tagging key'!C:C,0)),"")</f>
        <v/>
      </c>
      <c r="J37" s="3" t="str">
        <f>IFERROR(INDEX('Tagging key'!F:F, MATCH(F37,'Tagging key'!C:C,0)),"")</f>
        <v/>
      </c>
      <c r="K37" s="3">
        <v>57.301000000000002</v>
      </c>
      <c r="L37" s="3">
        <v>75.94</v>
      </c>
      <c r="M37" s="3">
        <v>81.98</v>
      </c>
      <c r="N37" s="3">
        <v>23</v>
      </c>
      <c r="O37" s="3"/>
      <c r="P37" s="26">
        <v>45886</v>
      </c>
      <c r="Q37" s="26">
        <v>45886</v>
      </c>
      <c r="S37" t="s">
        <v>103</v>
      </c>
      <c r="T37" t="s">
        <v>104</v>
      </c>
    </row>
    <row r="38" spans="1:20" x14ac:dyDescent="0.25">
      <c r="A38" s="8">
        <v>2</v>
      </c>
      <c r="B38" s="8">
        <v>1</v>
      </c>
      <c r="C38" s="8" t="s">
        <v>105</v>
      </c>
      <c r="D38" s="8" t="s">
        <v>16</v>
      </c>
      <c r="E38" s="8" t="s">
        <v>106</v>
      </c>
      <c r="F38" s="8" t="s">
        <v>107</v>
      </c>
      <c r="G38" s="3">
        <v>27.457000000000001</v>
      </c>
      <c r="H38" s="3">
        <v>66.92</v>
      </c>
      <c r="I38" s="3">
        <v>40.6</v>
      </c>
      <c r="J38" s="3">
        <v>14.18</v>
      </c>
      <c r="K38" s="3">
        <v>27.446999999999999</v>
      </c>
      <c r="L38" s="3">
        <v>66.41</v>
      </c>
      <c r="M38" s="3">
        <v>40.299999999999997</v>
      </c>
      <c r="N38" s="3">
        <v>15.3</v>
      </c>
      <c r="O38" s="3"/>
      <c r="P38" s="26">
        <v>45886</v>
      </c>
      <c r="Q38" s="26">
        <v>45886</v>
      </c>
    </row>
    <row r="39" spans="1:20" x14ac:dyDescent="0.25">
      <c r="A39" s="8">
        <v>2</v>
      </c>
      <c r="B39" s="8">
        <v>1</v>
      </c>
      <c r="C39" s="8" t="s">
        <v>105</v>
      </c>
      <c r="D39" s="8" t="s">
        <v>16</v>
      </c>
      <c r="E39" s="8" t="s">
        <v>108</v>
      </c>
      <c r="F39" s="8" t="s">
        <v>109</v>
      </c>
      <c r="G39" s="3">
        <v>28.460999999999999</v>
      </c>
      <c r="H39" s="3">
        <f>IFERROR(INDEX('Tagging key'!D:D, MATCH(F39,'Tagging key'!C:C,0)),"")</f>
        <v>60</v>
      </c>
      <c r="I39" s="3">
        <f>IFERROR(INDEX('Tagging key'!E:E, MATCH(F39,'Tagging key'!C:C,0)),"")</f>
        <v>48.92</v>
      </c>
      <c r="J39" s="3">
        <f>IFERROR(INDEX('Tagging key'!F:F, MATCH(F39,'Tagging key'!C:C,0)),"")</f>
        <v>17.079999999999998</v>
      </c>
      <c r="K39" s="3">
        <v>28.300999999999998</v>
      </c>
      <c r="L39" s="3">
        <v>61</v>
      </c>
      <c r="M39" s="3">
        <v>46.24</v>
      </c>
      <c r="N39" s="3">
        <v>18.86</v>
      </c>
      <c r="O39" s="3"/>
      <c r="P39" s="22">
        <v>45882</v>
      </c>
      <c r="Q39" s="22">
        <v>45882</v>
      </c>
      <c r="R39" s="3">
        <v>19.263999999999999</v>
      </c>
    </row>
    <row r="40" spans="1:20" x14ac:dyDescent="0.25">
      <c r="A40" s="8">
        <v>2</v>
      </c>
      <c r="B40" s="8">
        <v>1</v>
      </c>
      <c r="C40" s="8" t="s">
        <v>105</v>
      </c>
      <c r="D40" s="8" t="s">
        <v>16</v>
      </c>
      <c r="E40" s="8" t="s">
        <v>110</v>
      </c>
      <c r="F40" s="8" t="s">
        <v>111</v>
      </c>
      <c r="G40" s="3">
        <v>36.899000000000001</v>
      </c>
      <c r="H40" s="3">
        <f>IFERROR(INDEX('Tagging key'!D:D, MATCH(F40,'Tagging key'!C:C,0)),"")</f>
        <v>73.260000000000005</v>
      </c>
      <c r="I40" s="3">
        <f>IFERROR(INDEX('Tagging key'!E:E, MATCH(F40,'Tagging key'!C:C,0)),"")</f>
        <v>50.23</v>
      </c>
      <c r="J40" s="3">
        <f>IFERROR(INDEX('Tagging key'!F:F, MATCH(F40,'Tagging key'!C:C,0)),"")</f>
        <v>15.63</v>
      </c>
      <c r="K40" s="3">
        <v>36.508000000000003</v>
      </c>
      <c r="L40" s="3">
        <v>75.48</v>
      </c>
      <c r="M40" s="3">
        <v>49.99</v>
      </c>
      <c r="N40" s="3">
        <v>29.37</v>
      </c>
      <c r="O40" s="3"/>
      <c r="P40" s="22">
        <v>45879</v>
      </c>
      <c r="Q40" s="22">
        <v>45879</v>
      </c>
      <c r="R40" s="3"/>
    </row>
    <row r="41" spans="1:20" x14ac:dyDescent="0.25">
      <c r="A41" s="8">
        <v>2</v>
      </c>
      <c r="B41" s="8">
        <v>1</v>
      </c>
      <c r="C41" s="8" t="s">
        <v>105</v>
      </c>
      <c r="D41" s="8" t="s">
        <v>16</v>
      </c>
      <c r="E41" s="8" t="s">
        <v>112</v>
      </c>
      <c r="F41" s="8" t="s">
        <v>113</v>
      </c>
      <c r="G41" s="3">
        <v>32.44</v>
      </c>
      <c r="H41" s="3">
        <f>IFERROR(INDEX('Tagging key'!D:D, MATCH(F41,'Tagging key'!C:C,0)),"")</f>
        <v>62.42</v>
      </c>
      <c r="I41" s="3">
        <f>IFERROR(INDEX('Tagging key'!E:E, MATCH(F41,'Tagging key'!C:C,0)),"")</f>
        <v>46.78</v>
      </c>
      <c r="J41" s="3">
        <f>IFERROR(INDEX('Tagging key'!F:F, MATCH(F41,'Tagging key'!C:C,0)),"")</f>
        <v>17.420000000000002</v>
      </c>
      <c r="K41" s="3">
        <v>32.15</v>
      </c>
      <c r="L41" s="3">
        <v>64.069999999999993</v>
      </c>
      <c r="M41" s="3">
        <v>45.04</v>
      </c>
      <c r="N41" s="3">
        <v>17.899999999999999</v>
      </c>
      <c r="O41" s="3"/>
      <c r="P41" s="22">
        <v>45877</v>
      </c>
      <c r="Q41" s="22">
        <v>45877</v>
      </c>
      <c r="R41" s="3"/>
    </row>
    <row r="42" spans="1:20" x14ac:dyDescent="0.25">
      <c r="A42" s="9">
        <v>2</v>
      </c>
      <c r="B42" s="9">
        <v>2</v>
      </c>
      <c r="C42" s="9" t="s">
        <v>105</v>
      </c>
      <c r="D42" s="9" t="s">
        <v>16</v>
      </c>
      <c r="E42" s="9" t="s">
        <v>114</v>
      </c>
      <c r="F42" s="9" t="s">
        <v>115</v>
      </c>
      <c r="G42" s="3">
        <v>26.719000000000001</v>
      </c>
      <c r="H42" s="3">
        <f>IFERROR(INDEX('Tagging key'!D:D, MATCH(F42,'Tagging key'!C:C,0)),"")</f>
        <v>62.04</v>
      </c>
      <c r="I42" s="3">
        <f>IFERROR(INDEX('Tagging key'!E:E, MATCH(F42,'Tagging key'!C:C,0)),"")</f>
        <v>54.99</v>
      </c>
      <c r="J42" s="3">
        <f>IFERROR(INDEX('Tagging key'!F:F, MATCH(F42,'Tagging key'!C:C,0)),"")</f>
        <v>18.239999999999998</v>
      </c>
      <c r="K42" s="3">
        <v>26.423999999999999</v>
      </c>
      <c r="L42" s="3">
        <v>63.18</v>
      </c>
      <c r="M42" s="3">
        <v>43.61</v>
      </c>
      <c r="N42" s="3">
        <v>18.309999999999999</v>
      </c>
      <c r="O42" s="3"/>
      <c r="P42" s="22">
        <v>45877</v>
      </c>
      <c r="Q42" s="22">
        <v>45877</v>
      </c>
      <c r="R42" s="3"/>
    </row>
    <row r="43" spans="1:20" x14ac:dyDescent="0.25">
      <c r="A43" s="9">
        <v>2</v>
      </c>
      <c r="B43" s="9">
        <v>2</v>
      </c>
      <c r="C43" s="9" t="s">
        <v>105</v>
      </c>
      <c r="D43" s="9" t="s">
        <v>16</v>
      </c>
      <c r="E43" s="9" t="s">
        <v>116</v>
      </c>
      <c r="F43" s="9" t="s">
        <v>117</v>
      </c>
      <c r="G43" s="3">
        <v>38.066000000000003</v>
      </c>
      <c r="H43" s="3">
        <f>IFERROR(INDEX('Tagging key'!D:D, MATCH(F43,'Tagging key'!C:C,0)),"")</f>
        <v>68.489999999999995</v>
      </c>
      <c r="I43" s="3">
        <f>IFERROR(INDEX('Tagging key'!E:E, MATCH(F43,'Tagging key'!C:C,0)),"")</f>
        <v>49.5</v>
      </c>
      <c r="J43" s="3">
        <f>IFERROR(INDEX('Tagging key'!F:F, MATCH(F43,'Tagging key'!C:C,0)),"")</f>
        <v>17.690000000000001</v>
      </c>
      <c r="K43" s="3">
        <v>37.856999999999999</v>
      </c>
      <c r="L43" s="3">
        <v>69.12</v>
      </c>
      <c r="M43" s="3">
        <v>47.53</v>
      </c>
      <c r="N43" s="3">
        <v>18.98</v>
      </c>
      <c r="O43" s="3"/>
      <c r="P43" s="22">
        <v>45879</v>
      </c>
      <c r="Q43" s="22">
        <v>45879</v>
      </c>
      <c r="R43" s="3"/>
    </row>
    <row r="44" spans="1:20" x14ac:dyDescent="0.25">
      <c r="A44" s="9">
        <v>2</v>
      </c>
      <c r="B44" s="9">
        <v>2</v>
      </c>
      <c r="C44" s="9" t="s">
        <v>105</v>
      </c>
      <c r="D44" s="9" t="s">
        <v>16</v>
      </c>
      <c r="E44" s="9" t="s">
        <v>118</v>
      </c>
      <c r="F44" s="9" t="s">
        <v>119</v>
      </c>
      <c r="G44" s="3">
        <v>39.246000000000002</v>
      </c>
      <c r="H44" s="3">
        <f>IFERROR(INDEX('Tagging key'!D:D, MATCH(F44,'Tagging key'!C:C,0)),"")</f>
        <v>70.41</v>
      </c>
      <c r="I44" s="3">
        <f>IFERROR(INDEX('Tagging key'!E:E, MATCH(F44,'Tagging key'!C:C,0)),"")</f>
        <v>53.1</v>
      </c>
      <c r="J44" s="3">
        <f>IFERROR(INDEX('Tagging key'!F:F, MATCH(F44,'Tagging key'!C:C,0)),"")</f>
        <v>14.98</v>
      </c>
      <c r="K44" s="3">
        <v>38.58</v>
      </c>
      <c r="L44" s="3">
        <v>71.09</v>
      </c>
      <c r="M44" s="3">
        <v>54.49</v>
      </c>
      <c r="N44" s="3">
        <v>20.36</v>
      </c>
      <c r="O44" s="3"/>
      <c r="P44" s="22">
        <v>45882</v>
      </c>
      <c r="Q44" s="22">
        <v>45882</v>
      </c>
      <c r="R44" s="3">
        <v>25.088000000000001</v>
      </c>
    </row>
    <row r="45" spans="1:20" x14ac:dyDescent="0.25">
      <c r="A45" s="9">
        <v>2</v>
      </c>
      <c r="B45" s="9">
        <v>2</v>
      </c>
      <c r="C45" s="9" t="s">
        <v>105</v>
      </c>
      <c r="D45" s="9" t="s">
        <v>16</v>
      </c>
      <c r="E45" s="9" t="s">
        <v>120</v>
      </c>
      <c r="F45" s="9" t="s">
        <v>121</v>
      </c>
      <c r="G45" s="3">
        <v>31.29</v>
      </c>
      <c r="H45" s="3">
        <f>IFERROR(INDEX('Tagging key'!D:D, MATCH(F45,'Tagging key'!C:C,0)),"")</f>
        <v>65.94</v>
      </c>
      <c r="I45" s="3">
        <f>IFERROR(INDEX('Tagging key'!E:E, MATCH(F45,'Tagging key'!C:C,0)),"")</f>
        <v>54.06</v>
      </c>
      <c r="J45" s="3">
        <f>IFERROR(INDEX('Tagging key'!F:F, MATCH(F45,'Tagging key'!C:C,0)),"")</f>
        <v>21.23</v>
      </c>
      <c r="K45" s="3">
        <v>30.584</v>
      </c>
      <c r="L45" s="3">
        <v>67.8</v>
      </c>
      <c r="M45" s="3">
        <v>43.44</v>
      </c>
      <c r="N45" s="3">
        <v>18.89</v>
      </c>
      <c r="O45" s="3"/>
      <c r="P45" s="26">
        <v>45886</v>
      </c>
      <c r="Q45" s="26">
        <v>45886</v>
      </c>
    </row>
    <row r="46" spans="1:20" x14ac:dyDescent="0.25">
      <c r="A46" s="8">
        <v>2</v>
      </c>
      <c r="B46" s="8">
        <v>3</v>
      </c>
      <c r="C46" s="8" t="s">
        <v>105</v>
      </c>
      <c r="D46" s="8" t="s">
        <v>16</v>
      </c>
      <c r="E46" s="8" t="s">
        <v>122</v>
      </c>
      <c r="F46" s="8" t="s">
        <v>123</v>
      </c>
      <c r="G46" s="3">
        <v>40.51</v>
      </c>
      <c r="H46" s="3">
        <f>IFERROR(INDEX('Tagging key'!D:D, MATCH(F46,'Tagging key'!C:C,0)),"")</f>
        <v>74.52</v>
      </c>
      <c r="I46" s="3">
        <f>IFERROR(INDEX('Tagging key'!E:E, MATCH(F46,'Tagging key'!C:C,0)),"")</f>
        <v>46.59</v>
      </c>
      <c r="J46" s="3">
        <f>IFERROR(INDEX('Tagging key'!F:F, MATCH(F46,'Tagging key'!C:C,0)),"")</f>
        <v>17.47</v>
      </c>
      <c r="K46" s="3">
        <v>40.17</v>
      </c>
      <c r="L46" s="3">
        <v>74.8</v>
      </c>
      <c r="M46" s="3">
        <v>44.95</v>
      </c>
      <c r="N46" s="3">
        <v>17.98</v>
      </c>
      <c r="O46" s="3"/>
      <c r="P46" s="22">
        <v>45877</v>
      </c>
      <c r="Q46" s="22">
        <v>45877</v>
      </c>
      <c r="R46" s="3"/>
    </row>
    <row r="47" spans="1:20" x14ac:dyDescent="0.25">
      <c r="A47" s="8">
        <v>2</v>
      </c>
      <c r="B47" s="8">
        <v>3</v>
      </c>
      <c r="C47" s="8" t="s">
        <v>105</v>
      </c>
      <c r="D47" s="8" t="s">
        <v>16</v>
      </c>
      <c r="E47" s="8" t="s">
        <v>124</v>
      </c>
      <c r="F47" s="8" t="s">
        <v>125</v>
      </c>
      <c r="G47" s="3">
        <v>26.824999999999999</v>
      </c>
      <c r="H47" s="3">
        <f>IFERROR(INDEX('Tagging key'!D:D, MATCH(F47,'Tagging key'!C:C,0)),"")</f>
        <v>63.35</v>
      </c>
      <c r="I47" s="3">
        <f>IFERROR(INDEX('Tagging key'!E:E, MATCH(F47,'Tagging key'!C:C,0)),"")</f>
        <v>50.79</v>
      </c>
      <c r="J47" s="3">
        <f>IFERROR(INDEX('Tagging key'!F:F, MATCH(F47,'Tagging key'!C:C,0)),"")</f>
        <v>14.3</v>
      </c>
      <c r="K47" s="3">
        <v>26.687999999999999</v>
      </c>
      <c r="L47" s="3">
        <v>65.52</v>
      </c>
      <c r="M47" s="3">
        <v>41.91</v>
      </c>
      <c r="N47" s="3">
        <v>17.100000000000001</v>
      </c>
      <c r="O47" s="3"/>
      <c r="P47" s="22">
        <v>45879</v>
      </c>
      <c r="Q47" s="22">
        <v>45879</v>
      </c>
      <c r="R47" s="3"/>
    </row>
    <row r="48" spans="1:20" x14ac:dyDescent="0.25">
      <c r="A48" s="8">
        <v>2</v>
      </c>
      <c r="B48" s="8">
        <v>3</v>
      </c>
      <c r="C48" s="8" t="s">
        <v>105</v>
      </c>
      <c r="D48" s="8" t="s">
        <v>16</v>
      </c>
      <c r="E48" s="8" t="s">
        <v>57</v>
      </c>
      <c r="F48" s="8" t="s">
        <v>126</v>
      </c>
      <c r="G48" s="3">
        <v>31.635000000000002</v>
      </c>
      <c r="H48" s="3">
        <f>IFERROR(INDEX('Tagging key'!D:D, MATCH(F48,'Tagging key'!C:C,0)),"")</f>
        <v>67.83</v>
      </c>
      <c r="I48" s="3">
        <f>IFERROR(INDEX('Tagging key'!E:E, MATCH(F48,'Tagging key'!C:C,0)),"")</f>
        <v>52.61</v>
      </c>
      <c r="J48" s="3">
        <f>IFERROR(INDEX('Tagging key'!F:F, MATCH(F48,'Tagging key'!C:C,0)),"")</f>
        <v>16.87</v>
      </c>
      <c r="K48" s="3">
        <v>31.57</v>
      </c>
      <c r="L48" s="3">
        <v>68.53</v>
      </c>
      <c r="M48" s="3">
        <v>50.15</v>
      </c>
      <c r="N48" s="3">
        <v>18.72</v>
      </c>
      <c r="O48" s="3"/>
      <c r="P48" s="26">
        <v>45886</v>
      </c>
      <c r="Q48" s="26">
        <v>45886</v>
      </c>
    </row>
    <row r="49" spans="1:19" x14ac:dyDescent="0.25">
      <c r="A49" s="8">
        <v>2</v>
      </c>
      <c r="B49" s="8">
        <v>3</v>
      </c>
      <c r="C49" s="8" t="s">
        <v>105</v>
      </c>
      <c r="D49" s="8" t="s">
        <v>16</v>
      </c>
      <c r="E49" s="8" t="s">
        <v>127</v>
      </c>
      <c r="F49" s="8" t="s">
        <v>128</v>
      </c>
      <c r="G49" s="3">
        <v>16.792999999999999</v>
      </c>
      <c r="H49" s="3">
        <f>IFERROR(INDEX('Tagging key'!D:D, MATCH(F49,'Tagging key'!C:C,0)),"")</f>
        <v>56.39</v>
      </c>
      <c r="I49" s="3">
        <f>IFERROR(INDEX('Tagging key'!E:E, MATCH(F49,'Tagging key'!C:C,0)),"")</f>
        <v>35.68</v>
      </c>
      <c r="J49" s="3">
        <f>IFERROR(INDEX('Tagging key'!F:F, MATCH(F49,'Tagging key'!C:C,0)),"")</f>
        <v>13.34</v>
      </c>
      <c r="K49" s="3">
        <v>16.68</v>
      </c>
      <c r="L49" s="3">
        <v>56.34</v>
      </c>
      <c r="M49" s="3">
        <v>35.33</v>
      </c>
      <c r="N49" s="3">
        <v>13.2</v>
      </c>
      <c r="O49" s="3"/>
      <c r="P49" s="22">
        <v>45882</v>
      </c>
      <c r="Q49" s="22">
        <v>45882</v>
      </c>
      <c r="R49" s="3">
        <v>11.089</v>
      </c>
    </row>
    <row r="50" spans="1:19" x14ac:dyDescent="0.25">
      <c r="A50" s="13">
        <v>2</v>
      </c>
      <c r="B50" s="13">
        <v>4</v>
      </c>
      <c r="C50" s="13" t="s">
        <v>105</v>
      </c>
      <c r="D50" s="13" t="s">
        <v>72</v>
      </c>
      <c r="E50" s="13" t="s">
        <v>129</v>
      </c>
      <c r="F50" s="13" t="s">
        <v>130</v>
      </c>
      <c r="G50" s="3">
        <v>48.183</v>
      </c>
      <c r="H50" s="3">
        <f>IFERROR(INDEX('Tagging key'!D:D, MATCH(F50,'Tagging key'!C:C,0)),"")</f>
        <v>68</v>
      </c>
      <c r="I50" s="3">
        <f>IFERROR(INDEX('Tagging key'!E:E, MATCH(F50,'Tagging key'!C:C,0)),"")</f>
        <v>72</v>
      </c>
      <c r="J50" s="3">
        <f>IFERROR(INDEX('Tagging key'!F:F, MATCH(F50,'Tagging key'!C:C,0)),"")</f>
        <v>20</v>
      </c>
      <c r="K50" s="3">
        <v>44.485999999999997</v>
      </c>
      <c r="L50" s="3">
        <v>69.11</v>
      </c>
      <c r="M50" s="3">
        <v>73.06</v>
      </c>
      <c r="N50" s="3">
        <v>21.12</v>
      </c>
      <c r="O50" s="3"/>
      <c r="P50" s="26">
        <v>45886</v>
      </c>
      <c r="Q50" s="26">
        <v>45886</v>
      </c>
    </row>
    <row r="51" spans="1:19" x14ac:dyDescent="0.25">
      <c r="A51" s="13">
        <v>2</v>
      </c>
      <c r="B51" s="13">
        <v>4</v>
      </c>
      <c r="C51" s="13" t="s">
        <v>105</v>
      </c>
      <c r="D51" s="13" t="s">
        <v>72</v>
      </c>
      <c r="E51" s="13" t="s">
        <v>131</v>
      </c>
      <c r="F51" s="13" t="s">
        <v>132</v>
      </c>
      <c r="G51" s="3">
        <v>71.096999999999994</v>
      </c>
      <c r="H51" s="3">
        <f>IFERROR(INDEX('Tagging key'!D:D, MATCH(F51,'Tagging key'!C:C,0)),"")</f>
        <v>76.95</v>
      </c>
      <c r="I51" s="3">
        <f>IFERROR(INDEX('Tagging key'!E:E, MATCH(F51,'Tagging key'!C:C,0)),"")</f>
        <v>79.83</v>
      </c>
      <c r="J51" s="3">
        <f>IFERROR(INDEX('Tagging key'!F:F, MATCH(F51,'Tagging key'!C:C,0)),"")</f>
        <v>21.01</v>
      </c>
      <c r="K51" s="3">
        <v>67.549000000000007</v>
      </c>
      <c r="L51" s="3">
        <v>77.55</v>
      </c>
      <c r="M51" s="3">
        <v>80.64</v>
      </c>
      <c r="N51" s="3">
        <v>23.2</v>
      </c>
      <c r="O51" s="3"/>
      <c r="P51" s="22">
        <v>45877</v>
      </c>
      <c r="Q51" s="22">
        <v>45877</v>
      </c>
      <c r="R51" s="3"/>
    </row>
    <row r="52" spans="1:19" x14ac:dyDescent="0.25">
      <c r="A52" s="13">
        <v>2</v>
      </c>
      <c r="B52" s="13">
        <v>4</v>
      </c>
      <c r="C52" s="13" t="s">
        <v>105</v>
      </c>
      <c r="D52" s="13" t="s">
        <v>72</v>
      </c>
      <c r="E52" s="13" t="s">
        <v>133</v>
      </c>
      <c r="F52" s="13" t="s">
        <v>134</v>
      </c>
      <c r="G52" s="3">
        <v>48.204999999999998</v>
      </c>
      <c r="H52" s="3">
        <f>IFERROR(INDEX('Tagging key'!D:D, MATCH(F52,'Tagging key'!C:C,0)),"")</f>
        <v>70</v>
      </c>
      <c r="I52" s="3">
        <f>IFERROR(INDEX('Tagging key'!E:E, MATCH(F52,'Tagging key'!C:C,0)),"")</f>
        <v>70</v>
      </c>
      <c r="J52" s="3">
        <f>IFERROR(INDEX('Tagging key'!F:F, MATCH(F52,'Tagging key'!C:C,0)),"")</f>
        <v>20</v>
      </c>
      <c r="K52" s="3">
        <v>44.747</v>
      </c>
      <c r="L52" s="3">
        <v>68.95</v>
      </c>
      <c r="M52" s="3">
        <v>71.599999999999994</v>
      </c>
      <c r="N52" s="3">
        <v>20.99</v>
      </c>
      <c r="O52" s="3"/>
      <c r="P52" s="22">
        <v>45882</v>
      </c>
      <c r="Q52" s="22">
        <v>45882</v>
      </c>
      <c r="R52" s="3">
        <v>21.952999999999999</v>
      </c>
    </row>
    <row r="53" spans="1:19" x14ac:dyDescent="0.25">
      <c r="A53" s="13">
        <v>2</v>
      </c>
      <c r="B53" s="13">
        <v>4</v>
      </c>
      <c r="C53" s="13" t="s">
        <v>105</v>
      </c>
      <c r="D53" s="13" t="s">
        <v>72</v>
      </c>
      <c r="E53" s="13" t="s">
        <v>135</v>
      </c>
      <c r="F53" s="13" t="s">
        <v>136</v>
      </c>
      <c r="G53" s="3">
        <v>56.186</v>
      </c>
      <c r="H53" s="3">
        <f>IFERROR(INDEX('Tagging key'!D:D, MATCH(F53,'Tagging key'!C:C,0)),"")</f>
        <v>71</v>
      </c>
      <c r="I53" s="3">
        <f>IFERROR(INDEX('Tagging key'!E:E, MATCH(F53,'Tagging key'!C:C,0)),"")</f>
        <v>76</v>
      </c>
      <c r="J53" s="3">
        <f>IFERROR(INDEX('Tagging key'!F:F, MATCH(F53,'Tagging key'!C:C,0)),"")</f>
        <v>18</v>
      </c>
      <c r="K53" s="3">
        <v>51.918999999999997</v>
      </c>
      <c r="L53" s="3">
        <v>72.92</v>
      </c>
      <c r="M53" s="3">
        <v>77.75</v>
      </c>
      <c r="N53" s="3">
        <v>19.420000000000002</v>
      </c>
      <c r="O53" s="3"/>
      <c r="P53" s="22">
        <v>45879</v>
      </c>
      <c r="Q53" s="22">
        <v>45879</v>
      </c>
      <c r="R53" s="3"/>
    </row>
    <row r="54" spans="1:19" x14ac:dyDescent="0.25">
      <c r="A54" s="14">
        <v>2</v>
      </c>
      <c r="B54" s="14">
        <v>5</v>
      </c>
      <c r="C54" s="14" t="s">
        <v>105</v>
      </c>
      <c r="D54" s="14" t="s">
        <v>72</v>
      </c>
      <c r="E54" s="14" t="s">
        <v>137</v>
      </c>
      <c r="F54" s="14" t="s">
        <v>138</v>
      </c>
      <c r="G54" s="3">
        <v>62.296999999999997</v>
      </c>
      <c r="H54" s="3">
        <f>IFERROR(INDEX('Tagging key'!D:D, MATCH(F54,'Tagging key'!C:C,0)),"")</f>
        <v>70</v>
      </c>
      <c r="I54" s="3">
        <f>IFERROR(INDEX('Tagging key'!E:E, MATCH(F54,'Tagging key'!C:C,0)),"")</f>
        <v>73</v>
      </c>
      <c r="J54" s="3">
        <f>IFERROR(INDEX('Tagging key'!F:F, MATCH(F54,'Tagging key'!C:C,0)),"")</f>
        <v>22</v>
      </c>
      <c r="K54" s="3">
        <v>59.104999999999997</v>
      </c>
      <c r="L54" s="3">
        <v>70.37</v>
      </c>
      <c r="M54" s="3">
        <v>74.41</v>
      </c>
      <c r="N54" s="3">
        <v>21.84</v>
      </c>
      <c r="O54" s="3"/>
      <c r="P54" s="26">
        <v>45886</v>
      </c>
      <c r="Q54" s="26">
        <v>45886</v>
      </c>
    </row>
    <row r="55" spans="1:19" x14ac:dyDescent="0.25">
      <c r="A55" s="14">
        <v>2</v>
      </c>
      <c r="B55" s="14">
        <v>5</v>
      </c>
      <c r="C55" s="14" t="s">
        <v>105</v>
      </c>
      <c r="D55" s="14" t="s">
        <v>72</v>
      </c>
      <c r="E55" s="14" t="s">
        <v>47</v>
      </c>
      <c r="F55" s="14" t="s">
        <v>139</v>
      </c>
      <c r="G55" s="3">
        <v>76.858999999999995</v>
      </c>
      <c r="H55" s="3">
        <f>IFERROR(INDEX('Tagging key'!D:D, MATCH(F55,'Tagging key'!C:C,0)),"")</f>
        <v>79.58</v>
      </c>
      <c r="I55" s="3">
        <f>IFERROR(INDEX('Tagging key'!E:E, MATCH(F55,'Tagging key'!C:C,0)),"")</f>
        <v>83.78</v>
      </c>
      <c r="J55" s="3">
        <f>IFERROR(INDEX('Tagging key'!F:F, MATCH(F55,'Tagging key'!C:C,0)),"")</f>
        <v>21.54</v>
      </c>
      <c r="K55" s="3">
        <v>74.944000000000003</v>
      </c>
      <c r="L55" s="3">
        <v>79.510000000000005</v>
      </c>
      <c r="M55" s="3">
        <v>84.37</v>
      </c>
      <c r="N55" s="3">
        <v>23.34</v>
      </c>
      <c r="O55" s="3"/>
      <c r="P55" s="22">
        <v>45882</v>
      </c>
      <c r="Q55" s="22">
        <v>45882</v>
      </c>
      <c r="R55" s="3">
        <v>36.197000000000003</v>
      </c>
    </row>
    <row r="56" spans="1:19" x14ac:dyDescent="0.25">
      <c r="A56" s="14">
        <v>2</v>
      </c>
      <c r="B56" s="14">
        <v>5</v>
      </c>
      <c r="C56" s="14" t="s">
        <v>105</v>
      </c>
      <c r="D56" s="14" t="s">
        <v>72</v>
      </c>
      <c r="E56" s="14" t="s">
        <v>140</v>
      </c>
      <c r="F56" s="14" t="s">
        <v>141</v>
      </c>
      <c r="G56" s="3">
        <v>63.313000000000002</v>
      </c>
      <c r="H56" s="3">
        <f>IFERROR(INDEX('Tagging key'!D:D, MATCH(F56,'Tagging key'!C:C,0)),"")</f>
        <v>76</v>
      </c>
      <c r="I56" s="3">
        <f>IFERROR(INDEX('Tagging key'!E:E, MATCH(F56,'Tagging key'!C:C,0)),"")</f>
        <v>80</v>
      </c>
      <c r="J56" s="3">
        <f>IFERROR(INDEX('Tagging key'!F:F, MATCH(F56,'Tagging key'!C:C,0)),"")</f>
        <v>17</v>
      </c>
      <c r="K56" s="3">
        <v>56.642000000000003</v>
      </c>
      <c r="L56" s="3">
        <v>76.66</v>
      </c>
      <c r="M56" s="3">
        <v>80.180000000000007</v>
      </c>
      <c r="N56" s="3">
        <v>21.06</v>
      </c>
      <c r="O56" s="3"/>
      <c r="P56" s="22">
        <v>45877</v>
      </c>
      <c r="Q56" s="22">
        <v>45877</v>
      </c>
      <c r="R56" s="3"/>
    </row>
    <row r="57" spans="1:19" x14ac:dyDescent="0.25">
      <c r="A57" s="14">
        <v>2</v>
      </c>
      <c r="B57" s="14">
        <v>5</v>
      </c>
      <c r="C57" s="14" t="s">
        <v>105</v>
      </c>
      <c r="D57" s="14" t="s">
        <v>72</v>
      </c>
      <c r="E57" s="14" t="s">
        <v>142</v>
      </c>
      <c r="F57" s="14" t="s">
        <v>143</v>
      </c>
      <c r="G57" s="3">
        <v>47.87</v>
      </c>
      <c r="H57" s="3">
        <f>IFERROR(INDEX('Tagging key'!D:D, MATCH(F57,'Tagging key'!C:C,0)),"")</f>
        <v>71</v>
      </c>
      <c r="I57" s="3">
        <f>IFERROR(INDEX('Tagging key'!E:E, MATCH(F57,'Tagging key'!C:C,0)),"")</f>
        <v>74</v>
      </c>
      <c r="J57" s="3">
        <f>IFERROR(INDEX('Tagging key'!F:F, MATCH(F57,'Tagging key'!C:C,0)),"")</f>
        <v>16</v>
      </c>
      <c r="K57" s="3">
        <v>46.23</v>
      </c>
      <c r="L57" s="3">
        <v>72.23</v>
      </c>
      <c r="M57" s="3">
        <v>75.55</v>
      </c>
      <c r="N57" s="3">
        <v>19.75</v>
      </c>
      <c r="O57" s="3"/>
      <c r="P57" s="22">
        <v>45879</v>
      </c>
      <c r="Q57" s="22">
        <v>45879</v>
      </c>
      <c r="R57" s="3"/>
    </row>
    <row r="58" spans="1:19" x14ac:dyDescent="0.25">
      <c r="A58" s="13">
        <v>2</v>
      </c>
      <c r="B58" s="13">
        <v>6</v>
      </c>
      <c r="C58" s="13" t="s">
        <v>105</v>
      </c>
      <c r="D58" s="13" t="s">
        <v>72</v>
      </c>
      <c r="E58" s="13" t="s">
        <v>144</v>
      </c>
      <c r="F58" s="13" t="s">
        <v>145</v>
      </c>
      <c r="G58" s="3">
        <v>42.902999999999999</v>
      </c>
      <c r="H58" s="3">
        <f>IFERROR(INDEX('Tagging key'!D:D, MATCH(F58,'Tagging key'!C:C,0)),"")</f>
        <v>76.8</v>
      </c>
      <c r="I58" s="3">
        <f>IFERROR(INDEX('Tagging key'!E:E, MATCH(F58,'Tagging key'!C:C,0)),"")</f>
        <v>80.7</v>
      </c>
      <c r="J58" s="3">
        <f>IFERROR(INDEX('Tagging key'!F:F, MATCH(F58,'Tagging key'!C:C,0)),"")</f>
        <v>19.600000000000001</v>
      </c>
      <c r="K58" s="3">
        <v>56.774000000000001</v>
      </c>
      <c r="L58" s="3">
        <v>78.44</v>
      </c>
      <c r="M58" s="3">
        <v>80.349999999999994</v>
      </c>
      <c r="N58" s="3">
        <v>20.55</v>
      </c>
      <c r="O58" s="3"/>
      <c r="P58" s="22">
        <v>45877</v>
      </c>
      <c r="Q58" s="22">
        <v>45877</v>
      </c>
      <c r="R58" s="3">
        <v>26.716000000000001</v>
      </c>
      <c r="S58" t="s">
        <v>146</v>
      </c>
    </row>
    <row r="59" spans="1:19" x14ac:dyDescent="0.25">
      <c r="A59" s="13">
        <v>2</v>
      </c>
      <c r="B59" s="13">
        <v>6</v>
      </c>
      <c r="C59" s="13" t="s">
        <v>105</v>
      </c>
      <c r="D59" s="13" t="s">
        <v>72</v>
      </c>
      <c r="E59" s="13" t="s">
        <v>147</v>
      </c>
      <c r="F59" s="13" t="s">
        <v>148</v>
      </c>
      <c r="G59" s="3">
        <v>62.81</v>
      </c>
      <c r="H59" s="3">
        <f>IFERROR(INDEX('Tagging key'!D:D, MATCH(F59,'Tagging key'!C:C,0)),"")</f>
        <v>75.099999999999994</v>
      </c>
      <c r="I59" s="3">
        <f>IFERROR(INDEX('Tagging key'!E:E, MATCH(F59,'Tagging key'!C:C,0)),"")</f>
        <v>80.5</v>
      </c>
      <c r="J59" s="3">
        <f>IFERROR(INDEX('Tagging key'!F:F, MATCH(F59,'Tagging key'!C:C,0)),"")</f>
        <v>19</v>
      </c>
      <c r="K59" s="3">
        <v>58.648000000000003</v>
      </c>
      <c r="L59" s="3">
        <v>75.430000000000007</v>
      </c>
      <c r="M59" s="3">
        <v>80.959999999999994</v>
      </c>
      <c r="N59" s="3">
        <v>21.48</v>
      </c>
      <c r="O59" s="3"/>
      <c r="P59" s="22">
        <v>45882</v>
      </c>
      <c r="Q59" s="22">
        <v>45882</v>
      </c>
      <c r="R59">
        <v>25.274999999999999</v>
      </c>
      <c r="S59" t="s">
        <v>149</v>
      </c>
    </row>
    <row r="60" spans="1:19" x14ac:dyDescent="0.25">
      <c r="A60" s="13">
        <v>2</v>
      </c>
      <c r="B60" s="13">
        <v>6</v>
      </c>
      <c r="C60" s="13" t="s">
        <v>105</v>
      </c>
      <c r="D60" s="13" t="s">
        <v>72</v>
      </c>
      <c r="E60" s="13" t="s">
        <v>150</v>
      </c>
      <c r="F60" s="13" t="s">
        <v>151</v>
      </c>
      <c r="G60" s="3">
        <v>52.338999999999999</v>
      </c>
      <c r="H60" s="3">
        <f>IFERROR(INDEX('Tagging key'!D:D, MATCH(F60,'Tagging key'!C:C,0)),"")</f>
        <v>68.5</v>
      </c>
      <c r="I60" s="3">
        <f>IFERROR(INDEX('Tagging key'!E:E, MATCH(F60,'Tagging key'!C:C,0)),"")</f>
        <v>73.5</v>
      </c>
      <c r="J60" s="3">
        <f>IFERROR(INDEX('Tagging key'!F:F, MATCH(F60,'Tagging key'!C:C,0)),"")</f>
        <v>19</v>
      </c>
      <c r="K60" s="3">
        <v>49.302</v>
      </c>
      <c r="L60" s="3">
        <v>70.349999999999994</v>
      </c>
      <c r="M60" s="3">
        <v>75.180000000000007</v>
      </c>
      <c r="N60" s="3">
        <v>20.62</v>
      </c>
      <c r="O60" s="3"/>
      <c r="P60" s="22">
        <v>45879</v>
      </c>
      <c r="Q60" s="22">
        <v>45879</v>
      </c>
      <c r="R60" s="3"/>
    </row>
    <row r="61" spans="1:19" x14ac:dyDescent="0.25">
      <c r="A61" s="13">
        <v>2</v>
      </c>
      <c r="B61" s="13">
        <v>6</v>
      </c>
      <c r="C61" s="13" t="s">
        <v>105</v>
      </c>
      <c r="D61" s="13" t="s">
        <v>72</v>
      </c>
      <c r="E61" s="13" t="s">
        <v>152</v>
      </c>
      <c r="F61" s="13" t="s">
        <v>153</v>
      </c>
      <c r="G61" s="3">
        <v>43.999000000000002</v>
      </c>
      <c r="H61" s="3">
        <f>IFERROR(INDEX('Tagging key'!D:D, MATCH(F61,'Tagging key'!C:C,0)),"")</f>
        <v>70</v>
      </c>
      <c r="I61" s="3">
        <f>IFERROR(INDEX('Tagging key'!E:E, MATCH(F61,'Tagging key'!C:C,0)),"")</f>
        <v>70</v>
      </c>
      <c r="J61" s="3">
        <f>IFERROR(INDEX('Tagging key'!F:F, MATCH(F61,'Tagging key'!C:C,0)),"")</f>
        <v>17</v>
      </c>
      <c r="K61" s="3">
        <v>37.642000000000003</v>
      </c>
      <c r="L61" s="3">
        <v>70.39</v>
      </c>
      <c r="M61" s="3">
        <v>70.739999999999995</v>
      </c>
      <c r="N61" s="3">
        <v>18.77</v>
      </c>
      <c r="O61" s="3"/>
      <c r="P61" s="26">
        <v>45886</v>
      </c>
      <c r="Q61" s="26">
        <v>45886</v>
      </c>
    </row>
    <row r="62" spans="1:19" x14ac:dyDescent="0.25">
      <c r="A62" s="11">
        <v>2</v>
      </c>
      <c r="B62" s="11">
        <v>7</v>
      </c>
      <c r="C62" s="11" t="s">
        <v>105</v>
      </c>
      <c r="D62" s="11" t="s">
        <v>46</v>
      </c>
      <c r="E62" s="11" t="s">
        <v>154</v>
      </c>
      <c r="F62" s="11" t="s">
        <v>155</v>
      </c>
      <c r="G62" s="3">
        <v>61.018999999999998</v>
      </c>
      <c r="H62" s="3">
        <f>IFERROR(INDEX('Tagging key'!D:D, MATCH(F62,'Tagging key'!C:C,0)),"")</f>
        <v>87.35</v>
      </c>
      <c r="I62" s="3">
        <f>IFERROR(INDEX('Tagging key'!E:E, MATCH(F62,'Tagging key'!C:C,0)),"")</f>
        <v>43.95</v>
      </c>
      <c r="J62" s="3">
        <f>IFERROR(INDEX('Tagging key'!F:F, MATCH(F62,'Tagging key'!C:C,0)),"")</f>
        <v>31.82</v>
      </c>
      <c r="K62" s="3">
        <v>61.3</v>
      </c>
      <c r="L62" s="3">
        <v>86.99</v>
      </c>
      <c r="M62" s="3">
        <v>40.82</v>
      </c>
      <c r="N62" s="3">
        <v>33.44</v>
      </c>
      <c r="O62" s="3"/>
      <c r="P62" s="22">
        <v>45877</v>
      </c>
      <c r="Q62" s="22">
        <v>45877</v>
      </c>
      <c r="R62" s="3"/>
    </row>
    <row r="63" spans="1:19" x14ac:dyDescent="0.25">
      <c r="A63" s="11">
        <v>2</v>
      </c>
      <c r="B63" s="11">
        <v>7</v>
      </c>
      <c r="C63" s="11" t="s">
        <v>105</v>
      </c>
      <c r="D63" s="11" t="s">
        <v>46</v>
      </c>
      <c r="E63" s="11" t="s">
        <v>156</v>
      </c>
      <c r="F63" s="11" t="s">
        <v>157</v>
      </c>
      <c r="G63" s="3">
        <v>69.180000000000007</v>
      </c>
      <c r="H63" s="3">
        <f>IFERROR(INDEX('Tagging key'!D:D, MATCH(F63,'Tagging key'!C:C,0)),"")</f>
        <v>92.03</v>
      </c>
      <c r="I63" s="3">
        <f>IFERROR(INDEX('Tagging key'!E:E, MATCH(F63,'Tagging key'!C:C,0)),"")</f>
        <v>47.6</v>
      </c>
      <c r="J63" s="3">
        <f>IFERROR(INDEX('Tagging key'!F:F, MATCH(F63,'Tagging key'!C:C,0)),"")</f>
        <v>29.07</v>
      </c>
      <c r="K63" s="3">
        <v>67.334000000000003</v>
      </c>
      <c r="L63" s="3">
        <v>92.83</v>
      </c>
      <c r="M63" s="3">
        <v>43.97</v>
      </c>
      <c r="N63" s="3">
        <v>32.549999999999997</v>
      </c>
      <c r="O63" s="3"/>
      <c r="P63" s="22">
        <v>45879</v>
      </c>
      <c r="Q63" s="22">
        <v>45879</v>
      </c>
      <c r="R63" s="3"/>
    </row>
    <row r="64" spans="1:19" x14ac:dyDescent="0.25">
      <c r="A64" s="11">
        <v>2</v>
      </c>
      <c r="B64" s="11">
        <v>7</v>
      </c>
      <c r="C64" s="11" t="s">
        <v>105</v>
      </c>
      <c r="D64" s="11" t="s">
        <v>46</v>
      </c>
      <c r="E64" s="11" t="s">
        <v>35</v>
      </c>
      <c r="F64" s="11" t="s">
        <v>158</v>
      </c>
      <c r="G64" s="3">
        <v>30.934999999999999</v>
      </c>
      <c r="H64" s="3">
        <f>IFERROR(INDEX('Tagging key'!D:D, MATCH(F64,'Tagging key'!C:C,0)),"")</f>
        <v>68</v>
      </c>
      <c r="I64" s="3">
        <f>IFERROR(INDEX('Tagging key'!E:E, MATCH(F64,'Tagging key'!C:C,0)),"")</f>
        <v>35</v>
      </c>
      <c r="J64" s="3">
        <f>IFERROR(INDEX('Tagging key'!F:F, MATCH(F64,'Tagging key'!C:C,0)),"")</f>
        <v>30</v>
      </c>
      <c r="K64" s="3">
        <v>31.614000000000001</v>
      </c>
      <c r="L64" s="3">
        <v>69.12</v>
      </c>
      <c r="M64" s="3">
        <v>35.46</v>
      </c>
      <c r="N64" s="3">
        <v>25.07</v>
      </c>
      <c r="O64" s="3"/>
      <c r="P64" s="22">
        <v>45882</v>
      </c>
      <c r="Q64" s="22">
        <v>45882</v>
      </c>
      <c r="R64" s="3">
        <v>10.635</v>
      </c>
    </row>
    <row r="65" spans="1:19" x14ac:dyDescent="0.25">
      <c r="A65" s="11">
        <v>2</v>
      </c>
      <c r="B65" s="11">
        <v>7</v>
      </c>
      <c r="C65" s="11" t="s">
        <v>105</v>
      </c>
      <c r="D65" s="11" t="s">
        <v>46</v>
      </c>
      <c r="E65" s="11" t="s">
        <v>159</v>
      </c>
      <c r="F65" s="11" t="s">
        <v>160</v>
      </c>
      <c r="G65" s="3">
        <v>47.494999999999997</v>
      </c>
      <c r="H65" s="3">
        <f>IFERROR(INDEX('Tagging key'!D:D, MATCH(F65,'Tagging key'!C:C,0)),"")</f>
        <v>79.67</v>
      </c>
      <c r="I65" s="3">
        <f>IFERROR(INDEX('Tagging key'!E:E, MATCH(F65,'Tagging key'!C:C,0)),"")</f>
        <v>43.19</v>
      </c>
      <c r="J65" s="3">
        <f>IFERROR(INDEX('Tagging key'!F:F, MATCH(F65,'Tagging key'!C:C,0)),"")</f>
        <v>27.48</v>
      </c>
      <c r="K65" s="3">
        <v>47.252000000000002</v>
      </c>
      <c r="L65" s="3">
        <v>78.38</v>
      </c>
      <c r="M65" s="3">
        <v>40.67</v>
      </c>
      <c r="N65" s="3">
        <v>28.65</v>
      </c>
      <c r="O65" s="3"/>
      <c r="P65" s="26">
        <v>45886</v>
      </c>
      <c r="Q65" s="26">
        <v>45886</v>
      </c>
    </row>
    <row r="66" spans="1:19" x14ac:dyDescent="0.25">
      <c r="A66" s="19">
        <v>2</v>
      </c>
      <c r="B66" s="19">
        <v>8</v>
      </c>
      <c r="C66" s="19" t="s">
        <v>105</v>
      </c>
      <c r="D66" s="19" t="s">
        <v>46</v>
      </c>
      <c r="E66" s="19" t="s">
        <v>29</v>
      </c>
      <c r="F66" s="19" t="s">
        <v>161</v>
      </c>
      <c r="G66" s="19">
        <v>65.022999999999996</v>
      </c>
      <c r="H66" s="19">
        <f>IFERROR(INDEX('Tagging key'!D:D, MATCH(F66,'Tagging key'!C:C,0)),"")</f>
        <v>87.4</v>
      </c>
      <c r="I66" s="19">
        <f>IFERROR(INDEX('Tagging key'!E:E, MATCH(F66,'Tagging key'!C:C,0)),"")</f>
        <v>42.32</v>
      </c>
      <c r="J66" s="19">
        <f>IFERROR(INDEX('Tagging key'!F:F, MATCH(F66,'Tagging key'!C:C,0)),"")</f>
        <v>33.340000000000003</v>
      </c>
      <c r="K66" s="19"/>
      <c r="L66" s="19"/>
      <c r="M66" s="19"/>
      <c r="N66" s="19"/>
      <c r="O66" s="19"/>
      <c r="P66" s="19"/>
      <c r="Q66" s="19"/>
      <c r="R66" s="19"/>
      <c r="S66" t="s">
        <v>162</v>
      </c>
    </row>
    <row r="67" spans="1:19" x14ac:dyDescent="0.25">
      <c r="A67" s="12">
        <v>2</v>
      </c>
      <c r="B67" s="12">
        <v>8</v>
      </c>
      <c r="C67" s="12" t="s">
        <v>105</v>
      </c>
      <c r="D67" s="12" t="s">
        <v>46</v>
      </c>
      <c r="E67" s="12" t="s">
        <v>163</v>
      </c>
      <c r="F67" s="12" t="s">
        <v>164</v>
      </c>
      <c r="G67" s="3">
        <v>32.79</v>
      </c>
      <c r="H67" s="3">
        <f>IFERROR(INDEX('Tagging key'!D:D, MATCH(F67,'Tagging key'!C:C,0)),"")</f>
        <v>71</v>
      </c>
      <c r="I67" s="3">
        <f>IFERROR(INDEX('Tagging key'!E:E, MATCH(F67,'Tagging key'!C:C,0)),"")</f>
        <v>37</v>
      </c>
      <c r="J67" s="3">
        <f>IFERROR(INDEX('Tagging key'!F:F, MATCH(F67,'Tagging key'!C:C,0)),"")</f>
        <v>24</v>
      </c>
      <c r="K67" s="3">
        <v>33.481000000000002</v>
      </c>
      <c r="L67" s="3">
        <v>72.790000000000006</v>
      </c>
      <c r="M67" s="3">
        <v>38.22</v>
      </c>
      <c r="N67" s="3">
        <v>24.54</v>
      </c>
      <c r="O67" s="3"/>
      <c r="P67" s="22">
        <v>45877</v>
      </c>
      <c r="Q67" s="22">
        <v>45877</v>
      </c>
      <c r="R67" s="3"/>
    </row>
    <row r="68" spans="1:19" x14ac:dyDescent="0.25">
      <c r="A68" s="12">
        <v>2</v>
      </c>
      <c r="B68" s="12">
        <v>8</v>
      </c>
      <c r="C68" s="12" t="s">
        <v>105</v>
      </c>
      <c r="D68" s="12" t="s">
        <v>46</v>
      </c>
      <c r="E68" s="12" t="s">
        <v>165</v>
      </c>
      <c r="F68" s="12" t="s">
        <v>166</v>
      </c>
      <c r="G68" s="3">
        <v>32.395000000000003</v>
      </c>
      <c r="H68" s="3">
        <f>IFERROR(INDEX('Tagging key'!D:D, MATCH(F68,'Tagging key'!C:C,0)),"")</f>
        <v>68.95</v>
      </c>
      <c r="I68" s="3">
        <f>IFERROR(INDEX('Tagging key'!E:E, MATCH(F68,'Tagging key'!C:C,0)),"")</f>
        <v>40.11</v>
      </c>
      <c r="J68" s="3">
        <f>IFERROR(INDEX('Tagging key'!F:F, MATCH(F68,'Tagging key'!C:C,0)),"")</f>
        <v>23.49</v>
      </c>
      <c r="K68" s="3">
        <v>33.781999999999996</v>
      </c>
      <c r="L68" s="3">
        <v>69.180000000000007</v>
      </c>
      <c r="M68" s="3">
        <v>35.68</v>
      </c>
      <c r="N68" s="3">
        <v>26.31</v>
      </c>
      <c r="O68" s="3"/>
      <c r="P68" s="22">
        <v>45879</v>
      </c>
      <c r="Q68" s="22">
        <v>45879</v>
      </c>
      <c r="R68" s="3"/>
    </row>
    <row r="69" spans="1:19" x14ac:dyDescent="0.25">
      <c r="A69" s="12">
        <v>2</v>
      </c>
      <c r="B69" s="12">
        <v>8</v>
      </c>
      <c r="C69" s="12" t="s">
        <v>105</v>
      </c>
      <c r="D69" s="12" t="s">
        <v>46</v>
      </c>
      <c r="E69" s="12" t="s">
        <v>167</v>
      </c>
      <c r="F69" s="12" t="s">
        <v>168</v>
      </c>
      <c r="G69" s="3">
        <v>40.070999999999998</v>
      </c>
      <c r="H69" s="3">
        <f>IFERROR(INDEX('Tagging key'!D:D, MATCH(F69,'Tagging key'!C:C,0)),"")</f>
        <v>76</v>
      </c>
      <c r="I69" s="3">
        <f>IFERROR(INDEX('Tagging key'!E:E, MATCH(F69,'Tagging key'!C:C,0)),"")</f>
        <v>38</v>
      </c>
      <c r="J69" s="3">
        <f>IFERROR(INDEX('Tagging key'!F:F, MATCH(F69,'Tagging key'!C:C,0)),"")</f>
        <v>26</v>
      </c>
      <c r="K69" s="3">
        <v>40.613999999999997</v>
      </c>
      <c r="L69" s="3">
        <v>76.53</v>
      </c>
      <c r="M69" s="3">
        <v>39.47</v>
      </c>
      <c r="N69" s="3">
        <v>27.59</v>
      </c>
      <c r="O69" s="3"/>
      <c r="P69" s="22">
        <v>45882</v>
      </c>
      <c r="Q69" s="22">
        <v>45882</v>
      </c>
      <c r="R69" s="3">
        <v>14.01</v>
      </c>
    </row>
    <row r="70" spans="1:19" x14ac:dyDescent="0.25">
      <c r="A70" s="11">
        <v>2</v>
      </c>
      <c r="B70" s="11">
        <v>9</v>
      </c>
      <c r="C70" s="11" t="s">
        <v>105</v>
      </c>
      <c r="D70" s="11" t="s">
        <v>46</v>
      </c>
      <c r="E70" s="11" t="s">
        <v>23</v>
      </c>
      <c r="F70" s="11" t="s">
        <v>169</v>
      </c>
      <c r="G70" s="3">
        <v>46.372999999999998</v>
      </c>
      <c r="H70" s="3">
        <f>IFERROR(INDEX('Tagging key'!D:D, MATCH(F70,'Tagging key'!C:C,0)),"")</f>
        <v>80.180000000000007</v>
      </c>
      <c r="I70" s="3">
        <f>IFERROR(INDEX('Tagging key'!E:E, MATCH(F70,'Tagging key'!C:C,0)),"")</f>
        <v>40.82</v>
      </c>
      <c r="J70" s="3">
        <f>IFERROR(INDEX('Tagging key'!F:F, MATCH(F70,'Tagging key'!C:C,0)),"")</f>
        <v>27.55</v>
      </c>
      <c r="K70" s="3">
        <v>46.795999999999999</v>
      </c>
      <c r="L70" s="3">
        <v>79.3</v>
      </c>
      <c r="M70" s="3">
        <v>39.75</v>
      </c>
      <c r="N70" s="3">
        <v>29.1</v>
      </c>
      <c r="O70" s="3"/>
      <c r="P70" s="26">
        <v>45886</v>
      </c>
      <c r="Q70" s="26">
        <v>45886</v>
      </c>
    </row>
    <row r="71" spans="1:19" x14ac:dyDescent="0.25">
      <c r="A71" s="11">
        <v>2</v>
      </c>
      <c r="B71" s="11">
        <v>9</v>
      </c>
      <c r="C71" s="11" t="s">
        <v>105</v>
      </c>
      <c r="D71" s="11" t="s">
        <v>46</v>
      </c>
      <c r="E71" s="11" t="s">
        <v>170</v>
      </c>
      <c r="F71" s="11" t="s">
        <v>171</v>
      </c>
      <c r="G71" s="3">
        <v>34.953000000000003</v>
      </c>
      <c r="H71" s="3">
        <f>IFERROR(INDEX('Tagging key'!D:D, MATCH(F71,'Tagging key'!C:C,0)),"")</f>
        <v>68.77</v>
      </c>
      <c r="I71" s="3">
        <f>IFERROR(INDEX('Tagging key'!E:E, MATCH(F71,'Tagging key'!C:C,0)),"")</f>
        <v>36.799999999999997</v>
      </c>
      <c r="J71" s="3">
        <f>IFERROR(INDEX('Tagging key'!F:F, MATCH(F71,'Tagging key'!C:C,0)),"")</f>
        <v>28.44</v>
      </c>
      <c r="K71" s="3">
        <v>35.671999999999997</v>
      </c>
      <c r="L71" s="3">
        <v>68.69</v>
      </c>
      <c r="M71" s="3">
        <v>34.869999999999997</v>
      </c>
      <c r="N71" s="3">
        <v>28.28</v>
      </c>
      <c r="O71" s="3"/>
      <c r="P71" s="22">
        <v>45877</v>
      </c>
      <c r="Q71" s="22">
        <v>45877</v>
      </c>
      <c r="R71" s="3"/>
    </row>
    <row r="72" spans="1:19" x14ac:dyDescent="0.25">
      <c r="A72" s="11">
        <v>2</v>
      </c>
      <c r="B72" s="11">
        <v>9</v>
      </c>
      <c r="C72" s="11" t="s">
        <v>105</v>
      </c>
      <c r="D72" s="11" t="s">
        <v>46</v>
      </c>
      <c r="E72" s="11" t="s">
        <v>172</v>
      </c>
      <c r="F72" s="11" t="s">
        <v>173</v>
      </c>
      <c r="G72" s="3">
        <v>48.281999999999996</v>
      </c>
      <c r="H72" s="3">
        <f>IFERROR(INDEX('Tagging key'!D:D, MATCH(F72,'Tagging key'!C:C,0)),"")</f>
        <v>78.84</v>
      </c>
      <c r="I72" s="3">
        <f>IFERROR(INDEX('Tagging key'!E:E, MATCH(F72,'Tagging key'!C:C,0)),"")</f>
        <v>36.630000000000003</v>
      </c>
      <c r="J72" s="3">
        <f>IFERROR(INDEX('Tagging key'!F:F, MATCH(F72,'Tagging key'!C:C,0)),"")</f>
        <v>28.68</v>
      </c>
      <c r="K72" s="3">
        <v>48.61</v>
      </c>
      <c r="L72" s="3">
        <v>78.72</v>
      </c>
      <c r="M72" s="3">
        <v>36.94</v>
      </c>
      <c r="N72" s="3">
        <v>29.54</v>
      </c>
      <c r="O72" s="3"/>
      <c r="P72" s="22">
        <v>45882</v>
      </c>
      <c r="Q72" s="22">
        <v>45882</v>
      </c>
      <c r="R72" s="3"/>
    </row>
    <row r="73" spans="1:19" x14ac:dyDescent="0.25">
      <c r="A73" s="11">
        <v>2</v>
      </c>
      <c r="B73" s="11">
        <v>9</v>
      </c>
      <c r="C73" s="11" t="s">
        <v>105</v>
      </c>
      <c r="D73" s="11" t="s">
        <v>46</v>
      </c>
      <c r="E73" s="11" t="s">
        <v>174</v>
      </c>
      <c r="F73" s="11" t="s">
        <v>175</v>
      </c>
      <c r="G73" s="3">
        <v>23.081</v>
      </c>
      <c r="H73" s="3">
        <f>IFERROR(INDEX('Tagging key'!D:D, MATCH(F73,'Tagging key'!C:C,0)),"")</f>
        <v>63</v>
      </c>
      <c r="I73" s="3">
        <f>IFERROR(INDEX('Tagging key'!E:E, MATCH(F73,'Tagging key'!C:C,0)),"")</f>
        <v>32</v>
      </c>
      <c r="J73" s="3">
        <f>IFERROR(INDEX('Tagging key'!F:F, MATCH(F73,'Tagging key'!C:C,0)),"")</f>
        <v>22</v>
      </c>
      <c r="K73" s="3">
        <v>21.114999999999998</v>
      </c>
      <c r="L73" s="3">
        <v>63.37</v>
      </c>
      <c r="M73" s="3">
        <v>33.409999999999997</v>
      </c>
      <c r="N73" s="3">
        <v>23</v>
      </c>
      <c r="O73" s="3"/>
      <c r="P73" s="22">
        <v>45879</v>
      </c>
      <c r="Q73" s="22">
        <v>45879</v>
      </c>
      <c r="R73" s="3"/>
    </row>
    <row r="74" spans="1:19" x14ac:dyDescent="0.25">
      <c r="A74" s="12">
        <v>3</v>
      </c>
      <c r="B74" s="12">
        <v>1</v>
      </c>
      <c r="C74" s="12" t="s">
        <v>176</v>
      </c>
      <c r="D74" s="12" t="s">
        <v>46</v>
      </c>
      <c r="E74" s="12" t="s">
        <v>177</v>
      </c>
      <c r="F74" s="12" t="s">
        <v>178</v>
      </c>
      <c r="G74" s="3">
        <v>50.384</v>
      </c>
      <c r="H74" s="3">
        <f>IFERROR(INDEX('Tagging key'!D:D, MATCH(F74,'Tagging key'!C:C,0)),"")</f>
        <v>82.34</v>
      </c>
      <c r="I74" s="3">
        <f>IFERROR(INDEX('Tagging key'!E:E, MATCH(F74,'Tagging key'!C:C,0)),"")</f>
        <v>43.01</v>
      </c>
      <c r="J74" s="3">
        <f>IFERROR(INDEX('Tagging key'!F:F, MATCH(F74,'Tagging key'!C:C,0)),"")</f>
        <v>27.64</v>
      </c>
      <c r="K74" s="3">
        <v>50.704999999999998</v>
      </c>
      <c r="L74" s="3">
        <v>82.21</v>
      </c>
      <c r="M74" s="3">
        <v>42.34</v>
      </c>
      <c r="N74" s="3">
        <v>29.43</v>
      </c>
      <c r="O74" s="3"/>
      <c r="P74" s="22">
        <v>45882</v>
      </c>
      <c r="Q74" s="22">
        <v>45882</v>
      </c>
      <c r="R74" s="3">
        <v>17.100000000000001</v>
      </c>
    </row>
    <row r="75" spans="1:19" x14ac:dyDescent="0.25">
      <c r="A75" s="12">
        <v>3</v>
      </c>
      <c r="B75" s="12">
        <v>1</v>
      </c>
      <c r="C75" s="12" t="s">
        <v>176</v>
      </c>
      <c r="D75" s="12" t="s">
        <v>46</v>
      </c>
      <c r="E75" s="12" t="s">
        <v>179</v>
      </c>
      <c r="F75" s="12" t="s">
        <v>180</v>
      </c>
      <c r="G75" s="3">
        <v>57.548000000000002</v>
      </c>
      <c r="H75" s="3">
        <f>IFERROR(INDEX('Tagging key'!D:D, MATCH(F75,'Tagging key'!C:C,0)),"")</f>
        <v>83.57</v>
      </c>
      <c r="I75" s="3">
        <f>IFERROR(INDEX('Tagging key'!E:E, MATCH(F75,'Tagging key'!C:C,0)),"")</f>
        <v>41.01</v>
      </c>
      <c r="J75" s="3">
        <f>IFERROR(INDEX('Tagging key'!F:F, MATCH(F75,'Tagging key'!C:C,0)),"")</f>
        <v>30.63</v>
      </c>
      <c r="K75" s="3">
        <v>58.435000000000002</v>
      </c>
      <c r="L75" s="3">
        <v>84.3</v>
      </c>
      <c r="M75" s="3">
        <v>40.46</v>
      </c>
      <c r="N75" s="3">
        <v>33.229999999999997</v>
      </c>
      <c r="O75" s="3"/>
      <c r="P75" s="26">
        <v>45886</v>
      </c>
      <c r="Q75" s="26">
        <v>45886</v>
      </c>
    </row>
    <row r="76" spans="1:19" x14ac:dyDescent="0.25">
      <c r="A76" s="12">
        <v>3</v>
      </c>
      <c r="B76" s="12">
        <v>1</v>
      </c>
      <c r="C76" s="12" t="s">
        <v>176</v>
      </c>
      <c r="D76" s="12" t="s">
        <v>46</v>
      </c>
      <c r="E76" s="12" t="s">
        <v>181</v>
      </c>
      <c r="F76" s="12" t="s">
        <v>182</v>
      </c>
      <c r="G76" s="3">
        <v>34.802</v>
      </c>
      <c r="H76" s="3">
        <f>IFERROR(INDEX('Tagging key'!D:D, MATCH(F76,'Tagging key'!C:C,0)),"")</f>
        <v>74</v>
      </c>
      <c r="I76" s="3">
        <f>IFERROR(INDEX('Tagging key'!E:E, MATCH(F76,'Tagging key'!C:C,0)),"")</f>
        <v>34</v>
      </c>
      <c r="J76" s="3">
        <f>IFERROR(INDEX('Tagging key'!F:F, MATCH(F76,'Tagging key'!C:C,0)),"")</f>
        <v>27</v>
      </c>
      <c r="K76" s="3">
        <v>35.621000000000002</v>
      </c>
      <c r="L76" s="3">
        <v>74.59</v>
      </c>
      <c r="M76" s="3">
        <v>36.229999999999997</v>
      </c>
      <c r="N76" s="3">
        <v>27.66</v>
      </c>
      <c r="O76" s="3"/>
      <c r="P76" s="22">
        <v>45879</v>
      </c>
      <c r="Q76" s="22">
        <v>45879</v>
      </c>
      <c r="R76" s="3"/>
    </row>
    <row r="77" spans="1:19" x14ac:dyDescent="0.25">
      <c r="A77" s="12">
        <v>3</v>
      </c>
      <c r="B77" s="12">
        <v>1</v>
      </c>
      <c r="C77" s="12" t="s">
        <v>176</v>
      </c>
      <c r="D77" s="12" t="s">
        <v>46</v>
      </c>
      <c r="E77" s="12" t="s">
        <v>183</v>
      </c>
      <c r="F77" s="12" t="s">
        <v>184</v>
      </c>
      <c r="G77" s="3">
        <v>24.315999999999999</v>
      </c>
      <c r="H77" s="3">
        <f>IFERROR(INDEX('Tagging key'!D:D, MATCH(F77,'Tagging key'!C:C,0)),"")</f>
        <v>62.57</v>
      </c>
      <c r="I77" s="3">
        <f>IFERROR(INDEX('Tagging key'!E:E, MATCH(F77,'Tagging key'!C:C,0)),"")</f>
        <v>36.049999999999997</v>
      </c>
      <c r="J77" s="3">
        <f>IFERROR(INDEX('Tagging key'!F:F, MATCH(F77,'Tagging key'!C:C,0)),"")</f>
        <v>23.88</v>
      </c>
      <c r="K77" s="3">
        <v>24.919</v>
      </c>
      <c r="L77" s="3">
        <v>63.48</v>
      </c>
      <c r="M77" s="3">
        <v>33.43</v>
      </c>
      <c r="N77" s="3">
        <v>24.1</v>
      </c>
      <c r="O77" s="3"/>
      <c r="P77" s="22">
        <v>45877</v>
      </c>
      <c r="Q77" s="22">
        <v>45877</v>
      </c>
      <c r="R77" s="3"/>
    </row>
    <row r="78" spans="1:19" x14ac:dyDescent="0.25">
      <c r="A78" s="11">
        <v>3</v>
      </c>
      <c r="B78" s="11">
        <v>2</v>
      </c>
      <c r="C78" s="11" t="s">
        <v>176</v>
      </c>
      <c r="D78" s="11" t="s">
        <v>46</v>
      </c>
      <c r="E78" s="11" t="s">
        <v>185</v>
      </c>
      <c r="F78" s="11" t="s">
        <v>186</v>
      </c>
      <c r="G78" s="3">
        <v>33.820999999999998</v>
      </c>
      <c r="H78" s="3">
        <f>IFERROR(INDEX('Tagging key'!D:D, MATCH(F78,'Tagging key'!C:C,0)),"")</f>
        <v>67</v>
      </c>
      <c r="I78" s="3">
        <f>IFERROR(INDEX('Tagging key'!E:E, MATCH(F78,'Tagging key'!C:C,0)),"")</f>
        <v>37</v>
      </c>
      <c r="J78" s="3">
        <f>IFERROR(INDEX('Tagging key'!F:F, MATCH(F78,'Tagging key'!C:C,0)),"")</f>
        <v>25</v>
      </c>
      <c r="K78" s="3">
        <v>35.338000000000001</v>
      </c>
      <c r="L78" s="3">
        <v>69.760000000000005</v>
      </c>
      <c r="M78" s="3">
        <v>39.19</v>
      </c>
      <c r="N78" s="3">
        <v>27.54</v>
      </c>
      <c r="O78" s="3"/>
      <c r="P78" s="22">
        <v>45879</v>
      </c>
      <c r="Q78" s="22">
        <v>45879</v>
      </c>
      <c r="R78" s="3"/>
    </row>
    <row r="79" spans="1:19" x14ac:dyDescent="0.25">
      <c r="A79" s="11">
        <v>3</v>
      </c>
      <c r="B79" s="11">
        <v>2</v>
      </c>
      <c r="C79" s="11" t="s">
        <v>176</v>
      </c>
      <c r="D79" s="11" t="s">
        <v>46</v>
      </c>
      <c r="E79" s="11" t="s">
        <v>41</v>
      </c>
      <c r="F79" s="11" t="s">
        <v>187</v>
      </c>
      <c r="G79" s="3">
        <v>35.927</v>
      </c>
      <c r="H79" s="3">
        <f>IFERROR(INDEX('Tagging key'!D:D, MATCH(F79,'Tagging key'!C:C,0)),"")</f>
        <v>71</v>
      </c>
      <c r="I79" s="3">
        <f>IFERROR(INDEX('Tagging key'!E:E, MATCH(F79,'Tagging key'!C:C,0)),"")</f>
        <v>36</v>
      </c>
      <c r="J79" s="3">
        <f>IFERROR(INDEX('Tagging key'!F:F, MATCH(F79,'Tagging key'!C:C,0)),"")</f>
        <v>26</v>
      </c>
      <c r="K79" s="3">
        <v>36.683999999999997</v>
      </c>
      <c r="L79" s="3">
        <v>73.28</v>
      </c>
      <c r="M79" s="3">
        <v>36.57</v>
      </c>
      <c r="N79" s="3">
        <v>26.83</v>
      </c>
      <c r="O79" s="3"/>
      <c r="P79" s="22">
        <v>45877</v>
      </c>
      <c r="Q79" s="22">
        <v>45877</v>
      </c>
      <c r="R79" s="3"/>
    </row>
    <row r="80" spans="1:19" x14ac:dyDescent="0.25">
      <c r="A80" s="11">
        <v>3</v>
      </c>
      <c r="B80" s="11">
        <v>2</v>
      </c>
      <c r="C80" s="11" t="s">
        <v>176</v>
      </c>
      <c r="D80" s="11" t="s">
        <v>46</v>
      </c>
      <c r="E80" s="11" t="s">
        <v>188</v>
      </c>
      <c r="F80" s="11" t="s">
        <v>189</v>
      </c>
      <c r="G80" s="3">
        <v>72.828999999999994</v>
      </c>
      <c r="H80" s="3">
        <f>IFERROR(INDEX('Tagging key'!D:D, MATCH(F80,'Tagging key'!C:C,0)),"")</f>
        <v>86</v>
      </c>
      <c r="I80" s="3">
        <f>IFERROR(INDEX('Tagging key'!E:E, MATCH(F80,'Tagging key'!C:C,0)),"")</f>
        <v>42</v>
      </c>
      <c r="J80" s="3">
        <f>IFERROR(INDEX('Tagging key'!F:F, MATCH(F80,'Tagging key'!C:C,0)),"")</f>
        <v>36</v>
      </c>
      <c r="K80" s="3">
        <v>73.531000000000006</v>
      </c>
      <c r="L80" s="3">
        <v>87.58</v>
      </c>
      <c r="M80" s="3">
        <v>42.9</v>
      </c>
      <c r="N80" s="3">
        <v>35.119999999999997</v>
      </c>
      <c r="O80" s="3"/>
      <c r="P80" s="22">
        <v>45882</v>
      </c>
      <c r="Q80" s="22">
        <v>45882</v>
      </c>
      <c r="R80" s="3">
        <v>23.233000000000001</v>
      </c>
    </row>
    <row r="81" spans="1:19" x14ac:dyDescent="0.25">
      <c r="A81" s="11">
        <v>3</v>
      </c>
      <c r="B81" s="11">
        <v>2</v>
      </c>
      <c r="C81" s="11" t="s">
        <v>176</v>
      </c>
      <c r="D81" s="11" t="s">
        <v>46</v>
      </c>
      <c r="E81" s="11" t="s">
        <v>190</v>
      </c>
      <c r="F81" s="11" t="s">
        <v>191</v>
      </c>
      <c r="G81" s="3">
        <v>46.683999999999997</v>
      </c>
      <c r="H81" s="6">
        <v>80.849999999999994</v>
      </c>
      <c r="I81" s="6">
        <v>36.700000000000003</v>
      </c>
      <c r="J81" s="6">
        <v>28.72</v>
      </c>
      <c r="K81" s="6">
        <v>48.404000000000003</v>
      </c>
      <c r="L81" s="6">
        <v>79.67</v>
      </c>
      <c r="M81" s="6">
        <v>37.549999999999997</v>
      </c>
      <c r="N81" s="6">
        <v>28.65</v>
      </c>
      <c r="O81" s="6"/>
      <c r="P81" s="26">
        <v>45886</v>
      </c>
      <c r="Q81" s="26">
        <v>45886</v>
      </c>
      <c r="R81" s="6">
        <v>17.401</v>
      </c>
    </row>
    <row r="82" spans="1:19" x14ac:dyDescent="0.25">
      <c r="A82" s="12">
        <v>3</v>
      </c>
      <c r="B82" s="12">
        <v>3</v>
      </c>
      <c r="C82" s="12" t="s">
        <v>176</v>
      </c>
      <c r="D82" s="12" t="s">
        <v>46</v>
      </c>
      <c r="E82" s="12" t="s">
        <v>192</v>
      </c>
      <c r="F82" s="12" t="s">
        <v>193</v>
      </c>
      <c r="G82" s="3">
        <v>30.41</v>
      </c>
      <c r="H82" s="3">
        <f>IFERROR(INDEX('Tagging key'!D:D, MATCH(F82,'Tagging key'!C:C,0)),"")</f>
        <v>74.709999999999994</v>
      </c>
      <c r="I82" s="3">
        <f>IFERROR(INDEX('Tagging key'!E:E, MATCH(F82,'Tagging key'!C:C,0)),"")</f>
        <v>36.57</v>
      </c>
      <c r="J82" s="3">
        <f>IFERROR(INDEX('Tagging key'!F:F, MATCH(F82,'Tagging key'!C:C,0)),"")</f>
        <v>24.26</v>
      </c>
      <c r="K82" s="3">
        <v>31.027999999999999</v>
      </c>
      <c r="L82" s="3">
        <v>74.77</v>
      </c>
      <c r="M82" s="3">
        <v>35.47</v>
      </c>
      <c r="N82" s="3">
        <v>24.35</v>
      </c>
      <c r="O82" s="3"/>
      <c r="P82" s="22">
        <v>45882</v>
      </c>
      <c r="Q82" s="22">
        <v>45882</v>
      </c>
      <c r="R82" s="3">
        <v>9.5</v>
      </c>
    </row>
    <row r="83" spans="1:19" x14ac:dyDescent="0.25">
      <c r="A83" s="12">
        <v>3</v>
      </c>
      <c r="B83" s="12">
        <v>3</v>
      </c>
      <c r="C83" s="12" t="s">
        <v>176</v>
      </c>
      <c r="D83" s="12" t="s">
        <v>46</v>
      </c>
      <c r="E83" s="12" t="s">
        <v>194</v>
      </c>
      <c r="F83" s="12" t="s">
        <v>195</v>
      </c>
      <c r="G83" s="3">
        <v>28.675000000000001</v>
      </c>
      <c r="H83" s="3">
        <f>IFERROR(INDEX('Tagging key'!D:D, MATCH(F83,'Tagging key'!C:C,0)),"")</f>
        <v>66.650000000000006</v>
      </c>
      <c r="I83" s="3">
        <f>IFERROR(INDEX('Tagging key'!E:E, MATCH(F83,'Tagging key'!C:C,0)),"")</f>
        <v>36.11</v>
      </c>
      <c r="J83" s="3">
        <f>IFERROR(INDEX('Tagging key'!F:F, MATCH(F83,'Tagging key'!C:C,0)),"")</f>
        <v>23.97</v>
      </c>
      <c r="K83" s="3">
        <v>28.64</v>
      </c>
      <c r="L83" s="3">
        <v>66.25</v>
      </c>
      <c r="M83" s="3">
        <v>33.86</v>
      </c>
      <c r="N83" s="3">
        <v>24.15</v>
      </c>
      <c r="O83" s="3"/>
      <c r="P83" s="22">
        <v>45879</v>
      </c>
      <c r="Q83" s="22">
        <v>45879</v>
      </c>
      <c r="R83" s="3"/>
    </row>
    <row r="84" spans="1:19" x14ac:dyDescent="0.25">
      <c r="A84" s="12">
        <v>3</v>
      </c>
      <c r="B84" s="12">
        <v>3</v>
      </c>
      <c r="C84" s="12" t="s">
        <v>176</v>
      </c>
      <c r="D84" s="12" t="s">
        <v>46</v>
      </c>
      <c r="E84" s="12" t="s">
        <v>196</v>
      </c>
      <c r="F84" s="12" t="s">
        <v>197</v>
      </c>
      <c r="G84" s="3">
        <v>52.595999999999997</v>
      </c>
      <c r="H84" s="3">
        <f>IFERROR(INDEX('Tagging key'!D:D, MATCH(F84,'Tagging key'!C:C,0)),"")</f>
        <v>76</v>
      </c>
      <c r="I84" s="3">
        <f>IFERROR(INDEX('Tagging key'!E:E, MATCH(F84,'Tagging key'!C:C,0)),"")</f>
        <v>36</v>
      </c>
      <c r="J84" s="3">
        <f>IFERROR(INDEX('Tagging key'!F:F, MATCH(F84,'Tagging key'!C:C,0)),"")</f>
        <v>31</v>
      </c>
      <c r="K84" s="3">
        <v>53.079000000000001</v>
      </c>
      <c r="L84" s="3">
        <v>77.83</v>
      </c>
      <c r="M84" s="3">
        <v>36.15</v>
      </c>
      <c r="N84" s="3">
        <v>32.619999999999997</v>
      </c>
      <c r="O84" s="3"/>
      <c r="P84" s="22">
        <v>45877</v>
      </c>
      <c r="Q84" s="22">
        <v>45877</v>
      </c>
      <c r="R84" s="3"/>
    </row>
    <row r="85" spans="1:19" x14ac:dyDescent="0.25">
      <c r="A85" s="12">
        <v>3</v>
      </c>
      <c r="B85" s="12">
        <v>3</v>
      </c>
      <c r="C85" s="12" t="s">
        <v>176</v>
      </c>
      <c r="D85" s="12" t="s">
        <v>46</v>
      </c>
      <c r="E85" s="12" t="s">
        <v>198</v>
      </c>
      <c r="F85" s="12" t="s">
        <v>199</v>
      </c>
      <c r="G85" s="3">
        <v>36.914999999999999</v>
      </c>
      <c r="H85" s="3">
        <f>IFERROR(INDEX('Tagging key'!D:D, MATCH(F85,'Tagging key'!C:C,0)),"")</f>
        <v>72.56</v>
      </c>
      <c r="I85" s="3">
        <f>IFERROR(INDEX('Tagging key'!E:E, MATCH(F85,'Tagging key'!C:C,0)),"")</f>
        <v>33.85</v>
      </c>
      <c r="J85" s="3">
        <f>IFERROR(INDEX('Tagging key'!F:F, MATCH(F85,'Tagging key'!C:C,0)),"")</f>
        <v>28.26</v>
      </c>
      <c r="K85" s="3">
        <v>37.755000000000003</v>
      </c>
      <c r="L85" s="3">
        <v>72.06</v>
      </c>
      <c r="M85" s="3">
        <v>33.61</v>
      </c>
      <c r="N85" s="3">
        <v>27.46</v>
      </c>
      <c r="O85" s="3"/>
      <c r="P85" s="26">
        <v>45886</v>
      </c>
      <c r="Q85" s="26">
        <v>45886</v>
      </c>
    </row>
    <row r="86" spans="1:19" x14ac:dyDescent="0.25">
      <c r="A86" s="8">
        <v>3</v>
      </c>
      <c r="B86" s="8">
        <v>4</v>
      </c>
      <c r="C86" s="8" t="s">
        <v>176</v>
      </c>
      <c r="D86" s="8" t="s">
        <v>16</v>
      </c>
      <c r="E86" s="8" t="s">
        <v>200</v>
      </c>
      <c r="F86" s="8" t="s">
        <v>201</v>
      </c>
      <c r="G86" s="3">
        <v>25.6</v>
      </c>
      <c r="H86" s="3">
        <f>IFERROR(INDEX('Tagging key'!D:D, MATCH(F86,'Tagging key'!C:C,0)),"")</f>
        <v>67.739999999999995</v>
      </c>
      <c r="I86" s="3">
        <f>IFERROR(INDEX('Tagging key'!E:E, MATCH(F86,'Tagging key'!C:C,0)),"")</f>
        <v>52.86</v>
      </c>
      <c r="J86" s="3">
        <f>IFERROR(INDEX('Tagging key'!F:F, MATCH(F86,'Tagging key'!C:C,0)),"")</f>
        <v>13.98</v>
      </c>
      <c r="K86" s="3">
        <v>25.363</v>
      </c>
      <c r="L86" s="3">
        <v>69.959999999999994</v>
      </c>
      <c r="M86" s="3">
        <v>38.26</v>
      </c>
      <c r="N86" s="3">
        <v>16.010000000000002</v>
      </c>
      <c r="O86" s="3"/>
      <c r="P86" s="22">
        <v>45882</v>
      </c>
      <c r="Q86" s="22">
        <v>45882</v>
      </c>
      <c r="R86" s="3">
        <v>17.207000000000001</v>
      </c>
    </row>
    <row r="87" spans="1:19" x14ac:dyDescent="0.25">
      <c r="A87" s="8">
        <v>3</v>
      </c>
      <c r="B87" s="8">
        <v>4</v>
      </c>
      <c r="C87" s="8" t="s">
        <v>176</v>
      </c>
      <c r="D87" s="8" t="s">
        <v>16</v>
      </c>
      <c r="E87" s="8" t="s">
        <v>202</v>
      </c>
      <c r="F87" s="8" t="s">
        <v>203</v>
      </c>
      <c r="G87" s="3">
        <v>37.670999999999999</v>
      </c>
      <c r="H87" s="3">
        <f>IFERROR(INDEX('Tagging key'!D:D, MATCH(F87,'Tagging key'!C:C,0)),"")</f>
        <v>64.23</v>
      </c>
      <c r="I87" s="3">
        <f>IFERROR(INDEX('Tagging key'!E:E, MATCH(F87,'Tagging key'!C:C,0)),"")</f>
        <v>53.31</v>
      </c>
      <c r="J87" s="3">
        <f>IFERROR(INDEX('Tagging key'!F:F, MATCH(F87,'Tagging key'!C:C,0)),"")</f>
        <v>20.28</v>
      </c>
      <c r="K87" s="3">
        <v>37.478999999999999</v>
      </c>
      <c r="L87" s="3">
        <v>67.05</v>
      </c>
      <c r="M87" s="3">
        <v>58.15</v>
      </c>
      <c r="N87" s="3">
        <v>19.010000000000002</v>
      </c>
      <c r="O87" s="3"/>
      <c r="P87" s="22">
        <v>45879</v>
      </c>
      <c r="Q87" s="22">
        <v>45879</v>
      </c>
      <c r="R87" s="3"/>
    </row>
    <row r="88" spans="1:19" x14ac:dyDescent="0.25">
      <c r="A88" s="8">
        <v>3</v>
      </c>
      <c r="B88" s="8">
        <v>4</v>
      </c>
      <c r="C88" s="8" t="s">
        <v>176</v>
      </c>
      <c r="D88" s="8" t="s">
        <v>16</v>
      </c>
      <c r="E88" s="8" t="s">
        <v>204</v>
      </c>
      <c r="F88" s="8" t="s">
        <v>205</v>
      </c>
      <c r="G88" s="3">
        <v>33.343000000000004</v>
      </c>
      <c r="H88" s="3">
        <f>IFERROR(INDEX('Tagging key'!D:D, MATCH(F88,'Tagging key'!C:C,0)),"")</f>
        <v>63.71</v>
      </c>
      <c r="I88" s="3">
        <f>IFERROR(INDEX('Tagging key'!E:E, MATCH(F88,'Tagging key'!C:C,0)),"")</f>
        <v>50.88</v>
      </c>
      <c r="J88" s="3">
        <f>IFERROR(INDEX('Tagging key'!F:F, MATCH(F88,'Tagging key'!C:C,0)),"")</f>
        <v>20.29</v>
      </c>
      <c r="K88" s="3">
        <v>33.292000000000002</v>
      </c>
      <c r="L88" s="3">
        <v>67.459999999999994</v>
      </c>
      <c r="M88" s="3">
        <v>46.74</v>
      </c>
      <c r="N88" s="3">
        <v>21.11</v>
      </c>
      <c r="O88" s="3"/>
      <c r="P88" s="26">
        <v>45886</v>
      </c>
      <c r="Q88" s="26">
        <v>45886</v>
      </c>
    </row>
    <row r="89" spans="1:19" x14ac:dyDescent="0.25">
      <c r="A89" s="8">
        <v>3</v>
      </c>
      <c r="B89" s="8">
        <v>4</v>
      </c>
      <c r="C89" s="8" t="s">
        <v>176</v>
      </c>
      <c r="D89" s="8" t="s">
        <v>16</v>
      </c>
      <c r="E89" s="8" t="s">
        <v>49</v>
      </c>
      <c r="F89" s="8" t="s">
        <v>206</v>
      </c>
      <c r="G89" s="3">
        <v>33.914999999999999</v>
      </c>
      <c r="H89" s="3">
        <f>IFERROR(INDEX('Tagging key'!D:D, MATCH(F89,'Tagging key'!C:C,0)),"")</f>
        <v>70.849999999999994</v>
      </c>
      <c r="I89" s="3">
        <f>IFERROR(INDEX('Tagging key'!E:E, MATCH(F89,'Tagging key'!C:C,0)),"")</f>
        <v>52.01</v>
      </c>
      <c r="J89" s="3">
        <f>IFERROR(INDEX('Tagging key'!F:F, MATCH(F89,'Tagging key'!C:C,0)),"")</f>
        <v>15.07</v>
      </c>
      <c r="K89" s="3">
        <v>33.595999999999997</v>
      </c>
      <c r="L89" s="3">
        <v>72.12</v>
      </c>
      <c r="M89" s="3">
        <v>43.37</v>
      </c>
      <c r="N89" s="3">
        <v>17.62</v>
      </c>
      <c r="O89" s="3"/>
      <c r="P89" s="22">
        <v>45877</v>
      </c>
      <c r="Q89" s="22">
        <v>45877</v>
      </c>
      <c r="R89" s="3"/>
    </row>
    <row r="90" spans="1:19" x14ac:dyDescent="0.25">
      <c r="A90" s="9">
        <v>3</v>
      </c>
      <c r="B90" s="9">
        <v>5</v>
      </c>
      <c r="C90" s="9" t="s">
        <v>176</v>
      </c>
      <c r="D90" s="9" t="s">
        <v>16</v>
      </c>
      <c r="E90" s="9" t="s">
        <v>207</v>
      </c>
      <c r="F90" s="9" t="s">
        <v>208</v>
      </c>
      <c r="G90" s="3">
        <v>34.792999999999999</v>
      </c>
      <c r="H90" s="3">
        <f>IFERROR(INDEX('Tagging key'!D:D, MATCH(F90,'Tagging key'!C:C,0)),"")</f>
        <v>78.400000000000006</v>
      </c>
      <c r="I90" s="3">
        <f>IFERROR(INDEX('Tagging key'!E:E, MATCH(F90,'Tagging key'!C:C,0)),"")</f>
        <v>49.51</v>
      </c>
      <c r="J90" s="3">
        <f>IFERROR(INDEX('Tagging key'!F:F, MATCH(F90,'Tagging key'!C:C,0)),"")</f>
        <v>16.87</v>
      </c>
      <c r="K90" s="3">
        <v>34.371000000000002</v>
      </c>
      <c r="L90" s="3">
        <v>77.930000000000007</v>
      </c>
      <c r="M90" s="3">
        <v>47.37</v>
      </c>
      <c r="N90" s="3">
        <v>17.399999999999999</v>
      </c>
      <c r="O90" s="3"/>
      <c r="P90" s="22">
        <v>45879</v>
      </c>
      <c r="Q90" s="22">
        <v>45879</v>
      </c>
      <c r="R90" s="3"/>
    </row>
    <row r="91" spans="1:19" x14ac:dyDescent="0.25">
      <c r="A91" s="9">
        <v>3</v>
      </c>
      <c r="B91" s="9">
        <v>5</v>
      </c>
      <c r="C91" s="9" t="s">
        <v>176</v>
      </c>
      <c r="D91" s="9" t="s">
        <v>16</v>
      </c>
      <c r="E91" s="9" t="s">
        <v>209</v>
      </c>
      <c r="F91" s="9" t="s">
        <v>210</v>
      </c>
      <c r="G91" s="3">
        <v>22.106000000000002</v>
      </c>
      <c r="H91" s="3">
        <f>IFERROR(INDEX('Tagging key'!D:D, MATCH(F91,'Tagging key'!C:C,0)),"")</f>
        <v>73.05</v>
      </c>
      <c r="I91" s="3">
        <f>IFERROR(INDEX('Tagging key'!E:E, MATCH(F91,'Tagging key'!C:C,0)),"")</f>
        <v>38.82</v>
      </c>
      <c r="J91" s="3">
        <f>IFERROR(INDEX('Tagging key'!F:F, MATCH(F91,'Tagging key'!C:C,0)),"")</f>
        <v>12.29</v>
      </c>
      <c r="K91" s="3">
        <v>22.126000000000001</v>
      </c>
      <c r="L91" s="3">
        <v>73.94</v>
      </c>
      <c r="M91" s="3">
        <v>39.85</v>
      </c>
      <c r="N91" s="3">
        <v>12.81</v>
      </c>
      <c r="O91" s="3"/>
      <c r="P91" s="22">
        <v>45877</v>
      </c>
      <c r="Q91" s="22">
        <v>45877</v>
      </c>
      <c r="R91" s="3"/>
    </row>
    <row r="92" spans="1:19" x14ac:dyDescent="0.25">
      <c r="A92" s="19">
        <v>3</v>
      </c>
      <c r="B92" s="19">
        <v>5</v>
      </c>
      <c r="C92" s="19" t="s">
        <v>176</v>
      </c>
      <c r="D92" s="19" t="s">
        <v>16</v>
      </c>
      <c r="E92" s="19" t="s">
        <v>211</v>
      </c>
      <c r="F92" s="19" t="s">
        <v>212</v>
      </c>
      <c r="G92" s="19">
        <v>40.512</v>
      </c>
      <c r="H92" s="19">
        <f>IFERROR(INDEX('Tagging key'!D:D, MATCH(F92,'Tagging key'!C:C,0)),"")</f>
        <v>74.31</v>
      </c>
      <c r="I92" s="19">
        <f>IFERROR(INDEX('Tagging key'!E:E, MATCH(F92,'Tagging key'!C:C,0)),"")</f>
        <v>51.95</v>
      </c>
      <c r="J92" s="19">
        <f>IFERROR(INDEX('Tagging key'!F:F, MATCH(F92,'Tagging key'!C:C,0)),"")</f>
        <v>17.239999999999998</v>
      </c>
      <c r="K92" s="19"/>
      <c r="L92" s="19"/>
      <c r="M92" s="19"/>
      <c r="N92" s="19"/>
      <c r="O92" s="19"/>
      <c r="P92" s="19"/>
      <c r="Q92" s="19"/>
      <c r="R92" s="19"/>
      <c r="S92" t="s">
        <v>213</v>
      </c>
    </row>
    <row r="93" spans="1:19" x14ac:dyDescent="0.25">
      <c r="A93" s="9">
        <v>3</v>
      </c>
      <c r="B93" s="9">
        <v>5</v>
      </c>
      <c r="C93" s="9" t="s">
        <v>176</v>
      </c>
      <c r="D93" s="9" t="s">
        <v>16</v>
      </c>
      <c r="E93" s="9" t="s">
        <v>214</v>
      </c>
      <c r="F93" s="9" t="s">
        <v>215</v>
      </c>
      <c r="G93" s="3">
        <v>32.151000000000003</v>
      </c>
      <c r="H93" s="3">
        <f>IFERROR(INDEX('Tagging key'!D:D, MATCH(F93,'Tagging key'!C:C,0)),"")</f>
        <v>91.83</v>
      </c>
      <c r="I93" s="3">
        <f>IFERROR(INDEX('Tagging key'!E:E, MATCH(F93,'Tagging key'!C:C,0)),"")</f>
        <v>39.65</v>
      </c>
      <c r="J93" s="3">
        <f>IFERROR(INDEX('Tagging key'!F:F, MATCH(F93,'Tagging key'!C:C,0)),"")</f>
        <v>10.62</v>
      </c>
      <c r="K93" s="3">
        <v>32.197000000000003</v>
      </c>
      <c r="L93" s="3">
        <v>91.8</v>
      </c>
      <c r="M93" s="3">
        <v>40.06</v>
      </c>
      <c r="N93" s="3">
        <v>18.88</v>
      </c>
      <c r="O93" s="3"/>
      <c r="P93" s="22">
        <v>45882</v>
      </c>
      <c r="Q93" s="22">
        <v>45882</v>
      </c>
      <c r="R93" s="3">
        <v>18.434000000000001</v>
      </c>
    </row>
    <row r="94" spans="1:19" x14ac:dyDescent="0.25">
      <c r="A94" s="8">
        <v>3</v>
      </c>
      <c r="B94" s="8">
        <v>6</v>
      </c>
      <c r="C94" s="8" t="s">
        <v>176</v>
      </c>
      <c r="D94" s="8" t="s">
        <v>16</v>
      </c>
      <c r="E94" s="8" t="s">
        <v>216</v>
      </c>
      <c r="F94" s="8" t="s">
        <v>217</v>
      </c>
      <c r="G94" s="3">
        <v>32.707999999999998</v>
      </c>
      <c r="H94" s="3">
        <f>IFERROR(INDEX('Tagging key'!D:D, MATCH(F94,'Tagging key'!C:C,0)),"")</f>
        <v>73.47</v>
      </c>
      <c r="I94" s="3">
        <f>IFERROR(INDEX('Tagging key'!E:E, MATCH(F94,'Tagging key'!C:C,0)),"")</f>
        <v>45.62</v>
      </c>
      <c r="J94" s="3">
        <f>IFERROR(INDEX('Tagging key'!F:F, MATCH(F94,'Tagging key'!C:C,0)),"")</f>
        <v>15.71</v>
      </c>
      <c r="K94" s="3">
        <v>32.676000000000002</v>
      </c>
      <c r="L94" s="3">
        <v>73.23</v>
      </c>
      <c r="M94" s="3">
        <v>38.770000000000003</v>
      </c>
      <c r="N94" s="3">
        <v>23.82</v>
      </c>
      <c r="O94" s="3"/>
      <c r="P94" s="22">
        <v>45877</v>
      </c>
      <c r="Q94" s="22">
        <v>45877</v>
      </c>
      <c r="R94" s="3"/>
    </row>
    <row r="95" spans="1:19" x14ac:dyDescent="0.25">
      <c r="A95" s="8">
        <v>3</v>
      </c>
      <c r="B95" s="8">
        <v>6</v>
      </c>
      <c r="C95" s="8" t="s">
        <v>176</v>
      </c>
      <c r="D95" s="8" t="s">
        <v>16</v>
      </c>
      <c r="E95" s="8" t="s">
        <v>218</v>
      </c>
      <c r="F95" s="8" t="s">
        <v>219</v>
      </c>
      <c r="G95" s="3">
        <v>31.716999999999999</v>
      </c>
      <c r="H95" s="3">
        <f>IFERROR(INDEX('Tagging key'!D:D, MATCH(F95,'Tagging key'!C:C,0)),"")</f>
        <v>66.89</v>
      </c>
      <c r="I95" s="3">
        <f>IFERROR(INDEX('Tagging key'!E:E, MATCH(F95,'Tagging key'!C:C,0)),"")</f>
        <v>47.26</v>
      </c>
      <c r="J95" s="3">
        <f>IFERROR(INDEX('Tagging key'!F:F, MATCH(F95,'Tagging key'!C:C,0)),"")</f>
        <v>16.43</v>
      </c>
      <c r="K95" s="3">
        <v>31.454999999999998</v>
      </c>
      <c r="L95" s="3">
        <v>67.34</v>
      </c>
      <c r="M95" s="3">
        <v>45.98</v>
      </c>
      <c r="N95" s="3">
        <v>17.059999999999999</v>
      </c>
      <c r="O95" s="3"/>
      <c r="P95" s="26">
        <v>45886</v>
      </c>
      <c r="Q95" s="26">
        <v>45886</v>
      </c>
      <c r="R95" s="3">
        <v>22.062000000000001</v>
      </c>
    </row>
    <row r="96" spans="1:19" x14ac:dyDescent="0.25">
      <c r="A96" s="8">
        <v>3</v>
      </c>
      <c r="B96" s="8">
        <v>6</v>
      </c>
      <c r="C96" s="8" t="s">
        <v>176</v>
      </c>
      <c r="D96" s="8" t="s">
        <v>16</v>
      </c>
      <c r="E96" s="8" t="s">
        <v>220</v>
      </c>
      <c r="F96" s="8" t="s">
        <v>221</v>
      </c>
      <c r="G96" s="3">
        <v>49.804000000000002</v>
      </c>
      <c r="H96" s="3">
        <f>IFERROR(INDEX('Tagging key'!D:D, MATCH(F96,'Tagging key'!C:C,0)),"")</f>
        <v>67.489999999999995</v>
      </c>
      <c r="I96" s="3">
        <f>IFERROR(INDEX('Tagging key'!E:E, MATCH(F96,'Tagging key'!C:C,0)),"")</f>
        <v>65.41</v>
      </c>
      <c r="J96" s="3">
        <f>IFERROR(INDEX('Tagging key'!F:F, MATCH(F96,'Tagging key'!C:C,0)),"")</f>
        <v>19.25</v>
      </c>
      <c r="K96" s="3">
        <v>49.9</v>
      </c>
      <c r="L96" s="3">
        <v>71.41</v>
      </c>
      <c r="M96" s="3">
        <v>48.95</v>
      </c>
      <c r="N96" s="3">
        <v>29.11</v>
      </c>
      <c r="O96" s="3"/>
      <c r="P96" s="22">
        <v>45882</v>
      </c>
      <c r="Q96" s="22">
        <v>45882</v>
      </c>
      <c r="R96" s="3">
        <v>33.805</v>
      </c>
    </row>
    <row r="97" spans="1:19" x14ac:dyDescent="0.25">
      <c r="A97" s="8">
        <v>3</v>
      </c>
      <c r="B97" s="8">
        <v>6</v>
      </c>
      <c r="C97" s="8" t="s">
        <v>176</v>
      </c>
      <c r="D97" s="8" t="s">
        <v>16</v>
      </c>
      <c r="E97" s="8" t="s">
        <v>222</v>
      </c>
      <c r="F97" s="8" t="s">
        <v>223</v>
      </c>
      <c r="G97" s="3">
        <v>35.481000000000002</v>
      </c>
      <c r="H97" s="3">
        <f>IFERROR(INDEX('Tagging key'!D:D, MATCH(F97,'Tagging key'!C:C,0)),"")</f>
        <v>68.349999999999994</v>
      </c>
      <c r="I97" s="3">
        <f>IFERROR(INDEX('Tagging key'!E:E, MATCH(F97,'Tagging key'!C:C,0)),"")</f>
        <v>40.799999999999997</v>
      </c>
      <c r="J97" s="3">
        <f>IFERROR(INDEX('Tagging key'!F:F, MATCH(F97,'Tagging key'!C:C,0)),"")</f>
        <v>19.13</v>
      </c>
      <c r="K97" s="3">
        <v>34.917000000000002</v>
      </c>
      <c r="L97" s="3">
        <v>74.400000000000006</v>
      </c>
      <c r="M97" s="3">
        <v>39.79</v>
      </c>
      <c r="N97" s="3">
        <v>19.04</v>
      </c>
      <c r="O97" s="3"/>
      <c r="P97" s="22">
        <v>45879</v>
      </c>
      <c r="Q97" s="22">
        <v>45879</v>
      </c>
      <c r="R97" s="3"/>
    </row>
    <row r="98" spans="1:19" x14ac:dyDescent="0.25">
      <c r="A98" s="13">
        <v>3</v>
      </c>
      <c r="B98" s="13">
        <v>7</v>
      </c>
      <c r="C98" s="13" t="s">
        <v>176</v>
      </c>
      <c r="D98" s="13" t="s">
        <v>72</v>
      </c>
      <c r="E98" s="13" t="s">
        <v>224</v>
      </c>
      <c r="F98" s="13" t="s">
        <v>225</v>
      </c>
      <c r="G98" s="3">
        <v>67.039000000000001</v>
      </c>
      <c r="H98" s="3">
        <f>IFERROR(INDEX('Tagging key'!D:D, MATCH(F98,'Tagging key'!C:C,0)),"")</f>
        <v>76.5</v>
      </c>
      <c r="I98" s="3">
        <f>IFERROR(INDEX('Tagging key'!E:E, MATCH(F98,'Tagging key'!C:C,0)),"")</f>
        <v>74</v>
      </c>
      <c r="J98" s="3">
        <f>IFERROR(INDEX('Tagging key'!F:F, MATCH(F98,'Tagging key'!C:C,0)),"")</f>
        <v>20.5</v>
      </c>
      <c r="K98" s="3">
        <v>62.131999999999998</v>
      </c>
      <c r="L98" s="3">
        <v>78.56</v>
      </c>
      <c r="M98" s="3">
        <v>78.400000000000006</v>
      </c>
      <c r="N98" s="3">
        <v>23.23</v>
      </c>
      <c r="O98" s="3"/>
      <c r="P98" s="22">
        <v>45877</v>
      </c>
      <c r="Q98" s="22">
        <v>45877</v>
      </c>
      <c r="R98" s="3"/>
    </row>
    <row r="99" spans="1:19" x14ac:dyDescent="0.25">
      <c r="A99" s="13">
        <v>3</v>
      </c>
      <c r="B99" s="13">
        <v>7</v>
      </c>
      <c r="C99" s="13" t="s">
        <v>176</v>
      </c>
      <c r="D99" s="13" t="s">
        <v>72</v>
      </c>
      <c r="E99" s="13" t="s">
        <v>226</v>
      </c>
      <c r="F99" s="13" t="s">
        <v>227</v>
      </c>
      <c r="G99" s="3">
        <v>53.104999999999997</v>
      </c>
      <c r="H99" s="3">
        <f>IFERROR(INDEX('Tagging key'!D:D, MATCH(F99,'Tagging key'!C:C,0)),"")</f>
        <v>76</v>
      </c>
      <c r="I99" s="3">
        <f>IFERROR(INDEX('Tagging key'!E:E, MATCH(F99,'Tagging key'!C:C,0)),"")</f>
        <v>76</v>
      </c>
      <c r="J99" s="3">
        <f>IFERROR(INDEX('Tagging key'!F:F, MATCH(F99,'Tagging key'!C:C,0)),"")</f>
        <v>18</v>
      </c>
      <c r="K99" s="3">
        <v>52.1</v>
      </c>
      <c r="L99" s="3">
        <v>75.77</v>
      </c>
      <c r="M99" s="3">
        <v>78.290000000000006</v>
      </c>
      <c r="N99" s="3">
        <v>19.73</v>
      </c>
      <c r="O99" s="3"/>
      <c r="P99" s="22">
        <v>45879</v>
      </c>
      <c r="Q99" s="22">
        <v>45879</v>
      </c>
      <c r="R99" s="3"/>
    </row>
    <row r="100" spans="1:19" x14ac:dyDescent="0.25">
      <c r="A100" s="13">
        <v>3</v>
      </c>
      <c r="B100" s="13">
        <v>7</v>
      </c>
      <c r="C100" s="13" t="s">
        <v>176</v>
      </c>
      <c r="D100" s="13" t="s">
        <v>72</v>
      </c>
      <c r="E100" s="13" t="s">
        <v>61</v>
      </c>
      <c r="F100" s="13" t="s">
        <v>228</v>
      </c>
      <c r="G100" s="3">
        <v>57.137999999999998</v>
      </c>
      <c r="H100" s="3">
        <f>IFERROR(INDEX('Tagging key'!D:D, MATCH(F100,'Tagging key'!C:C,0)),"")</f>
        <v>71.02</v>
      </c>
      <c r="I100" s="3">
        <f>IFERROR(INDEX('Tagging key'!E:E, MATCH(F100,'Tagging key'!C:C,0)),"")</f>
        <v>75.8</v>
      </c>
      <c r="J100" s="3">
        <f>IFERROR(INDEX('Tagging key'!F:F, MATCH(F100,'Tagging key'!C:C,0)),"")</f>
        <v>19.43</v>
      </c>
      <c r="K100" s="3">
        <v>52.908000000000001</v>
      </c>
      <c r="L100" s="3">
        <v>73.08</v>
      </c>
      <c r="M100" s="3">
        <v>76.459999999999994</v>
      </c>
      <c r="N100" s="3">
        <v>20.71</v>
      </c>
      <c r="O100" s="3"/>
      <c r="P100" s="22">
        <v>45882</v>
      </c>
      <c r="Q100" s="22">
        <v>45882</v>
      </c>
      <c r="R100" s="3">
        <v>25.236000000000001</v>
      </c>
    </row>
    <row r="101" spans="1:19" x14ac:dyDescent="0.25">
      <c r="A101" s="13">
        <v>3</v>
      </c>
      <c r="B101" s="13">
        <v>7</v>
      </c>
      <c r="C101" s="13" t="s">
        <v>176</v>
      </c>
      <c r="D101" s="13" t="s">
        <v>72</v>
      </c>
      <c r="E101" s="13" t="s">
        <v>229</v>
      </c>
      <c r="F101" s="13" t="s">
        <v>230</v>
      </c>
      <c r="G101" s="3">
        <v>49.686999999999998</v>
      </c>
      <c r="H101" s="3">
        <f>IFERROR(INDEX('Tagging key'!D:D, MATCH(F101,'Tagging key'!C:C,0)),"")</f>
        <v>67</v>
      </c>
      <c r="I101" s="3">
        <f>IFERROR(INDEX('Tagging key'!E:E, MATCH(F101,'Tagging key'!C:C,0)),"")</f>
        <v>74</v>
      </c>
      <c r="J101" s="3">
        <f>IFERROR(INDEX('Tagging key'!F:F, MATCH(F101,'Tagging key'!C:C,0)),"")</f>
        <v>19</v>
      </c>
      <c r="K101" s="3">
        <v>46.000999999999998</v>
      </c>
      <c r="L101" s="3">
        <v>68.2</v>
      </c>
      <c r="M101" s="3">
        <v>75.02</v>
      </c>
      <c r="N101" s="3">
        <v>20.18</v>
      </c>
      <c r="O101" s="3"/>
      <c r="P101" s="26">
        <v>45886</v>
      </c>
      <c r="Q101" s="26">
        <v>45886</v>
      </c>
    </row>
    <row r="102" spans="1:19" x14ac:dyDescent="0.25">
      <c r="A102" s="14">
        <v>3</v>
      </c>
      <c r="B102" s="14">
        <v>8</v>
      </c>
      <c r="C102" s="14" t="s">
        <v>176</v>
      </c>
      <c r="D102" s="14" t="s">
        <v>72</v>
      </c>
      <c r="E102" s="14" t="s">
        <v>231</v>
      </c>
      <c r="F102" s="14" t="s">
        <v>232</v>
      </c>
      <c r="G102" s="3">
        <v>65.52</v>
      </c>
      <c r="H102" s="3">
        <f>IFERROR(INDEX('Tagging key'!D:D, MATCH(F102,'Tagging key'!C:C,0)),"")</f>
        <v>76.5</v>
      </c>
      <c r="I102" s="3">
        <f>IFERROR(INDEX('Tagging key'!E:E, MATCH(F102,'Tagging key'!C:C,0)),"")</f>
        <v>80</v>
      </c>
      <c r="J102" s="3">
        <f>IFERROR(INDEX('Tagging key'!F:F, MATCH(F102,'Tagging key'!C:C,0)),"")</f>
        <v>22</v>
      </c>
      <c r="K102" s="3">
        <v>64.451999999999998</v>
      </c>
      <c r="L102" s="3">
        <v>79.19</v>
      </c>
      <c r="M102" s="3">
        <v>83.07</v>
      </c>
      <c r="N102" s="3">
        <v>23.8</v>
      </c>
      <c r="O102" s="3"/>
      <c r="P102" s="22">
        <v>45879</v>
      </c>
      <c r="Q102" s="22">
        <v>45879</v>
      </c>
      <c r="R102" s="3"/>
    </row>
    <row r="103" spans="1:19" x14ac:dyDescent="0.25">
      <c r="A103" s="14">
        <v>3</v>
      </c>
      <c r="B103" s="14">
        <v>8</v>
      </c>
      <c r="C103" s="14" t="s">
        <v>176</v>
      </c>
      <c r="D103" s="14" t="s">
        <v>72</v>
      </c>
      <c r="E103" s="14" t="s">
        <v>233</v>
      </c>
      <c r="F103" s="14" t="s">
        <v>234</v>
      </c>
      <c r="G103" s="3">
        <v>51.722999999999999</v>
      </c>
      <c r="H103" s="3">
        <f>IFERROR(INDEX('Tagging key'!D:D, MATCH(F103,'Tagging key'!C:C,0)),"")</f>
        <v>72</v>
      </c>
      <c r="I103" s="3">
        <f>IFERROR(INDEX('Tagging key'!E:E, MATCH(F103,'Tagging key'!C:C,0)),"")</f>
        <v>71</v>
      </c>
      <c r="J103" s="3">
        <f>IFERROR(INDEX('Tagging key'!F:F, MATCH(F103,'Tagging key'!C:C,0)),"")</f>
        <v>18</v>
      </c>
      <c r="K103" s="3">
        <v>47.389000000000003</v>
      </c>
      <c r="L103" s="3">
        <v>73.61</v>
      </c>
      <c r="M103" s="3">
        <v>72.59</v>
      </c>
      <c r="N103" s="3">
        <v>20.66</v>
      </c>
      <c r="O103" s="3"/>
      <c r="P103" s="22">
        <v>45877</v>
      </c>
      <c r="Q103" s="22">
        <v>45877</v>
      </c>
      <c r="R103" s="3"/>
    </row>
    <row r="104" spans="1:19" x14ac:dyDescent="0.25">
      <c r="A104" s="14">
        <v>3</v>
      </c>
      <c r="B104" s="14">
        <v>8</v>
      </c>
      <c r="C104" s="14" t="s">
        <v>176</v>
      </c>
      <c r="D104" s="14" t="s">
        <v>72</v>
      </c>
      <c r="E104" s="14" t="s">
        <v>235</v>
      </c>
      <c r="F104" s="14" t="s">
        <v>236</v>
      </c>
      <c r="G104" s="3">
        <v>50.021000000000001</v>
      </c>
      <c r="H104" s="3">
        <f>IFERROR(INDEX('Tagging key'!D:D, MATCH(F104,'Tagging key'!C:C,0)),"")</f>
        <v>70</v>
      </c>
      <c r="I104" s="3">
        <f>IFERROR(INDEX('Tagging key'!E:E, MATCH(F104,'Tagging key'!C:C,0)),"")</f>
        <v>72</v>
      </c>
      <c r="J104" s="3">
        <f>IFERROR(INDEX('Tagging key'!F:F, MATCH(F104,'Tagging key'!C:C,0)),"")</f>
        <v>16</v>
      </c>
      <c r="K104" s="3">
        <v>46.628</v>
      </c>
      <c r="L104" s="3">
        <v>70.739999999999995</v>
      </c>
      <c r="M104" s="3">
        <v>72.8</v>
      </c>
      <c r="N104" s="3">
        <v>20.39</v>
      </c>
      <c r="O104" s="3"/>
      <c r="P104" s="26">
        <v>45886</v>
      </c>
      <c r="Q104" s="26">
        <v>45886</v>
      </c>
    </row>
    <row r="105" spans="1:19" x14ac:dyDescent="0.25">
      <c r="A105" s="14">
        <v>3</v>
      </c>
      <c r="B105" s="14">
        <v>8</v>
      </c>
      <c r="C105" s="14" t="s">
        <v>176</v>
      </c>
      <c r="D105" s="14" t="s">
        <v>72</v>
      </c>
      <c r="E105" s="14" t="s">
        <v>237</v>
      </c>
      <c r="F105" s="14" t="s">
        <v>238</v>
      </c>
      <c r="G105" s="3">
        <v>51.862000000000002</v>
      </c>
      <c r="H105" s="3">
        <f>IFERROR(INDEX('Tagging key'!D:D, MATCH(F105,'Tagging key'!C:C,0)),"")</f>
        <v>70</v>
      </c>
      <c r="I105" s="3">
        <f>IFERROR(INDEX('Tagging key'!E:E, MATCH(F105,'Tagging key'!C:C,0)),"")</f>
        <v>71</v>
      </c>
      <c r="J105" s="3">
        <f>IFERROR(INDEX('Tagging key'!F:F, MATCH(F105,'Tagging key'!C:C,0)),"")</f>
        <v>22</v>
      </c>
      <c r="K105" s="3">
        <v>50.253999999999998</v>
      </c>
      <c r="L105" s="3">
        <v>71.150000000000006</v>
      </c>
      <c r="M105" s="3">
        <v>74.14</v>
      </c>
      <c r="N105" s="3">
        <v>20.39</v>
      </c>
      <c r="O105" s="3"/>
      <c r="P105" s="22">
        <v>45882</v>
      </c>
      <c r="Q105" s="22">
        <v>45882</v>
      </c>
      <c r="R105" s="3">
        <v>25.045999999999999</v>
      </c>
    </row>
    <row r="106" spans="1:19" x14ac:dyDescent="0.25">
      <c r="A106" s="13">
        <v>3</v>
      </c>
      <c r="B106" s="13">
        <v>9</v>
      </c>
      <c r="C106" s="13" t="s">
        <v>176</v>
      </c>
      <c r="D106" s="13" t="s">
        <v>72</v>
      </c>
      <c r="E106" s="13" t="s">
        <v>239</v>
      </c>
      <c r="F106" s="13" t="s">
        <v>240</v>
      </c>
      <c r="G106" s="3">
        <v>68.305000000000007</v>
      </c>
      <c r="H106" s="3">
        <f>IFERROR(INDEX('Tagging key'!D:D, MATCH(F106,'Tagging key'!C:C,0)),"")</f>
        <v>77</v>
      </c>
      <c r="I106" s="3">
        <f>IFERROR(INDEX('Tagging key'!E:E, MATCH(F106,'Tagging key'!C:C,0)),"")</f>
        <v>82</v>
      </c>
      <c r="J106" s="3">
        <f>IFERROR(INDEX('Tagging key'!F:F, MATCH(F106,'Tagging key'!C:C,0)),"")</f>
        <v>20</v>
      </c>
      <c r="K106" s="3">
        <v>62.493000000000002</v>
      </c>
      <c r="L106" s="3">
        <v>81.12</v>
      </c>
      <c r="M106" s="3">
        <v>85.29</v>
      </c>
      <c r="N106" s="3">
        <v>22.12</v>
      </c>
      <c r="O106" s="3"/>
      <c r="P106" s="22">
        <v>45877</v>
      </c>
      <c r="Q106" s="22">
        <v>45877</v>
      </c>
      <c r="R106" s="3"/>
    </row>
    <row r="107" spans="1:19" x14ac:dyDescent="0.25">
      <c r="A107" s="13">
        <v>3</v>
      </c>
      <c r="B107" s="13">
        <v>9</v>
      </c>
      <c r="C107" s="13" t="s">
        <v>176</v>
      </c>
      <c r="D107" s="13" t="s">
        <v>72</v>
      </c>
      <c r="E107" s="13" t="s">
        <v>241</v>
      </c>
      <c r="F107" s="13" t="s">
        <v>242</v>
      </c>
      <c r="G107" s="3">
        <v>72.852999999999994</v>
      </c>
      <c r="H107" s="3">
        <f>IFERROR(INDEX('Tagging key'!D:D, MATCH(F107,'Tagging key'!C:C,0)),"")</f>
        <v>80.75</v>
      </c>
      <c r="I107" s="3">
        <f>IFERROR(INDEX('Tagging key'!E:E, MATCH(F107,'Tagging key'!C:C,0)),"")</f>
        <v>81.260000000000005</v>
      </c>
      <c r="J107" s="3">
        <f>IFERROR(INDEX('Tagging key'!F:F, MATCH(F107,'Tagging key'!C:C,0)),"")</f>
        <v>20.59</v>
      </c>
      <c r="K107" s="3">
        <v>70.561000000000007</v>
      </c>
      <c r="L107" s="3">
        <v>82.388999999999996</v>
      </c>
      <c r="M107" s="3">
        <v>84.54</v>
      </c>
      <c r="N107" s="3">
        <v>22.1</v>
      </c>
      <c r="O107" s="3"/>
      <c r="P107" s="22">
        <v>45879</v>
      </c>
      <c r="Q107" s="22">
        <v>45879</v>
      </c>
      <c r="R107" s="3"/>
    </row>
    <row r="108" spans="1:19" x14ac:dyDescent="0.25">
      <c r="A108" s="13">
        <v>3</v>
      </c>
      <c r="B108" s="13">
        <v>9</v>
      </c>
      <c r="C108" s="13" t="s">
        <v>176</v>
      </c>
      <c r="D108" s="13" t="s">
        <v>72</v>
      </c>
      <c r="E108" s="13" t="s">
        <v>243</v>
      </c>
      <c r="F108" s="13" t="s">
        <v>244</v>
      </c>
      <c r="G108" s="3">
        <v>49.168999999999997</v>
      </c>
      <c r="H108" s="3">
        <f>IFERROR(INDEX('Tagging key'!D:D, MATCH(F108,'Tagging key'!C:C,0)),"")</f>
        <v>71.959999999999994</v>
      </c>
      <c r="I108" s="3">
        <f>IFERROR(INDEX('Tagging key'!E:E, MATCH(F108,'Tagging key'!C:C,0)),"")</f>
        <v>75.64</v>
      </c>
      <c r="J108" s="3">
        <f>IFERROR(INDEX('Tagging key'!F:F, MATCH(F108,'Tagging key'!C:C,0)),"")</f>
        <v>19.489999999999998</v>
      </c>
      <c r="K108" s="3">
        <v>47.938000000000002</v>
      </c>
      <c r="L108" s="3">
        <v>72.569999999999993</v>
      </c>
      <c r="M108" s="3">
        <v>77.5</v>
      </c>
      <c r="N108" s="3">
        <v>21.02</v>
      </c>
      <c r="O108" s="3"/>
      <c r="P108" s="26">
        <v>45886</v>
      </c>
      <c r="Q108" s="26">
        <v>45886</v>
      </c>
    </row>
    <row r="109" spans="1:19" x14ac:dyDescent="0.25">
      <c r="A109" s="13">
        <v>3</v>
      </c>
      <c r="B109" s="13">
        <v>9</v>
      </c>
      <c r="C109" s="13" t="s">
        <v>176</v>
      </c>
      <c r="D109" s="13" t="s">
        <v>72</v>
      </c>
      <c r="E109" s="13" t="s">
        <v>245</v>
      </c>
      <c r="F109" s="13" t="s">
        <v>246</v>
      </c>
      <c r="G109" s="3">
        <v>55.048000000000002</v>
      </c>
      <c r="H109" s="3">
        <f>IFERROR(INDEX('Tagging key'!D:D, MATCH(F109,'Tagging key'!C:C,0)),"")</f>
        <v>73</v>
      </c>
      <c r="I109" s="3">
        <f>IFERROR(INDEX('Tagging key'!E:E, MATCH(F109,'Tagging key'!C:C,0)),"")</f>
        <v>75</v>
      </c>
      <c r="J109" s="3">
        <f>IFERROR(INDEX('Tagging key'!F:F, MATCH(F109,'Tagging key'!C:C,0)),"")</f>
        <v>20</v>
      </c>
      <c r="K109" s="3">
        <v>55.786999999999999</v>
      </c>
      <c r="L109" s="3">
        <v>74.510000000000005</v>
      </c>
      <c r="M109" s="3">
        <v>75.709999999999994</v>
      </c>
      <c r="N109" s="3">
        <v>20.079999999999998</v>
      </c>
      <c r="O109" s="3"/>
      <c r="P109" s="22">
        <v>45882</v>
      </c>
      <c r="Q109" s="22">
        <v>45882</v>
      </c>
      <c r="R109" s="3">
        <v>28.16</v>
      </c>
      <c r="S109" t="s">
        <v>247</v>
      </c>
    </row>
    <row r="110" spans="1:19" x14ac:dyDescent="0.25">
      <c r="A110" s="11">
        <v>4</v>
      </c>
      <c r="B110" s="11">
        <v>1</v>
      </c>
      <c r="C110" s="11" t="s">
        <v>248</v>
      </c>
      <c r="D110" s="11" t="s">
        <v>46</v>
      </c>
      <c r="E110" s="11" t="s">
        <v>249</v>
      </c>
      <c r="F110" s="11" t="s">
        <v>250</v>
      </c>
      <c r="G110" s="3">
        <v>40.518000000000001</v>
      </c>
      <c r="H110" s="3">
        <f>IFERROR(INDEX('Tagging key'!D:D, MATCH(F110,'Tagging key'!C:C,0)),"")</f>
        <v>77.739999999999995</v>
      </c>
      <c r="I110" s="3">
        <f>IFERROR(INDEX('Tagging key'!E:E, MATCH(F110,'Tagging key'!C:C,0)),"")</f>
        <v>39.630000000000003</v>
      </c>
      <c r="J110" s="3">
        <f>IFERROR(INDEX('Tagging key'!F:F, MATCH(F110,'Tagging key'!C:C,0)),"")</f>
        <v>25</v>
      </c>
      <c r="K110" s="3">
        <v>41.472999999999999</v>
      </c>
      <c r="L110" s="3">
        <v>78.400000000000006</v>
      </c>
      <c r="M110" s="3">
        <v>37.49</v>
      </c>
      <c r="N110" s="3">
        <v>26.95</v>
      </c>
      <c r="O110" s="3"/>
      <c r="P110" s="22">
        <v>45877</v>
      </c>
      <c r="Q110" s="22">
        <v>45877</v>
      </c>
      <c r="R110" s="3"/>
    </row>
    <row r="111" spans="1:19" x14ac:dyDescent="0.25">
      <c r="A111" s="11">
        <v>4</v>
      </c>
      <c r="B111" s="11">
        <v>1</v>
      </c>
      <c r="C111" s="11" t="s">
        <v>248</v>
      </c>
      <c r="D111" s="11" t="s">
        <v>46</v>
      </c>
      <c r="E111" s="11" t="s">
        <v>251</v>
      </c>
      <c r="F111" s="11" t="s">
        <v>252</v>
      </c>
      <c r="G111" s="3">
        <v>41.732999999999997</v>
      </c>
      <c r="H111" s="3">
        <f>IFERROR(INDEX('Tagging key'!D:D, MATCH(F111,'Tagging key'!C:C,0)),"")</f>
        <v>76</v>
      </c>
      <c r="I111" s="3">
        <f>IFERROR(INDEX('Tagging key'!E:E, MATCH(F111,'Tagging key'!C:C,0)),"")</f>
        <v>37</v>
      </c>
      <c r="J111" s="3">
        <f>IFERROR(INDEX('Tagging key'!F:F, MATCH(F111,'Tagging key'!C:C,0)),"")</f>
        <v>26</v>
      </c>
      <c r="K111" s="3">
        <v>42.048000000000002</v>
      </c>
      <c r="L111" s="3">
        <v>76.680000000000007</v>
      </c>
      <c r="M111" s="3">
        <v>38.909999999999997</v>
      </c>
      <c r="N111" s="3">
        <v>26.11</v>
      </c>
      <c r="O111" s="3"/>
      <c r="P111" s="22">
        <v>45882</v>
      </c>
      <c r="Q111" s="22">
        <v>45882</v>
      </c>
      <c r="R111" s="3">
        <v>15.084</v>
      </c>
    </row>
    <row r="112" spans="1:19" x14ac:dyDescent="0.25">
      <c r="A112" s="11">
        <v>4</v>
      </c>
      <c r="B112" s="11">
        <v>1</v>
      </c>
      <c r="C112" s="11" t="s">
        <v>248</v>
      </c>
      <c r="D112" s="11" t="s">
        <v>46</v>
      </c>
      <c r="E112" s="11" t="s">
        <v>220</v>
      </c>
      <c r="F112" s="11" t="s">
        <v>253</v>
      </c>
      <c r="G112" s="3">
        <v>30.132999999999999</v>
      </c>
      <c r="H112" s="3">
        <f>IFERROR(INDEX('Tagging key'!D:D, MATCH(F112,'Tagging key'!C:C,0)),"")</f>
        <v>67</v>
      </c>
      <c r="I112" s="3">
        <f>IFERROR(INDEX('Tagging key'!E:E, MATCH(F112,'Tagging key'!C:C,0)),"")</f>
        <v>34</v>
      </c>
      <c r="J112" s="3">
        <f>IFERROR(INDEX('Tagging key'!F:F, MATCH(F112,'Tagging key'!C:C,0)),"")</f>
        <v>25</v>
      </c>
      <c r="K112" s="3">
        <v>30.866</v>
      </c>
      <c r="L112" s="3">
        <v>67.489999999999995</v>
      </c>
      <c r="M112" s="3">
        <v>35.46</v>
      </c>
      <c r="N112" s="3">
        <v>26.16</v>
      </c>
      <c r="O112" s="3"/>
      <c r="P112" s="26">
        <v>45886</v>
      </c>
      <c r="Q112" s="26">
        <v>45886</v>
      </c>
      <c r="R112" s="3">
        <v>10.551</v>
      </c>
    </row>
    <row r="113" spans="1:19" x14ac:dyDescent="0.25">
      <c r="A113" s="11">
        <v>4</v>
      </c>
      <c r="B113" s="11">
        <v>1</v>
      </c>
      <c r="C113" s="11" t="s">
        <v>248</v>
      </c>
      <c r="D113" s="11" t="s">
        <v>46</v>
      </c>
      <c r="E113" s="11" t="s">
        <v>254</v>
      </c>
      <c r="F113" s="11" t="s">
        <v>255</v>
      </c>
      <c r="G113" s="3">
        <v>27.974</v>
      </c>
      <c r="H113" s="3">
        <f>IFERROR(INDEX('Tagging key'!D:D, MATCH(F113,'Tagging key'!C:C,0)),"")</f>
        <v>67</v>
      </c>
      <c r="I113" s="3">
        <f>IFERROR(INDEX('Tagging key'!E:E, MATCH(F113,'Tagging key'!C:C,0)),"")</f>
        <v>35</v>
      </c>
      <c r="J113" s="3">
        <f>IFERROR(INDEX('Tagging key'!F:F, MATCH(F113,'Tagging key'!C:C,0)),"")</f>
        <v>23</v>
      </c>
      <c r="K113" s="3">
        <v>28.47</v>
      </c>
      <c r="L113" s="3">
        <v>68.599999999999994</v>
      </c>
      <c r="M113" s="3">
        <v>34.729999999999997</v>
      </c>
      <c r="N113" s="3">
        <v>23.89</v>
      </c>
      <c r="O113" s="3"/>
      <c r="P113" s="22">
        <v>45879</v>
      </c>
      <c r="Q113" s="22">
        <v>45879</v>
      </c>
      <c r="R113" s="3"/>
    </row>
    <row r="114" spans="1:19" x14ac:dyDescent="0.25">
      <c r="A114" s="12">
        <v>4</v>
      </c>
      <c r="B114" s="12">
        <v>2</v>
      </c>
      <c r="C114" s="12" t="s">
        <v>248</v>
      </c>
      <c r="D114" s="12" t="s">
        <v>46</v>
      </c>
      <c r="E114" s="12" t="s">
        <v>256</v>
      </c>
      <c r="F114" s="12" t="s">
        <v>257</v>
      </c>
      <c r="G114" s="3">
        <v>38.439</v>
      </c>
      <c r="H114" s="3">
        <f>IFERROR(INDEX('Tagging key'!D:D, MATCH(F114,'Tagging key'!C:C,0)),"")</f>
        <v>70</v>
      </c>
      <c r="I114" s="3">
        <f>IFERROR(INDEX('Tagging key'!E:E, MATCH(F114,'Tagging key'!C:C,0)),"")</f>
        <v>35</v>
      </c>
      <c r="J114" s="3">
        <f>IFERROR(INDEX('Tagging key'!F:F, MATCH(F114,'Tagging key'!C:C,0)),"")</f>
        <v>29</v>
      </c>
      <c r="K114" s="3">
        <v>38.616</v>
      </c>
      <c r="L114" s="3">
        <v>70.650000000000006</v>
      </c>
      <c r="M114" s="3">
        <v>35.68</v>
      </c>
      <c r="N114" s="3">
        <v>28.94</v>
      </c>
      <c r="O114" s="3"/>
      <c r="P114" s="22">
        <v>45882</v>
      </c>
      <c r="Q114" s="22">
        <v>45882</v>
      </c>
      <c r="R114" s="3">
        <v>13.742000000000001</v>
      </c>
    </row>
    <row r="115" spans="1:19" x14ac:dyDescent="0.25">
      <c r="A115" s="12">
        <v>4</v>
      </c>
      <c r="B115" s="12">
        <v>2</v>
      </c>
      <c r="C115" s="12" t="s">
        <v>248</v>
      </c>
      <c r="D115" s="12" t="s">
        <v>46</v>
      </c>
      <c r="E115" s="12" t="s">
        <v>258</v>
      </c>
      <c r="F115" s="12" t="s">
        <v>259</v>
      </c>
      <c r="G115" s="3">
        <v>70.959999999999994</v>
      </c>
      <c r="H115" s="3">
        <f>IFERROR(INDEX('Tagging key'!D:D, MATCH(F115,'Tagging key'!C:C,0)),"")</f>
        <v>83</v>
      </c>
      <c r="I115" s="3">
        <f>IFERROR(INDEX('Tagging key'!E:E, MATCH(F115,'Tagging key'!C:C,0)),"")</f>
        <v>40</v>
      </c>
      <c r="J115" s="3">
        <f>IFERROR(INDEX('Tagging key'!F:F, MATCH(F115,'Tagging key'!C:C,0)),"")</f>
        <v>33</v>
      </c>
      <c r="K115" s="3">
        <v>70.388000000000005</v>
      </c>
      <c r="L115" s="3">
        <v>86.37</v>
      </c>
      <c r="M115" s="3">
        <v>39.700000000000003</v>
      </c>
      <c r="N115" s="3">
        <v>34.770000000000003</v>
      </c>
      <c r="O115" s="3"/>
      <c r="P115" s="22">
        <v>45877</v>
      </c>
      <c r="Q115" s="22">
        <v>45877</v>
      </c>
      <c r="R115" s="3"/>
    </row>
    <row r="116" spans="1:19" x14ac:dyDescent="0.25">
      <c r="A116" s="12">
        <v>4</v>
      </c>
      <c r="B116" s="12">
        <v>2</v>
      </c>
      <c r="C116" s="12" t="s">
        <v>248</v>
      </c>
      <c r="D116" s="12" t="s">
        <v>46</v>
      </c>
      <c r="E116" s="12" t="s">
        <v>260</v>
      </c>
      <c r="F116" s="12" t="s">
        <v>261</v>
      </c>
      <c r="G116" s="3">
        <v>28.048999999999999</v>
      </c>
      <c r="H116" s="3">
        <f>IFERROR(INDEX('Tagging key'!D:D, MATCH(F116,'Tagging key'!C:C,0)),"")</f>
        <v>69</v>
      </c>
      <c r="I116" s="3">
        <f>IFERROR(INDEX('Tagging key'!E:E, MATCH(F116,'Tagging key'!C:C,0)),"")</f>
        <v>37.880000000000003</v>
      </c>
      <c r="J116" s="3">
        <f>IFERROR(INDEX('Tagging key'!F:F, MATCH(F116,'Tagging key'!C:C,0)),"")</f>
        <v>24.18</v>
      </c>
      <c r="K116" s="3">
        <v>28.576000000000001</v>
      </c>
      <c r="L116" s="3">
        <v>69.56</v>
      </c>
      <c r="M116" s="3">
        <v>33.56</v>
      </c>
      <c r="N116" s="3">
        <v>24.32</v>
      </c>
      <c r="O116" s="3"/>
      <c r="P116" s="22">
        <v>45879</v>
      </c>
      <c r="Q116" s="22">
        <v>45879</v>
      </c>
      <c r="R116" s="3"/>
    </row>
    <row r="117" spans="1:19" x14ac:dyDescent="0.25">
      <c r="A117" s="12">
        <v>4</v>
      </c>
      <c r="B117" s="12">
        <v>2</v>
      </c>
      <c r="C117" s="12" t="s">
        <v>248</v>
      </c>
      <c r="D117" s="12" t="s">
        <v>46</v>
      </c>
      <c r="E117" s="12" t="s">
        <v>262</v>
      </c>
      <c r="F117" s="12" t="s">
        <v>263</v>
      </c>
      <c r="G117" s="3">
        <v>35.765000000000001</v>
      </c>
      <c r="H117" s="3">
        <f>IFERROR(INDEX('Tagging key'!D:D, MATCH(F117,'Tagging key'!C:C,0)),"")</f>
        <v>70.739999999999995</v>
      </c>
      <c r="I117" s="3">
        <f>IFERROR(INDEX('Tagging key'!E:E, MATCH(F117,'Tagging key'!C:C,0)),"")</f>
        <v>37.94</v>
      </c>
      <c r="J117" s="3">
        <f>IFERROR(INDEX('Tagging key'!F:F, MATCH(F117,'Tagging key'!C:C,0)),"")</f>
        <v>26.72</v>
      </c>
      <c r="K117" s="3">
        <v>36.590000000000003</v>
      </c>
      <c r="L117" s="3">
        <v>70.33</v>
      </c>
      <c r="M117" s="3">
        <v>35.39</v>
      </c>
      <c r="N117" s="3">
        <v>27.04</v>
      </c>
      <c r="O117" s="3"/>
      <c r="P117" s="26">
        <v>45886</v>
      </c>
      <c r="Q117" s="26">
        <v>45886</v>
      </c>
    </row>
    <row r="118" spans="1:19" x14ac:dyDescent="0.25">
      <c r="A118" s="11">
        <v>4</v>
      </c>
      <c r="B118" s="11">
        <v>3</v>
      </c>
      <c r="C118" s="11" t="s">
        <v>248</v>
      </c>
      <c r="D118" s="11" t="s">
        <v>46</v>
      </c>
      <c r="E118" s="11" t="s">
        <v>264</v>
      </c>
      <c r="F118" s="11" t="s">
        <v>265</v>
      </c>
      <c r="G118" s="3">
        <v>47.109000000000002</v>
      </c>
      <c r="H118" s="3">
        <f>IFERROR(INDEX('Tagging key'!D:D, MATCH(F118,'Tagging key'!C:C,0)),"")</f>
        <v>76.34</v>
      </c>
      <c r="I118" s="3">
        <f>IFERROR(INDEX('Tagging key'!E:E, MATCH(F118,'Tagging key'!C:C,0)),"")</f>
        <v>43.02</v>
      </c>
      <c r="J118" s="3">
        <f>IFERROR(INDEX('Tagging key'!F:F, MATCH(F118,'Tagging key'!C:C,0)),"")</f>
        <v>29.46</v>
      </c>
      <c r="K118" s="3">
        <v>47.469000000000001</v>
      </c>
      <c r="L118" s="3">
        <v>76.099999999999994</v>
      </c>
      <c r="M118" s="3">
        <v>39.090000000000003</v>
      </c>
      <c r="N118" s="3">
        <v>30.35</v>
      </c>
      <c r="O118" s="3"/>
      <c r="P118" s="26">
        <v>45886</v>
      </c>
      <c r="Q118" s="26">
        <v>45886</v>
      </c>
    </row>
    <row r="119" spans="1:19" x14ac:dyDescent="0.25">
      <c r="A119" s="11">
        <v>4</v>
      </c>
      <c r="B119" s="11">
        <v>3</v>
      </c>
      <c r="C119" s="11" t="s">
        <v>248</v>
      </c>
      <c r="D119" s="11" t="s">
        <v>46</v>
      </c>
      <c r="E119" s="11" t="s">
        <v>266</v>
      </c>
      <c r="F119" s="11" t="s">
        <v>267</v>
      </c>
      <c r="G119" s="3">
        <v>29.998000000000001</v>
      </c>
      <c r="H119" s="3">
        <f>IFERROR(INDEX('Tagging key'!D:D, MATCH(F119,'Tagging key'!C:C,0)),"")</f>
        <v>67</v>
      </c>
      <c r="I119" s="3">
        <f>IFERROR(INDEX('Tagging key'!E:E, MATCH(F119,'Tagging key'!C:C,0)),"")</f>
        <v>36</v>
      </c>
      <c r="J119" s="3">
        <f>IFERROR(INDEX('Tagging key'!F:F, MATCH(F119,'Tagging key'!C:C,0)),"")</f>
        <v>24</v>
      </c>
      <c r="K119" s="3">
        <v>30.483000000000001</v>
      </c>
      <c r="L119" s="3">
        <v>68.37</v>
      </c>
      <c r="M119" s="3">
        <v>36.64</v>
      </c>
      <c r="N119" s="3">
        <v>24.09</v>
      </c>
      <c r="O119" s="3"/>
      <c r="P119" s="22">
        <v>45877</v>
      </c>
      <c r="Q119" s="22">
        <v>45877</v>
      </c>
      <c r="R119" s="3"/>
    </row>
    <row r="120" spans="1:19" x14ac:dyDescent="0.25">
      <c r="A120" s="11">
        <v>4</v>
      </c>
      <c r="B120" s="11">
        <v>3</v>
      </c>
      <c r="C120" s="11" t="s">
        <v>248</v>
      </c>
      <c r="D120" s="11" t="s">
        <v>46</v>
      </c>
      <c r="E120" s="11" t="s">
        <v>268</v>
      </c>
      <c r="F120" s="11" t="s">
        <v>269</v>
      </c>
      <c r="G120" s="3">
        <v>59.091000000000001</v>
      </c>
      <c r="H120" s="3">
        <f>IFERROR(INDEX('Tagging key'!D:D, MATCH(F120,'Tagging key'!C:C,0)),"")</f>
        <v>84</v>
      </c>
      <c r="I120" s="3">
        <f>IFERROR(INDEX('Tagging key'!E:E, MATCH(F120,'Tagging key'!C:C,0)),"")</f>
        <v>41.32</v>
      </c>
      <c r="J120" s="3">
        <f>IFERROR(INDEX('Tagging key'!F:F, MATCH(F120,'Tagging key'!C:C,0)),"")</f>
        <v>32.770000000000003</v>
      </c>
      <c r="K120" s="3">
        <v>59.075000000000003</v>
      </c>
      <c r="L120" s="3">
        <v>83.58</v>
      </c>
      <c r="M120" s="3">
        <v>39.33</v>
      </c>
      <c r="N120" s="3">
        <v>33.049999999999997</v>
      </c>
      <c r="O120" s="3"/>
      <c r="P120" s="22">
        <v>45879</v>
      </c>
      <c r="Q120" s="22">
        <v>45879</v>
      </c>
      <c r="R120" s="3"/>
    </row>
    <row r="121" spans="1:19" x14ac:dyDescent="0.25">
      <c r="A121" s="11">
        <v>4</v>
      </c>
      <c r="B121" s="11">
        <v>3</v>
      </c>
      <c r="C121" s="11" t="s">
        <v>248</v>
      </c>
      <c r="D121" s="11" t="s">
        <v>46</v>
      </c>
      <c r="E121" s="11" t="s">
        <v>270</v>
      </c>
      <c r="F121" s="11" t="s">
        <v>271</v>
      </c>
      <c r="G121" s="3">
        <v>55.250999999999998</v>
      </c>
      <c r="H121" s="3">
        <f>IFERROR(INDEX('Tagging key'!D:D, MATCH(F121,'Tagging key'!C:C,0)),"")</f>
        <v>84.35</v>
      </c>
      <c r="I121" s="3">
        <f>IFERROR(INDEX('Tagging key'!E:E, MATCH(F121,'Tagging key'!C:C,0)),"")</f>
        <v>43.33</v>
      </c>
      <c r="J121" s="3">
        <f>IFERROR(INDEX('Tagging key'!F:F, MATCH(F121,'Tagging key'!C:C,0)),"")</f>
        <v>31.2</v>
      </c>
      <c r="K121" s="3">
        <v>55.47</v>
      </c>
      <c r="L121" s="3">
        <v>84.33</v>
      </c>
      <c r="M121" s="3">
        <v>40.74</v>
      </c>
      <c r="N121" s="3">
        <v>31.72</v>
      </c>
      <c r="O121" s="3"/>
      <c r="P121" s="22">
        <v>45882</v>
      </c>
      <c r="Q121" s="22">
        <v>45882</v>
      </c>
      <c r="R121" s="3">
        <v>17.638000000000002</v>
      </c>
    </row>
    <row r="122" spans="1:19" x14ac:dyDescent="0.25">
      <c r="A122" s="13">
        <v>4</v>
      </c>
      <c r="B122" s="13">
        <v>4</v>
      </c>
      <c r="C122" s="13" t="s">
        <v>248</v>
      </c>
      <c r="D122" s="13" t="s">
        <v>72</v>
      </c>
      <c r="E122" s="13" t="s">
        <v>272</v>
      </c>
      <c r="F122" s="13" t="s">
        <v>273</v>
      </c>
      <c r="G122" s="3">
        <v>62.963000000000001</v>
      </c>
      <c r="H122" s="3">
        <f>IFERROR(INDEX('Tagging key'!D:D, MATCH(F122,'Tagging key'!C:C,0)),"")</f>
        <v>76.17</v>
      </c>
      <c r="I122" s="3">
        <f>IFERROR(INDEX('Tagging key'!E:E, MATCH(F122,'Tagging key'!C:C,0)),"")</f>
        <v>78.81</v>
      </c>
      <c r="J122" s="3">
        <f>IFERROR(INDEX('Tagging key'!F:F, MATCH(F122,'Tagging key'!C:C,0)),"")</f>
        <v>18.239999999999998</v>
      </c>
      <c r="K122" s="3">
        <v>57.323</v>
      </c>
      <c r="L122" s="3">
        <v>77.739999999999995</v>
      </c>
      <c r="M122" s="3">
        <v>80.38</v>
      </c>
      <c r="N122" s="3">
        <v>19.170000000000002</v>
      </c>
      <c r="O122" s="3"/>
      <c r="P122" s="22">
        <v>45879</v>
      </c>
      <c r="Q122" s="22">
        <v>45879</v>
      </c>
      <c r="R122" s="3"/>
    </row>
    <row r="123" spans="1:19" x14ac:dyDescent="0.25">
      <c r="A123" s="19">
        <v>4</v>
      </c>
      <c r="B123" s="19">
        <v>4</v>
      </c>
      <c r="C123" s="19" t="s">
        <v>248</v>
      </c>
      <c r="D123" s="19" t="s">
        <v>72</v>
      </c>
      <c r="E123" s="19" t="s">
        <v>274</v>
      </c>
      <c r="F123" s="19" t="s">
        <v>275</v>
      </c>
      <c r="G123" s="19">
        <v>67.468999999999994</v>
      </c>
      <c r="H123" s="19">
        <f>IFERROR(INDEX('Tagging key'!D:D, MATCH(F123,'Tagging key'!C:C,0)),"")</f>
        <v>76</v>
      </c>
      <c r="I123" s="19">
        <f>IFERROR(INDEX('Tagging key'!E:E, MATCH(F123,'Tagging key'!C:C,0)),"")</f>
        <v>82.5</v>
      </c>
      <c r="J123" s="19">
        <f>IFERROR(INDEX('Tagging key'!F:F, MATCH(F123,'Tagging key'!C:C,0)),"")</f>
        <v>21</v>
      </c>
      <c r="K123" s="19"/>
      <c r="L123" s="19"/>
      <c r="M123" s="19"/>
      <c r="N123" s="19"/>
      <c r="O123" s="19"/>
      <c r="P123" s="19"/>
      <c r="Q123" s="19"/>
      <c r="R123" s="19"/>
      <c r="S123" t="s">
        <v>276</v>
      </c>
    </row>
    <row r="124" spans="1:19" x14ac:dyDescent="0.25">
      <c r="A124" s="19">
        <v>4</v>
      </c>
      <c r="B124" s="19">
        <v>4</v>
      </c>
      <c r="C124" s="19" t="s">
        <v>248</v>
      </c>
      <c r="D124" s="19" t="s">
        <v>72</v>
      </c>
      <c r="E124" s="19" t="s">
        <v>277</v>
      </c>
      <c r="F124" s="19" t="s">
        <v>278</v>
      </c>
      <c r="G124" s="19">
        <v>53.317999999999998</v>
      </c>
      <c r="H124" s="19">
        <f>IFERROR(INDEX('Tagging key'!D:D, MATCH(F124,'Tagging key'!C:C,0)),"")</f>
        <v>74.73</v>
      </c>
      <c r="I124" s="19">
        <f>IFERROR(INDEX('Tagging key'!E:E, MATCH(F124,'Tagging key'!C:C,0)),"")</f>
        <v>76.36</v>
      </c>
      <c r="J124" s="19">
        <f>IFERROR(INDEX('Tagging key'!F:F, MATCH(F124,'Tagging key'!C:C,0)),"")</f>
        <v>20.87</v>
      </c>
      <c r="K124" s="19"/>
      <c r="L124" s="19"/>
      <c r="M124" s="19"/>
      <c r="N124" s="19"/>
      <c r="O124" s="19"/>
      <c r="P124" s="19"/>
      <c r="Q124" s="19"/>
      <c r="R124" s="19"/>
      <c r="S124" t="s">
        <v>276</v>
      </c>
    </row>
    <row r="125" spans="1:19" x14ac:dyDescent="0.25">
      <c r="A125" s="13">
        <v>4</v>
      </c>
      <c r="B125" s="13">
        <v>4</v>
      </c>
      <c r="C125" s="13" t="s">
        <v>248</v>
      </c>
      <c r="D125" s="13" t="s">
        <v>72</v>
      </c>
      <c r="E125" s="13" t="s">
        <v>279</v>
      </c>
      <c r="F125" s="13" t="s">
        <v>280</v>
      </c>
      <c r="G125" s="3">
        <v>58.521999999999998</v>
      </c>
      <c r="H125" s="3">
        <f>IFERROR(INDEX('Tagging key'!D:D, MATCH(F125,'Tagging key'!C:C,0)),"")</f>
        <v>79</v>
      </c>
      <c r="I125" s="3">
        <f>IFERROR(INDEX('Tagging key'!E:E, MATCH(F125,'Tagging key'!C:C,0)),"")</f>
        <v>79</v>
      </c>
      <c r="J125" s="3">
        <f>IFERROR(INDEX('Tagging key'!F:F, MATCH(F125,'Tagging key'!C:C,0)),"")</f>
        <v>19</v>
      </c>
      <c r="K125" s="3">
        <v>48.131</v>
      </c>
      <c r="L125" s="3">
        <v>79.02</v>
      </c>
      <c r="M125" s="3">
        <v>80.040000000000006</v>
      </c>
      <c r="N125" s="3">
        <v>20.68</v>
      </c>
      <c r="O125" s="3"/>
      <c r="P125" s="22">
        <v>45877</v>
      </c>
      <c r="Q125" s="22">
        <v>45877</v>
      </c>
      <c r="R125" s="3"/>
    </row>
    <row r="126" spans="1:19" x14ac:dyDescent="0.25">
      <c r="A126" s="14">
        <v>4</v>
      </c>
      <c r="B126" s="14">
        <v>5</v>
      </c>
      <c r="C126" s="14" t="s">
        <v>248</v>
      </c>
      <c r="D126" s="14" t="s">
        <v>72</v>
      </c>
      <c r="E126" s="14" t="s">
        <v>281</v>
      </c>
      <c r="F126" s="14" t="s">
        <v>282</v>
      </c>
      <c r="G126" s="3">
        <v>45.917999999999999</v>
      </c>
      <c r="H126" s="3">
        <f>IFERROR(INDEX('Tagging key'!D:D, MATCH(F126,'Tagging key'!C:C,0)),"")</f>
        <v>69.680000000000007</v>
      </c>
      <c r="I126" s="3">
        <f>IFERROR(INDEX('Tagging key'!E:E, MATCH(F126,'Tagging key'!C:C,0)),"")</f>
        <v>72.510000000000005</v>
      </c>
      <c r="J126" s="3">
        <f>IFERROR(INDEX('Tagging key'!F:F, MATCH(F126,'Tagging key'!C:C,0)),"")</f>
        <v>18.8</v>
      </c>
      <c r="K126" s="3">
        <v>39.421999999999997</v>
      </c>
      <c r="L126" s="3">
        <v>70.41</v>
      </c>
      <c r="M126" s="3">
        <v>74.12</v>
      </c>
      <c r="N126" s="3">
        <v>20.14</v>
      </c>
      <c r="O126" s="3"/>
      <c r="P126" s="26">
        <v>45886</v>
      </c>
      <c r="Q126" s="26">
        <v>45886</v>
      </c>
    </row>
    <row r="127" spans="1:19" x14ac:dyDescent="0.25">
      <c r="A127" s="14">
        <v>4</v>
      </c>
      <c r="B127" s="14">
        <v>5</v>
      </c>
      <c r="C127" s="14" t="s">
        <v>248</v>
      </c>
      <c r="D127" s="14" t="s">
        <v>72</v>
      </c>
      <c r="E127" s="14" t="s">
        <v>283</v>
      </c>
      <c r="F127" s="14" t="s">
        <v>284</v>
      </c>
      <c r="G127" s="3">
        <v>57.689</v>
      </c>
      <c r="H127" s="3">
        <f>IFERROR(INDEX('Tagging key'!D:D, MATCH(F127,'Tagging key'!C:C,0)),"")</f>
        <v>75.5</v>
      </c>
      <c r="I127" s="3">
        <f>IFERROR(INDEX('Tagging key'!E:E, MATCH(F127,'Tagging key'!C:C,0)),"")</f>
        <v>76</v>
      </c>
      <c r="J127" s="3">
        <f>IFERROR(INDEX('Tagging key'!F:F, MATCH(F127,'Tagging key'!C:C,0)),"")</f>
        <v>17</v>
      </c>
      <c r="K127" s="3">
        <v>51.753999999999998</v>
      </c>
      <c r="L127" s="3">
        <v>70.36</v>
      </c>
      <c r="M127" s="3">
        <v>82.22</v>
      </c>
      <c r="N127" s="3">
        <v>23</v>
      </c>
      <c r="O127" s="3"/>
      <c r="P127" s="22">
        <v>45877</v>
      </c>
      <c r="Q127" s="22">
        <v>45877</v>
      </c>
      <c r="R127" s="3"/>
    </row>
    <row r="128" spans="1:19" x14ac:dyDescent="0.25">
      <c r="A128" s="14">
        <v>4</v>
      </c>
      <c r="B128" s="14">
        <v>5</v>
      </c>
      <c r="C128" s="14" t="s">
        <v>248</v>
      </c>
      <c r="D128" s="14" t="s">
        <v>72</v>
      </c>
      <c r="E128" s="14" t="s">
        <v>285</v>
      </c>
      <c r="F128" s="14" t="s">
        <v>286</v>
      </c>
      <c r="G128" s="3">
        <v>54.76</v>
      </c>
      <c r="H128" s="3">
        <f>IFERROR(INDEX('Tagging key'!D:D, MATCH(F128,'Tagging key'!C:C,0)),"")</f>
        <v>73.5</v>
      </c>
      <c r="I128" s="3">
        <f>IFERROR(INDEX('Tagging key'!E:E, MATCH(F128,'Tagging key'!C:C,0)),"")</f>
        <v>78</v>
      </c>
      <c r="J128" s="3">
        <f>IFERROR(INDEX('Tagging key'!F:F, MATCH(F128,'Tagging key'!C:C,0)),"")</f>
        <v>15</v>
      </c>
      <c r="K128" s="3">
        <v>49.643000000000001</v>
      </c>
      <c r="L128" s="3">
        <v>75.06</v>
      </c>
      <c r="M128" s="3">
        <v>79.63</v>
      </c>
      <c r="N128" s="3">
        <v>18.45</v>
      </c>
      <c r="O128" s="3"/>
      <c r="P128" s="22">
        <v>45882</v>
      </c>
      <c r="Q128" s="22">
        <v>45882</v>
      </c>
      <c r="R128" s="3">
        <v>21.355</v>
      </c>
      <c r="S128" t="s">
        <v>287</v>
      </c>
    </row>
    <row r="129" spans="1:19" x14ac:dyDescent="0.25">
      <c r="A129" s="14">
        <v>4</v>
      </c>
      <c r="B129" s="14">
        <v>5</v>
      </c>
      <c r="C129" s="14" t="s">
        <v>248</v>
      </c>
      <c r="D129" s="14" t="s">
        <v>72</v>
      </c>
      <c r="E129" s="14" t="s">
        <v>288</v>
      </c>
      <c r="F129" s="14" t="s">
        <v>289</v>
      </c>
      <c r="G129" s="3">
        <v>43.148000000000003</v>
      </c>
      <c r="H129" s="3">
        <f>IFERROR(INDEX('Tagging key'!D:D, MATCH(F129,'Tagging key'!C:C,0)),"")</f>
        <v>68.5</v>
      </c>
      <c r="I129" s="3">
        <f>IFERROR(INDEX('Tagging key'!E:E, MATCH(F129,'Tagging key'!C:C,0)),"")</f>
        <v>69.5</v>
      </c>
      <c r="J129" s="3">
        <f>IFERROR(INDEX('Tagging key'!F:F, MATCH(F129,'Tagging key'!C:C,0)),"")</f>
        <v>21.5</v>
      </c>
      <c r="K129" s="3">
        <v>40.671999999999997</v>
      </c>
      <c r="L129" s="3">
        <v>68.819999999999993</v>
      </c>
      <c r="M129" s="3">
        <v>69.56</v>
      </c>
      <c r="N129" s="3">
        <v>22.02</v>
      </c>
      <c r="O129" s="3"/>
      <c r="P129" s="22">
        <v>45879</v>
      </c>
      <c r="Q129" s="22">
        <v>45879</v>
      </c>
      <c r="R129" s="3"/>
    </row>
    <row r="130" spans="1:19" x14ac:dyDescent="0.25">
      <c r="A130" s="13">
        <v>4</v>
      </c>
      <c r="B130" s="13">
        <v>6</v>
      </c>
      <c r="C130" s="13" t="s">
        <v>248</v>
      </c>
      <c r="D130" s="13" t="s">
        <v>72</v>
      </c>
      <c r="E130" s="13" t="s">
        <v>290</v>
      </c>
      <c r="F130" s="13" t="s">
        <v>291</v>
      </c>
      <c r="G130" s="3">
        <v>55.735999999999997</v>
      </c>
      <c r="H130" s="3">
        <f>IFERROR(INDEX('Tagging key'!D:D, MATCH(F130,'Tagging key'!C:C,0)),"")</f>
        <v>75</v>
      </c>
      <c r="I130" s="3">
        <f>IFERROR(INDEX('Tagging key'!E:E, MATCH(F130,'Tagging key'!C:C,0)),"")</f>
        <v>76</v>
      </c>
      <c r="J130" s="3">
        <f>IFERROR(INDEX('Tagging key'!F:F, MATCH(F130,'Tagging key'!C:C,0)),"")</f>
        <v>20</v>
      </c>
      <c r="K130" s="3">
        <v>52.33</v>
      </c>
      <c r="L130" s="3">
        <v>67.69</v>
      </c>
      <c r="M130" s="3">
        <v>78.849999999999994</v>
      </c>
      <c r="N130" s="3">
        <v>20.16</v>
      </c>
      <c r="O130" s="3"/>
      <c r="P130" s="22">
        <v>45879</v>
      </c>
      <c r="Q130" s="22">
        <v>45879</v>
      </c>
      <c r="R130" s="3"/>
    </row>
    <row r="131" spans="1:19" x14ac:dyDescent="0.25">
      <c r="A131" s="19">
        <v>4</v>
      </c>
      <c r="B131" s="19">
        <v>6</v>
      </c>
      <c r="C131" s="19" t="s">
        <v>248</v>
      </c>
      <c r="D131" s="19" t="s">
        <v>72</v>
      </c>
      <c r="E131" s="19" t="s">
        <v>292</v>
      </c>
      <c r="F131" s="19" t="s">
        <v>293</v>
      </c>
      <c r="G131" s="19">
        <v>42.317999999999998</v>
      </c>
      <c r="H131" s="19">
        <f>IFERROR(INDEX('Tagging key'!D:D, MATCH(F131,'Tagging key'!C:C,0)),"")</f>
        <v>67</v>
      </c>
      <c r="I131" s="19">
        <f>IFERROR(INDEX('Tagging key'!E:E, MATCH(F131,'Tagging key'!C:C,0)),"")</f>
        <v>68</v>
      </c>
      <c r="J131" s="19">
        <f>IFERROR(INDEX('Tagging key'!F:F, MATCH(F131,'Tagging key'!C:C,0)),"")</f>
        <v>20</v>
      </c>
      <c r="K131" s="19"/>
      <c r="L131" s="19"/>
      <c r="M131" s="19"/>
      <c r="N131" s="19"/>
      <c r="O131" s="19"/>
      <c r="P131" s="19"/>
      <c r="Q131" s="19"/>
      <c r="R131" s="19"/>
      <c r="S131" t="s">
        <v>276</v>
      </c>
    </row>
    <row r="132" spans="1:19" x14ac:dyDescent="0.25">
      <c r="A132" s="13">
        <v>4</v>
      </c>
      <c r="B132" s="13">
        <v>6</v>
      </c>
      <c r="C132" s="13" t="s">
        <v>248</v>
      </c>
      <c r="D132" s="13" t="s">
        <v>72</v>
      </c>
      <c r="E132" s="13" t="s">
        <v>294</v>
      </c>
      <c r="F132" s="13" t="s">
        <v>295</v>
      </c>
      <c r="G132" s="3">
        <v>61.975000000000001</v>
      </c>
      <c r="H132" s="3">
        <f>IFERROR(INDEX('Tagging key'!D:D, MATCH(F132,'Tagging key'!C:C,0)),"")</f>
        <v>71.5</v>
      </c>
      <c r="I132" s="3">
        <f>IFERROR(INDEX('Tagging key'!E:E, MATCH(F132,'Tagging key'!C:C,0)),"")</f>
        <v>76</v>
      </c>
      <c r="J132" s="3">
        <f>IFERROR(INDEX('Tagging key'!F:F, MATCH(F132,'Tagging key'!C:C,0)),"")</f>
        <v>21</v>
      </c>
      <c r="K132" s="3">
        <v>54.518000000000001</v>
      </c>
      <c r="L132" s="3">
        <v>74.25</v>
      </c>
      <c r="M132" s="3">
        <v>78.569999999999993</v>
      </c>
      <c r="N132" s="3">
        <v>22.47</v>
      </c>
      <c r="O132" s="3"/>
      <c r="P132" s="22">
        <v>45882</v>
      </c>
      <c r="Q132" s="22">
        <v>45882</v>
      </c>
      <c r="R132" s="3"/>
      <c r="S132" t="s">
        <v>296</v>
      </c>
    </row>
    <row r="133" spans="1:19" x14ac:dyDescent="0.25">
      <c r="A133" s="13">
        <v>4</v>
      </c>
      <c r="B133" s="13">
        <v>6</v>
      </c>
      <c r="C133" s="13" t="s">
        <v>248</v>
      </c>
      <c r="D133" s="13" t="s">
        <v>72</v>
      </c>
      <c r="E133" s="13" t="s">
        <v>297</v>
      </c>
      <c r="F133" s="13" t="s">
        <v>298</v>
      </c>
      <c r="G133" s="3">
        <v>49.31</v>
      </c>
      <c r="H133" s="3">
        <f>IFERROR(INDEX('Tagging key'!D:D, MATCH(F133,'Tagging key'!C:C,0)),"")</f>
        <v>72</v>
      </c>
      <c r="I133" s="3">
        <f>IFERROR(INDEX('Tagging key'!E:E, MATCH(F133,'Tagging key'!C:C,0)),"")</f>
        <v>74</v>
      </c>
      <c r="J133" s="3">
        <f>IFERROR(INDEX('Tagging key'!F:F, MATCH(F133,'Tagging key'!C:C,0)),"")</f>
        <v>17</v>
      </c>
      <c r="K133" s="3">
        <v>39.972000000000001</v>
      </c>
      <c r="L133" s="3">
        <v>73.010000000000005</v>
      </c>
      <c r="M133" s="3">
        <v>74.989999999999995</v>
      </c>
      <c r="N133" s="3">
        <v>19.690000000000001</v>
      </c>
      <c r="O133" s="3"/>
      <c r="P133" s="22">
        <v>45877</v>
      </c>
      <c r="Q133" s="22">
        <v>45877</v>
      </c>
      <c r="R133" s="3"/>
    </row>
    <row r="134" spans="1:19" x14ac:dyDescent="0.25">
      <c r="A134" s="8">
        <v>4</v>
      </c>
      <c r="B134" s="8">
        <v>7</v>
      </c>
      <c r="C134" s="8" t="s">
        <v>248</v>
      </c>
      <c r="D134" s="8" t="s">
        <v>16</v>
      </c>
      <c r="E134" s="8" t="s">
        <v>156</v>
      </c>
      <c r="F134" s="8" t="s">
        <v>299</v>
      </c>
      <c r="G134" s="3">
        <v>37.820999999999998</v>
      </c>
      <c r="H134" s="3">
        <f>IFERROR(INDEX('Tagging key'!D:D, MATCH(F134,'Tagging key'!C:C,0)),"")</f>
        <v>68.42</v>
      </c>
      <c r="I134" s="3">
        <f>IFERROR(INDEX('Tagging key'!E:E, MATCH(F134,'Tagging key'!C:C,0)),"")</f>
        <v>48.96</v>
      </c>
      <c r="J134" s="3">
        <f>IFERROR(INDEX('Tagging key'!F:F, MATCH(F134,'Tagging key'!C:C,0)),"")</f>
        <v>15.76</v>
      </c>
      <c r="K134" s="3">
        <v>37.756999999999998</v>
      </c>
      <c r="L134" s="3">
        <v>70.16</v>
      </c>
      <c r="M134" s="3">
        <v>44.36</v>
      </c>
      <c r="N134" s="3">
        <v>23.43</v>
      </c>
      <c r="O134" s="3"/>
      <c r="P134" s="22">
        <v>45879</v>
      </c>
      <c r="Q134" s="22">
        <v>45879</v>
      </c>
      <c r="R134" s="3"/>
    </row>
    <row r="135" spans="1:19" x14ac:dyDescent="0.25">
      <c r="A135" s="19">
        <v>4</v>
      </c>
      <c r="B135" s="19">
        <v>7</v>
      </c>
      <c r="C135" s="19" t="s">
        <v>248</v>
      </c>
      <c r="D135" s="19" t="s">
        <v>16</v>
      </c>
      <c r="E135" s="19" t="s">
        <v>300</v>
      </c>
      <c r="F135" s="19" t="s">
        <v>301</v>
      </c>
      <c r="G135" s="19">
        <v>37.433999999999997</v>
      </c>
      <c r="H135" s="19">
        <f>IFERROR(INDEX('Tagging key'!D:D, MATCH(F135,'Tagging key'!C:C,0)),"")</f>
        <v>74.64</v>
      </c>
      <c r="I135" s="19">
        <f>IFERROR(INDEX('Tagging key'!E:E, MATCH(F135,'Tagging key'!C:C,0)),"")</f>
        <v>50.03</v>
      </c>
      <c r="J135" s="19">
        <f>IFERROR(INDEX('Tagging key'!F:F, MATCH(F135,'Tagging key'!C:C,0)),"")</f>
        <v>14.57</v>
      </c>
      <c r="K135" s="19">
        <v>36.78</v>
      </c>
      <c r="L135" s="19">
        <v>74.569999999999993</v>
      </c>
      <c r="M135" s="19">
        <v>44.27</v>
      </c>
      <c r="N135" s="19">
        <v>22.44</v>
      </c>
      <c r="O135" s="19"/>
      <c r="P135" s="19"/>
      <c r="Q135" s="19"/>
      <c r="R135" s="19"/>
      <c r="S135" t="s">
        <v>302</v>
      </c>
    </row>
    <row r="136" spans="1:19" x14ac:dyDescent="0.25">
      <c r="A136" s="8">
        <v>4</v>
      </c>
      <c r="B136" s="8">
        <v>7</v>
      </c>
      <c r="C136" s="8" t="s">
        <v>248</v>
      </c>
      <c r="D136" s="8" t="s">
        <v>16</v>
      </c>
      <c r="E136" s="8" t="s">
        <v>303</v>
      </c>
      <c r="F136" s="8" t="s">
        <v>304</v>
      </c>
      <c r="G136" s="3">
        <v>37.4</v>
      </c>
      <c r="H136" s="3">
        <f>IFERROR(INDEX('Tagging key'!D:D, MATCH(F136,'Tagging key'!C:C,0)),"")</f>
        <v>78.89</v>
      </c>
      <c r="I136" s="3">
        <f>IFERROR(INDEX('Tagging key'!E:E, MATCH(F136,'Tagging key'!C:C,0)),"")</f>
        <v>53.63</v>
      </c>
      <c r="J136" s="3">
        <f>IFERROR(INDEX('Tagging key'!F:F, MATCH(F136,'Tagging key'!C:C,0)),"")</f>
        <v>16.63</v>
      </c>
      <c r="K136" s="3">
        <v>37.476999999999997</v>
      </c>
      <c r="L136" s="3">
        <v>78.13</v>
      </c>
      <c r="M136" s="3">
        <v>49.85</v>
      </c>
      <c r="N136" s="3">
        <v>16.12</v>
      </c>
      <c r="O136" s="3"/>
      <c r="P136" s="22">
        <v>45877</v>
      </c>
      <c r="Q136" s="22">
        <v>45877</v>
      </c>
      <c r="R136" s="3"/>
    </row>
    <row r="137" spans="1:19" x14ac:dyDescent="0.25">
      <c r="A137" s="8">
        <v>4</v>
      </c>
      <c r="B137" s="8">
        <v>7</v>
      </c>
      <c r="C137" s="8" t="s">
        <v>248</v>
      </c>
      <c r="D137" s="8" t="s">
        <v>16</v>
      </c>
      <c r="E137" s="8" t="s">
        <v>305</v>
      </c>
      <c r="F137" s="8" t="s">
        <v>306</v>
      </c>
      <c r="G137" s="3">
        <v>30.882999999999999</v>
      </c>
      <c r="H137" s="3">
        <f>IFERROR(INDEX('Tagging key'!D:D, MATCH(F137,'Tagging key'!C:C,0)),"")</f>
        <v>67.86</v>
      </c>
      <c r="I137" s="3">
        <f>IFERROR(INDEX('Tagging key'!E:E, MATCH(F137,'Tagging key'!C:C,0)),"")</f>
        <v>44.72</v>
      </c>
      <c r="J137" s="3">
        <f>IFERROR(INDEX('Tagging key'!F:F, MATCH(F137,'Tagging key'!C:C,0)),"")</f>
        <v>18.190000000000001</v>
      </c>
      <c r="K137" s="3">
        <v>30.277000000000001</v>
      </c>
      <c r="L137" s="3">
        <v>69.010000000000005</v>
      </c>
      <c r="M137" s="3">
        <v>43.89</v>
      </c>
      <c r="N137" s="3">
        <v>15.66</v>
      </c>
      <c r="O137" s="3"/>
      <c r="P137" s="22">
        <v>45882</v>
      </c>
      <c r="Q137" s="22">
        <v>45882</v>
      </c>
      <c r="R137" s="3">
        <v>18.268999999999998</v>
      </c>
    </row>
    <row r="138" spans="1:19" x14ac:dyDescent="0.25">
      <c r="A138" s="9">
        <v>4</v>
      </c>
      <c r="B138" s="9">
        <v>8</v>
      </c>
      <c r="C138" s="9" t="s">
        <v>248</v>
      </c>
      <c r="D138" s="9" t="s">
        <v>16</v>
      </c>
      <c r="E138" s="9" t="s">
        <v>307</v>
      </c>
      <c r="F138" s="9" t="s">
        <v>308</v>
      </c>
      <c r="G138" s="3">
        <v>32.183</v>
      </c>
      <c r="H138" s="3">
        <f>IFERROR(INDEX('Tagging key'!D:D, MATCH(F138,'Tagging key'!C:C,0)),"")</f>
        <v>70.13</v>
      </c>
      <c r="I138" s="3">
        <f>IFERROR(INDEX('Tagging key'!E:E, MATCH(F138,'Tagging key'!C:C,0)),"")</f>
        <v>51.32</v>
      </c>
      <c r="J138" s="3">
        <f>IFERROR(INDEX('Tagging key'!F:F, MATCH(F138,'Tagging key'!C:C,0)),"")</f>
        <v>16.82</v>
      </c>
      <c r="K138" s="3">
        <v>31.948</v>
      </c>
      <c r="L138" s="3">
        <v>71.2</v>
      </c>
      <c r="M138" s="3">
        <v>49.25</v>
      </c>
      <c r="N138" s="3">
        <v>23.96</v>
      </c>
      <c r="O138" s="3"/>
      <c r="P138" s="22">
        <v>45882</v>
      </c>
      <c r="Q138" s="22">
        <v>45882</v>
      </c>
      <c r="R138" s="3">
        <v>18.79</v>
      </c>
    </row>
    <row r="139" spans="1:19" x14ac:dyDescent="0.25">
      <c r="A139" s="9">
        <v>4</v>
      </c>
      <c r="B139" s="9">
        <v>8</v>
      </c>
      <c r="C139" s="9" t="s">
        <v>248</v>
      </c>
      <c r="D139" s="9" t="s">
        <v>16</v>
      </c>
      <c r="E139" s="9" t="s">
        <v>309</v>
      </c>
      <c r="F139" s="9" t="s">
        <v>310</v>
      </c>
      <c r="G139" s="3">
        <v>30.065999999999999</v>
      </c>
      <c r="H139" s="3">
        <v>68.95</v>
      </c>
      <c r="I139" s="3">
        <v>48.08</v>
      </c>
      <c r="J139" s="3">
        <v>16.989999999999998</v>
      </c>
      <c r="K139" s="3">
        <v>23.975999999999999</v>
      </c>
      <c r="L139" s="3">
        <v>69.45</v>
      </c>
      <c r="M139" s="3">
        <v>42.33</v>
      </c>
      <c r="N139" s="3">
        <v>19.579999999999998</v>
      </c>
      <c r="O139" s="3"/>
      <c r="P139" s="22">
        <v>45877</v>
      </c>
      <c r="Q139" s="22">
        <v>45877</v>
      </c>
      <c r="R139" s="3"/>
      <c r="S139" t="s">
        <v>311</v>
      </c>
    </row>
    <row r="140" spans="1:19" x14ac:dyDescent="0.25">
      <c r="A140" s="9">
        <v>4</v>
      </c>
      <c r="B140" s="9">
        <v>8</v>
      </c>
      <c r="C140" s="9" t="s">
        <v>248</v>
      </c>
      <c r="D140" s="9" t="s">
        <v>16</v>
      </c>
      <c r="E140" s="9" t="s">
        <v>312</v>
      </c>
      <c r="F140" s="9" t="s">
        <v>313</v>
      </c>
      <c r="G140" s="3">
        <v>32.683</v>
      </c>
      <c r="H140" s="3">
        <f>IFERROR(INDEX('Tagging key'!D:D, MATCH(F140,'Tagging key'!C:C,0)),"")</f>
        <v>63.94</v>
      </c>
      <c r="I140" s="3">
        <f>IFERROR(INDEX('Tagging key'!E:E, MATCH(F140,'Tagging key'!C:C,0)),"")</f>
        <v>49.26</v>
      </c>
      <c r="J140" s="3">
        <f>IFERROR(INDEX('Tagging key'!F:F, MATCH(F140,'Tagging key'!C:C,0)),"")</f>
        <v>17.100000000000001</v>
      </c>
      <c r="K140" s="3">
        <v>32.335999999999999</v>
      </c>
      <c r="L140" s="3">
        <v>64.81</v>
      </c>
      <c r="M140" s="3">
        <v>49.15</v>
      </c>
      <c r="N140" s="3">
        <v>19.170000000000002</v>
      </c>
      <c r="O140" s="3"/>
      <c r="P140" s="22">
        <v>45879</v>
      </c>
      <c r="Q140" s="22">
        <v>45879</v>
      </c>
      <c r="R140" s="3"/>
    </row>
    <row r="141" spans="1:19" x14ac:dyDescent="0.25">
      <c r="A141" s="19">
        <v>4</v>
      </c>
      <c r="B141" s="19">
        <v>8</v>
      </c>
      <c r="C141" s="19" t="s">
        <v>248</v>
      </c>
      <c r="D141" s="19" t="s">
        <v>16</v>
      </c>
      <c r="E141" s="19" t="s">
        <v>314</v>
      </c>
      <c r="F141" s="19" t="s">
        <v>315</v>
      </c>
      <c r="G141" s="19">
        <v>29.574999999999999</v>
      </c>
      <c r="H141" s="19">
        <f>IFERROR(INDEX('Tagging key'!D:D, MATCH(F141,'Tagging key'!C:C,0)),"")</f>
        <v>68</v>
      </c>
      <c r="I141" s="19">
        <f>IFERROR(INDEX('Tagging key'!E:E, MATCH(F141,'Tagging key'!C:C,0)),"")</f>
        <v>49.71</v>
      </c>
      <c r="J141" s="19">
        <f>IFERROR(INDEX('Tagging key'!F:F, MATCH(F141,'Tagging key'!C:C,0)),"")</f>
        <v>17.420000000000002</v>
      </c>
      <c r="K141" s="19"/>
      <c r="L141" s="19"/>
      <c r="M141" s="19"/>
      <c r="N141" s="19"/>
      <c r="O141" s="19"/>
      <c r="P141" s="19"/>
      <c r="Q141" s="19"/>
      <c r="R141" s="19"/>
      <c r="S141" t="s">
        <v>316</v>
      </c>
    </row>
    <row r="142" spans="1:19" x14ac:dyDescent="0.25">
      <c r="A142" s="8">
        <v>4</v>
      </c>
      <c r="B142" s="8">
        <v>9</v>
      </c>
      <c r="C142" s="8" t="s">
        <v>248</v>
      </c>
      <c r="D142" s="8" t="s">
        <v>16</v>
      </c>
      <c r="E142" s="8" t="s">
        <v>268</v>
      </c>
      <c r="F142" s="8" t="s">
        <v>317</v>
      </c>
      <c r="G142" s="3">
        <v>32.613</v>
      </c>
      <c r="H142" s="3">
        <f>IFERROR(INDEX('Tagging key'!D:D, MATCH(F142,'Tagging key'!C:C,0)),"")</f>
        <v>73.680000000000007</v>
      </c>
      <c r="I142" s="3">
        <f>IFERROR(INDEX('Tagging key'!E:E, MATCH(F142,'Tagging key'!C:C,0)),"")</f>
        <v>52.58</v>
      </c>
      <c r="J142" s="3">
        <f>IFERROR(INDEX('Tagging key'!F:F, MATCH(F142,'Tagging key'!C:C,0)),"")</f>
        <v>15.91</v>
      </c>
      <c r="K142" s="3">
        <v>31.946000000000002</v>
      </c>
      <c r="L142" s="3">
        <v>73.62</v>
      </c>
      <c r="M142" s="3">
        <v>52.37</v>
      </c>
      <c r="N142" s="3">
        <v>15.52</v>
      </c>
      <c r="O142" s="3"/>
      <c r="P142" s="26">
        <v>45886</v>
      </c>
      <c r="Q142" s="26">
        <v>45886</v>
      </c>
      <c r="R142" s="3">
        <v>19.827999999999999</v>
      </c>
    </row>
    <row r="143" spans="1:19" x14ac:dyDescent="0.25">
      <c r="A143" s="8">
        <v>4</v>
      </c>
      <c r="B143" s="8">
        <v>9</v>
      </c>
      <c r="C143" s="8" t="s">
        <v>248</v>
      </c>
      <c r="D143" s="8" t="s">
        <v>16</v>
      </c>
      <c r="E143" s="8" t="s">
        <v>318</v>
      </c>
      <c r="F143" s="8" t="s">
        <v>319</v>
      </c>
      <c r="G143" s="3">
        <v>26.513000000000002</v>
      </c>
      <c r="H143" s="3">
        <f>IFERROR(INDEX('Tagging key'!D:D, MATCH(F143,'Tagging key'!C:C,0)),"")</f>
        <v>78.69</v>
      </c>
      <c r="I143" s="3">
        <f>IFERROR(INDEX('Tagging key'!E:E, MATCH(F143,'Tagging key'!C:C,0)),"")</f>
        <v>36.97</v>
      </c>
      <c r="J143" s="3">
        <f>IFERROR(INDEX('Tagging key'!F:F, MATCH(F143,'Tagging key'!C:C,0)),"")</f>
        <v>12.58</v>
      </c>
      <c r="K143" s="3">
        <v>26.242999999999999</v>
      </c>
      <c r="L143" s="3">
        <v>79.02</v>
      </c>
      <c r="M143" s="3">
        <v>36.67</v>
      </c>
      <c r="N143" s="3">
        <v>17.66</v>
      </c>
      <c r="O143" s="3"/>
      <c r="P143" s="22">
        <v>45882</v>
      </c>
      <c r="Q143" s="22">
        <v>45882</v>
      </c>
      <c r="R143" s="3">
        <v>17.052</v>
      </c>
    </row>
    <row r="144" spans="1:19" x14ac:dyDescent="0.25">
      <c r="A144" s="8">
        <v>4</v>
      </c>
      <c r="B144" s="8">
        <v>9</v>
      </c>
      <c r="C144" s="8" t="s">
        <v>248</v>
      </c>
      <c r="D144" s="8" t="s">
        <v>16</v>
      </c>
      <c r="E144" s="8" t="s">
        <v>320</v>
      </c>
      <c r="F144" s="8" t="s">
        <v>321</v>
      </c>
      <c r="G144" s="3">
        <v>39.499000000000002</v>
      </c>
      <c r="H144" s="3">
        <f>IFERROR(INDEX('Tagging key'!D:D, MATCH(F144,'Tagging key'!C:C,0)),"")</f>
        <v>71.150000000000006</v>
      </c>
      <c r="I144" s="3">
        <f>IFERROR(INDEX('Tagging key'!E:E, MATCH(F144,'Tagging key'!C:C,0)),"")</f>
        <v>51.32</v>
      </c>
      <c r="J144" s="3">
        <f>IFERROR(INDEX('Tagging key'!F:F, MATCH(F144,'Tagging key'!C:C,0)),"")</f>
        <v>16.98</v>
      </c>
      <c r="K144" s="3">
        <v>39.325000000000003</v>
      </c>
      <c r="L144" s="3">
        <v>70.03</v>
      </c>
      <c r="M144" s="3">
        <v>48.36</v>
      </c>
      <c r="N144" s="3">
        <v>17.170000000000002</v>
      </c>
      <c r="O144" s="3"/>
      <c r="P144" s="22">
        <v>45877</v>
      </c>
      <c r="Q144" s="22">
        <v>45877</v>
      </c>
      <c r="R144" s="3"/>
    </row>
    <row r="145" spans="1:19" x14ac:dyDescent="0.25">
      <c r="A145" s="8">
        <v>4</v>
      </c>
      <c r="B145" s="8">
        <v>9</v>
      </c>
      <c r="C145" s="8" t="s">
        <v>248</v>
      </c>
      <c r="D145" s="8" t="s">
        <v>16</v>
      </c>
      <c r="E145" s="8" t="s">
        <v>322</v>
      </c>
      <c r="F145" s="8" t="s">
        <v>323</v>
      </c>
      <c r="G145" s="3">
        <v>44.271000000000001</v>
      </c>
      <c r="H145" s="3">
        <f>IFERROR(INDEX('Tagging key'!D:D, MATCH(F145,'Tagging key'!C:C,0)),"")</f>
        <v>68.14</v>
      </c>
      <c r="I145" s="3">
        <f>IFERROR(INDEX('Tagging key'!E:E, MATCH(F145,'Tagging key'!C:C,0)),"")</f>
        <v>54.19</v>
      </c>
      <c r="J145" s="3">
        <f>IFERROR(INDEX('Tagging key'!F:F, MATCH(F145,'Tagging key'!C:C,0)),"")</f>
        <v>20.58</v>
      </c>
      <c r="K145" s="3">
        <v>43.392000000000003</v>
      </c>
      <c r="L145" s="3">
        <v>69.88</v>
      </c>
      <c r="M145" s="3">
        <v>49.69</v>
      </c>
      <c r="N145" s="3">
        <v>22.52</v>
      </c>
      <c r="O145" s="3"/>
      <c r="P145" s="22">
        <v>45879</v>
      </c>
      <c r="Q145" s="22">
        <v>45879</v>
      </c>
      <c r="R145" s="3"/>
    </row>
    <row r="146" spans="1:19" x14ac:dyDescent="0.25">
      <c r="A146" s="13">
        <v>5</v>
      </c>
      <c r="B146" s="13">
        <v>1</v>
      </c>
      <c r="C146" s="13" t="s">
        <v>176</v>
      </c>
      <c r="D146" s="13" t="s">
        <v>72</v>
      </c>
      <c r="E146" s="13" t="s">
        <v>324</v>
      </c>
      <c r="F146" s="13" t="s">
        <v>325</v>
      </c>
      <c r="G146" s="3">
        <v>43.755000000000003</v>
      </c>
      <c r="H146" s="3">
        <f>IFERROR(INDEX('Tagging key'!D:D, MATCH(F146,'Tagging key'!C:C,0)),"")</f>
        <v>68</v>
      </c>
      <c r="I146" s="3">
        <f>IFERROR(INDEX('Tagging key'!E:E, MATCH(F146,'Tagging key'!C:C,0)),"")</f>
        <v>70</v>
      </c>
      <c r="J146" s="3">
        <f>IFERROR(INDEX('Tagging key'!F:F, MATCH(F146,'Tagging key'!C:C,0)),"")</f>
        <v>18</v>
      </c>
      <c r="K146" s="3">
        <v>43.707999999999998</v>
      </c>
      <c r="L146" s="3">
        <v>70.39</v>
      </c>
      <c r="M146" s="3">
        <v>71.28</v>
      </c>
      <c r="N146" s="3">
        <v>18.93</v>
      </c>
      <c r="O146" s="3"/>
      <c r="P146" s="22">
        <v>45879</v>
      </c>
      <c r="Q146" s="22">
        <v>45879</v>
      </c>
      <c r="R146" s="3"/>
    </row>
    <row r="147" spans="1:19" x14ac:dyDescent="0.25">
      <c r="A147" s="13">
        <v>5</v>
      </c>
      <c r="B147" s="13">
        <v>1</v>
      </c>
      <c r="C147" s="13" t="s">
        <v>176</v>
      </c>
      <c r="D147" s="13" t="s">
        <v>72</v>
      </c>
      <c r="E147" s="13" t="s">
        <v>326</v>
      </c>
      <c r="F147" s="13" t="s">
        <v>327</v>
      </c>
      <c r="G147" s="3">
        <v>63.424999999999997</v>
      </c>
      <c r="H147" s="3">
        <f>IFERROR(INDEX('Tagging key'!D:D, MATCH(F147,'Tagging key'!C:C,0)),"")</f>
        <v>75</v>
      </c>
      <c r="I147" s="3">
        <f>IFERROR(INDEX('Tagging key'!E:E, MATCH(F147,'Tagging key'!C:C,0)),"")</f>
        <v>80</v>
      </c>
      <c r="J147" s="3">
        <f>IFERROR(INDEX('Tagging key'!F:F, MATCH(F147,'Tagging key'!C:C,0)),"")</f>
        <v>22</v>
      </c>
      <c r="K147" s="3">
        <v>58.097999999999999</v>
      </c>
      <c r="L147" s="3">
        <v>76.23</v>
      </c>
      <c r="M147" s="3">
        <v>80.8</v>
      </c>
      <c r="N147" s="3">
        <v>22.99</v>
      </c>
      <c r="O147" s="3"/>
      <c r="P147" s="22">
        <v>45877</v>
      </c>
      <c r="Q147" s="22">
        <v>45877</v>
      </c>
      <c r="R147" s="3"/>
    </row>
    <row r="148" spans="1:19" x14ac:dyDescent="0.25">
      <c r="A148" s="13">
        <v>5</v>
      </c>
      <c r="B148" s="13">
        <v>1</v>
      </c>
      <c r="C148" s="13" t="s">
        <v>176</v>
      </c>
      <c r="D148" s="13" t="s">
        <v>72</v>
      </c>
      <c r="E148" s="13" t="s">
        <v>328</v>
      </c>
      <c r="F148" s="13" t="s">
        <v>329</v>
      </c>
      <c r="G148" s="3">
        <v>59.975000000000001</v>
      </c>
      <c r="H148" s="3">
        <f>IFERROR(INDEX('Tagging key'!D:D, MATCH(F148,'Tagging key'!C:C,0)),"")</f>
        <v>78</v>
      </c>
      <c r="I148" s="3">
        <f>IFERROR(INDEX('Tagging key'!E:E, MATCH(F148,'Tagging key'!C:C,0)),"")</f>
        <v>81</v>
      </c>
      <c r="J148" s="3">
        <f>IFERROR(INDEX('Tagging key'!F:F, MATCH(F148,'Tagging key'!C:C,0)),"")</f>
        <v>21</v>
      </c>
      <c r="K148" s="3">
        <v>58.625999999999998</v>
      </c>
      <c r="L148" s="3">
        <v>79.16</v>
      </c>
      <c r="M148" s="3">
        <v>80.98</v>
      </c>
      <c r="N148" s="3">
        <v>21.69</v>
      </c>
      <c r="O148" s="3"/>
      <c r="P148" s="22">
        <v>45882</v>
      </c>
      <c r="Q148" s="22">
        <v>45882</v>
      </c>
      <c r="R148" s="3">
        <v>21.254999999999999</v>
      </c>
    </row>
    <row r="149" spans="1:19" x14ac:dyDescent="0.25">
      <c r="A149" s="13">
        <v>5</v>
      </c>
      <c r="B149" s="13">
        <v>1</v>
      </c>
      <c r="C149" s="13" t="s">
        <v>176</v>
      </c>
      <c r="D149" s="13" t="s">
        <v>72</v>
      </c>
      <c r="E149" s="13" t="s">
        <v>330</v>
      </c>
      <c r="F149" s="13" t="s">
        <v>331</v>
      </c>
      <c r="G149" s="3">
        <v>69.343999999999994</v>
      </c>
      <c r="H149" s="3">
        <f>IFERROR(INDEX('Tagging key'!D:D, MATCH(F149,'Tagging key'!C:C,0)),"")</f>
        <v>76</v>
      </c>
      <c r="I149" s="3">
        <f>IFERROR(INDEX('Tagging key'!E:E, MATCH(F149,'Tagging key'!C:C,0)),"")</f>
        <v>86</v>
      </c>
      <c r="J149" s="3">
        <f>IFERROR(INDEX('Tagging key'!F:F, MATCH(F149,'Tagging key'!C:C,0)),"")</f>
        <v>21</v>
      </c>
      <c r="K149" s="3">
        <v>65.557000000000002</v>
      </c>
      <c r="L149" s="3">
        <v>77.260000000000005</v>
      </c>
      <c r="M149" s="3">
        <v>86.93</v>
      </c>
      <c r="N149" s="3">
        <v>24.16</v>
      </c>
      <c r="O149" s="3"/>
      <c r="P149" s="26">
        <v>45886</v>
      </c>
      <c r="Q149" s="26">
        <v>45886</v>
      </c>
      <c r="R149" s="3">
        <v>27.847000000000001</v>
      </c>
    </row>
    <row r="150" spans="1:19" x14ac:dyDescent="0.25">
      <c r="A150" s="14">
        <v>5</v>
      </c>
      <c r="B150" s="14">
        <v>2</v>
      </c>
      <c r="C150" s="14" t="s">
        <v>176</v>
      </c>
      <c r="D150" s="14" t="s">
        <v>72</v>
      </c>
      <c r="E150" s="14" t="s">
        <v>332</v>
      </c>
      <c r="F150" s="14" t="s">
        <v>333</v>
      </c>
      <c r="G150" s="3">
        <v>42.674999999999997</v>
      </c>
      <c r="H150" s="3">
        <f>IFERROR(INDEX('Tagging key'!D:D, MATCH(F150,'Tagging key'!C:C,0)),"")</f>
        <v>68</v>
      </c>
      <c r="I150" s="3">
        <f>IFERROR(INDEX('Tagging key'!E:E, MATCH(F150,'Tagging key'!C:C,0)),"")</f>
        <v>72</v>
      </c>
      <c r="J150" s="3">
        <f>IFERROR(INDEX('Tagging key'!F:F, MATCH(F150,'Tagging key'!C:C,0)),"")</f>
        <v>12</v>
      </c>
      <c r="K150" s="3">
        <v>41.712000000000003</v>
      </c>
      <c r="L150" s="3">
        <v>70.37</v>
      </c>
      <c r="M150" s="3">
        <v>73.75</v>
      </c>
      <c r="N150" s="3">
        <v>19.2</v>
      </c>
      <c r="O150" s="3"/>
      <c r="P150" s="22">
        <v>45877</v>
      </c>
      <c r="Q150" s="22">
        <v>45877</v>
      </c>
      <c r="R150" s="3"/>
    </row>
    <row r="151" spans="1:19" x14ac:dyDescent="0.25">
      <c r="A151" s="14">
        <v>5</v>
      </c>
      <c r="B151" s="14">
        <v>2</v>
      </c>
      <c r="C151" s="14" t="s">
        <v>176</v>
      </c>
      <c r="D151" s="14" t="s">
        <v>72</v>
      </c>
      <c r="E151" s="14" t="s">
        <v>334</v>
      </c>
      <c r="F151" s="14" t="s">
        <v>335</v>
      </c>
      <c r="G151" s="3">
        <v>53.831000000000003</v>
      </c>
      <c r="H151" s="3">
        <f>IFERROR(INDEX('Tagging key'!D:D, MATCH(F151,'Tagging key'!C:C,0)),"")</f>
        <v>71</v>
      </c>
      <c r="I151" s="3">
        <f>IFERROR(INDEX('Tagging key'!E:E, MATCH(F151,'Tagging key'!C:C,0)),"")</f>
        <v>76.5</v>
      </c>
      <c r="J151" s="3">
        <f>IFERROR(INDEX('Tagging key'!F:F, MATCH(F151,'Tagging key'!C:C,0)),"")</f>
        <v>20</v>
      </c>
      <c r="K151" s="3">
        <v>51.814999999999998</v>
      </c>
      <c r="L151" s="3">
        <v>72.22</v>
      </c>
      <c r="M151" s="3">
        <v>78.599999999999994</v>
      </c>
      <c r="N151" s="3">
        <v>23.68</v>
      </c>
      <c r="O151" s="3"/>
      <c r="P151" s="26">
        <v>45886</v>
      </c>
      <c r="Q151" s="26">
        <v>45886</v>
      </c>
      <c r="R151" s="3">
        <v>20.853999999999999</v>
      </c>
    </row>
    <row r="152" spans="1:19" x14ac:dyDescent="0.25">
      <c r="A152" s="14">
        <v>5</v>
      </c>
      <c r="B152" s="14">
        <v>2</v>
      </c>
      <c r="C152" s="14" t="s">
        <v>176</v>
      </c>
      <c r="D152" s="14" t="s">
        <v>72</v>
      </c>
      <c r="E152" s="14" t="s">
        <v>336</v>
      </c>
      <c r="F152" s="14" t="s">
        <v>337</v>
      </c>
      <c r="G152" s="3">
        <v>59.359000000000002</v>
      </c>
      <c r="H152" s="3">
        <f>IFERROR(INDEX('Tagging key'!D:D, MATCH(F152,'Tagging key'!C:C,0)),"")</f>
        <v>76.2</v>
      </c>
      <c r="I152" s="3">
        <f>IFERROR(INDEX('Tagging key'!E:E, MATCH(F152,'Tagging key'!C:C,0)),"")</f>
        <v>76.22</v>
      </c>
      <c r="J152" s="3">
        <f>IFERROR(INDEX('Tagging key'!F:F, MATCH(F152,'Tagging key'!C:C,0)),"")</f>
        <v>18.059999999999999</v>
      </c>
      <c r="K152" s="3">
        <v>55.965000000000003</v>
      </c>
      <c r="L152" s="3">
        <v>77.12</v>
      </c>
      <c r="M152" s="3">
        <v>78.459999999999994</v>
      </c>
      <c r="N152" s="3">
        <v>18.87</v>
      </c>
      <c r="O152" s="3"/>
      <c r="P152" s="22">
        <v>45882</v>
      </c>
      <c r="Q152" s="22">
        <v>45882</v>
      </c>
      <c r="R152" s="3">
        <v>29.965</v>
      </c>
    </row>
    <row r="153" spans="1:19" x14ac:dyDescent="0.25">
      <c r="A153" s="14">
        <v>5</v>
      </c>
      <c r="B153" s="14">
        <v>2</v>
      </c>
      <c r="C153" s="14" t="s">
        <v>176</v>
      </c>
      <c r="D153" s="14" t="s">
        <v>72</v>
      </c>
      <c r="E153" s="14" t="s">
        <v>338</v>
      </c>
      <c r="F153" s="14" t="s">
        <v>339</v>
      </c>
      <c r="G153" s="3">
        <v>42.575000000000003</v>
      </c>
      <c r="H153" s="3">
        <f>IFERROR(INDEX('Tagging key'!D:D, MATCH(F153,'Tagging key'!C:C,0)),"")</f>
        <v>71</v>
      </c>
      <c r="I153" s="3">
        <f>IFERROR(INDEX('Tagging key'!E:E, MATCH(F153,'Tagging key'!C:C,0)),"")</f>
        <v>74</v>
      </c>
      <c r="J153" s="3">
        <f>IFERROR(INDEX('Tagging key'!F:F, MATCH(F153,'Tagging key'!C:C,0)),"")</f>
        <v>16</v>
      </c>
      <c r="K153" s="3">
        <v>40.912999999999997</v>
      </c>
      <c r="L153" s="3">
        <v>73.06</v>
      </c>
      <c r="M153" s="3">
        <v>75.33</v>
      </c>
      <c r="N153" s="3">
        <v>18.52</v>
      </c>
      <c r="O153" s="3"/>
      <c r="P153" s="22">
        <v>45879</v>
      </c>
      <c r="Q153" s="22">
        <v>45879</v>
      </c>
      <c r="R153" s="3"/>
    </row>
    <row r="154" spans="1:19" x14ac:dyDescent="0.25">
      <c r="A154" s="13">
        <v>5</v>
      </c>
      <c r="B154" s="13">
        <v>3</v>
      </c>
      <c r="C154" s="13" t="s">
        <v>176</v>
      </c>
      <c r="D154" s="13" t="s">
        <v>72</v>
      </c>
      <c r="E154" s="13" t="s">
        <v>340</v>
      </c>
      <c r="F154" s="13" t="s">
        <v>341</v>
      </c>
      <c r="G154" s="3">
        <v>54.927</v>
      </c>
      <c r="H154" s="3">
        <f>IFERROR(INDEX('Tagging key'!D:D, MATCH(F154,'Tagging key'!C:C,0)),"")</f>
        <v>74</v>
      </c>
      <c r="I154" s="3">
        <f>IFERROR(INDEX('Tagging key'!E:E, MATCH(F154,'Tagging key'!C:C,0)),"")</f>
        <v>75</v>
      </c>
      <c r="J154" s="3">
        <f>IFERROR(INDEX('Tagging key'!F:F, MATCH(F154,'Tagging key'!C:C,0)),"")</f>
        <v>22</v>
      </c>
      <c r="K154" s="3">
        <v>55.720999999999997</v>
      </c>
      <c r="L154" s="3">
        <v>74.31</v>
      </c>
      <c r="M154" s="3">
        <v>76.63</v>
      </c>
      <c r="N154" s="3">
        <v>23.16</v>
      </c>
      <c r="O154" s="3"/>
      <c r="P154" s="22">
        <v>45882</v>
      </c>
      <c r="Q154" s="22">
        <v>45882</v>
      </c>
      <c r="R154" s="3"/>
    </row>
    <row r="155" spans="1:19" x14ac:dyDescent="0.25">
      <c r="A155" s="13">
        <v>5</v>
      </c>
      <c r="B155" s="13">
        <v>3</v>
      </c>
      <c r="C155" s="13" t="s">
        <v>176</v>
      </c>
      <c r="D155" s="13" t="s">
        <v>72</v>
      </c>
      <c r="E155" s="13" t="s">
        <v>342</v>
      </c>
      <c r="F155" s="13" t="s">
        <v>343</v>
      </c>
      <c r="G155" s="3">
        <v>58.896999999999998</v>
      </c>
      <c r="H155" s="3">
        <f>IFERROR(INDEX('Tagging key'!D:D, MATCH(F155,'Tagging key'!C:C,0)),"")</f>
        <v>72</v>
      </c>
      <c r="I155" s="3">
        <f>IFERROR(INDEX('Tagging key'!E:E, MATCH(F155,'Tagging key'!C:C,0)),"")</f>
        <v>78</v>
      </c>
      <c r="J155" s="3">
        <f>IFERROR(INDEX('Tagging key'!F:F, MATCH(F155,'Tagging key'!C:C,0)),"")</f>
        <v>22</v>
      </c>
      <c r="K155" s="3">
        <v>61.057000000000002</v>
      </c>
      <c r="L155" s="3">
        <v>73.63</v>
      </c>
      <c r="M155" s="3">
        <v>78.91</v>
      </c>
      <c r="N155" s="3">
        <v>22.88</v>
      </c>
      <c r="O155" s="3"/>
      <c r="P155" s="22">
        <v>45882</v>
      </c>
      <c r="Q155" s="22">
        <v>45882</v>
      </c>
      <c r="R155" s="3">
        <v>24.170999999999999</v>
      </c>
    </row>
    <row r="156" spans="1:19" x14ac:dyDescent="0.25">
      <c r="A156" s="13">
        <v>5</v>
      </c>
      <c r="B156" s="13">
        <v>3</v>
      </c>
      <c r="C156" s="13" t="s">
        <v>176</v>
      </c>
      <c r="D156" s="13" t="s">
        <v>72</v>
      </c>
      <c r="E156" s="13" t="s">
        <v>344</v>
      </c>
      <c r="F156" s="13" t="s">
        <v>345</v>
      </c>
      <c r="G156" s="3">
        <v>65.573999999999998</v>
      </c>
      <c r="H156" s="3">
        <f>IFERROR(INDEX('Tagging key'!D:D, MATCH(F156,'Tagging key'!C:C,0)),"")</f>
        <v>77</v>
      </c>
      <c r="I156" s="3">
        <f>IFERROR(INDEX('Tagging key'!E:E, MATCH(F156,'Tagging key'!C:C,0)),"")</f>
        <v>81</v>
      </c>
      <c r="J156" s="3">
        <f>IFERROR(INDEX('Tagging key'!F:F, MATCH(F156,'Tagging key'!C:C,0)),"")</f>
        <v>22</v>
      </c>
      <c r="K156" s="3">
        <v>63.646999999999998</v>
      </c>
      <c r="L156" s="3">
        <v>80.16</v>
      </c>
      <c r="M156" s="3">
        <v>82.51</v>
      </c>
      <c r="N156" s="3">
        <v>23.36</v>
      </c>
      <c r="O156" s="3"/>
      <c r="P156" s="26">
        <v>45886</v>
      </c>
      <c r="Q156" s="26">
        <v>45886</v>
      </c>
      <c r="S156" t="s">
        <v>346</v>
      </c>
    </row>
    <row r="157" spans="1:19" x14ac:dyDescent="0.25">
      <c r="A157" s="13">
        <v>5</v>
      </c>
      <c r="B157" s="13">
        <v>3</v>
      </c>
      <c r="C157" s="13" t="s">
        <v>176</v>
      </c>
      <c r="D157" s="13" t="s">
        <v>72</v>
      </c>
      <c r="E157" s="13" t="s">
        <v>347</v>
      </c>
      <c r="F157" s="13" t="s">
        <v>348</v>
      </c>
      <c r="G157" s="3">
        <v>50.185000000000002</v>
      </c>
      <c r="H157" s="3">
        <f>IFERROR(INDEX('Tagging key'!D:D, MATCH(F157,'Tagging key'!C:C,0)),"")</f>
        <v>71</v>
      </c>
      <c r="I157" s="3">
        <f>IFERROR(INDEX('Tagging key'!E:E, MATCH(F157,'Tagging key'!C:C,0)),"")</f>
        <v>77</v>
      </c>
      <c r="J157" s="3">
        <f>IFERROR(INDEX('Tagging key'!F:F, MATCH(F157,'Tagging key'!C:C,0)),"")</f>
        <v>19</v>
      </c>
      <c r="K157" s="3">
        <v>49.307000000000002</v>
      </c>
      <c r="L157" s="3">
        <v>43.17</v>
      </c>
      <c r="M157" s="3">
        <v>76.61</v>
      </c>
      <c r="N157" s="3">
        <v>22.75</v>
      </c>
      <c r="O157" s="3"/>
      <c r="P157" s="22">
        <v>45877</v>
      </c>
      <c r="Q157" s="22">
        <v>45877</v>
      </c>
      <c r="R157" s="3"/>
    </row>
    <row r="158" spans="1:19" x14ac:dyDescent="0.25">
      <c r="A158" s="8">
        <v>5</v>
      </c>
      <c r="B158" s="8">
        <v>4</v>
      </c>
      <c r="C158" s="8" t="s">
        <v>176</v>
      </c>
      <c r="D158" s="8" t="s">
        <v>16</v>
      </c>
      <c r="E158" s="8" t="s">
        <v>349</v>
      </c>
      <c r="F158" s="8" t="s">
        <v>350</v>
      </c>
      <c r="G158" s="3">
        <v>28.88</v>
      </c>
      <c r="H158" s="3">
        <f>IFERROR(INDEX('Tagging key'!D:D, MATCH(F158,'Tagging key'!C:C,0)),"")</f>
        <v>67.25</v>
      </c>
      <c r="I158" s="3">
        <f>IFERROR(INDEX('Tagging key'!E:E, MATCH(F158,'Tagging key'!C:C,0)),"")</f>
        <v>46.17</v>
      </c>
      <c r="J158" s="3">
        <f>IFERROR(INDEX('Tagging key'!F:F, MATCH(F158,'Tagging key'!C:C,0)),"")</f>
        <v>14.38</v>
      </c>
      <c r="K158" s="3">
        <v>28.667000000000002</v>
      </c>
      <c r="L158" s="3">
        <v>67.760000000000005</v>
      </c>
      <c r="M158" s="3">
        <v>43.17</v>
      </c>
      <c r="N158" s="3">
        <v>14.45</v>
      </c>
      <c r="O158" s="3"/>
      <c r="P158" s="22">
        <v>45879</v>
      </c>
      <c r="Q158" s="22">
        <v>45879</v>
      </c>
      <c r="R158" s="3"/>
    </row>
    <row r="159" spans="1:19" x14ac:dyDescent="0.25">
      <c r="A159" s="8">
        <v>5</v>
      </c>
      <c r="B159" s="8">
        <v>4</v>
      </c>
      <c r="C159" s="8" t="s">
        <v>176</v>
      </c>
      <c r="D159" s="8" t="s">
        <v>16</v>
      </c>
      <c r="E159" s="8" t="s">
        <v>351</v>
      </c>
      <c r="F159" s="8" t="s">
        <v>352</v>
      </c>
      <c r="G159" s="3">
        <v>38.738</v>
      </c>
      <c r="H159" s="3">
        <f>IFERROR(INDEX('Tagging key'!D:D, MATCH(F159,'Tagging key'!C:C,0)),"")</f>
        <v>62.31</v>
      </c>
      <c r="I159" s="3">
        <f>IFERROR(INDEX('Tagging key'!E:E, MATCH(F159,'Tagging key'!C:C,0)),"")</f>
        <v>58.73</v>
      </c>
      <c r="J159" s="3">
        <f>IFERROR(INDEX('Tagging key'!F:F, MATCH(F159,'Tagging key'!C:C,0)),"")</f>
        <v>18.63</v>
      </c>
      <c r="K159" s="3">
        <v>38.226999999999997</v>
      </c>
      <c r="L159" s="3">
        <v>64.650000000000006</v>
      </c>
      <c r="M159" s="3">
        <v>47.02</v>
      </c>
      <c r="N159" s="3">
        <v>23.41</v>
      </c>
      <c r="O159" s="3"/>
      <c r="P159" s="26">
        <v>45886</v>
      </c>
      <c r="Q159" s="26">
        <v>45886</v>
      </c>
      <c r="R159" s="3">
        <v>25.210999999999999</v>
      </c>
    </row>
    <row r="160" spans="1:19" x14ac:dyDescent="0.25">
      <c r="A160" s="8">
        <v>5</v>
      </c>
      <c r="B160" s="8">
        <v>4</v>
      </c>
      <c r="C160" s="8" t="s">
        <v>176</v>
      </c>
      <c r="D160" s="8" t="s">
        <v>16</v>
      </c>
      <c r="E160" s="8" t="s">
        <v>353</v>
      </c>
      <c r="F160" s="8" t="s">
        <v>354</v>
      </c>
      <c r="G160" s="3">
        <v>23.027999999999999</v>
      </c>
      <c r="H160" s="3">
        <f>IFERROR(INDEX('Tagging key'!D:D, MATCH(F160,'Tagging key'!C:C,0)),"")</f>
        <v>61.21</v>
      </c>
      <c r="I160" s="3">
        <f>IFERROR(INDEX('Tagging key'!E:E, MATCH(F160,'Tagging key'!C:C,0)),"")</f>
        <v>42.25</v>
      </c>
      <c r="J160" s="3">
        <f>IFERROR(INDEX('Tagging key'!F:F, MATCH(F160,'Tagging key'!C:C,0)),"")</f>
        <v>14.03</v>
      </c>
      <c r="K160" s="3">
        <v>22.686</v>
      </c>
      <c r="L160" s="3">
        <v>61.27</v>
      </c>
      <c r="M160" s="3">
        <v>42</v>
      </c>
      <c r="N160" s="3">
        <v>14.31</v>
      </c>
      <c r="O160" s="3"/>
      <c r="P160" s="22">
        <v>45877</v>
      </c>
      <c r="Q160" s="22">
        <v>45877</v>
      </c>
      <c r="R160" s="3"/>
    </row>
    <row r="161" spans="1:19" x14ac:dyDescent="0.25">
      <c r="A161" s="8">
        <v>5</v>
      </c>
      <c r="B161" s="8">
        <v>4</v>
      </c>
      <c r="C161" s="8" t="s">
        <v>176</v>
      </c>
      <c r="D161" s="8" t="s">
        <v>16</v>
      </c>
      <c r="E161" s="8" t="s">
        <v>355</v>
      </c>
      <c r="F161" s="8" t="s">
        <v>356</v>
      </c>
      <c r="G161" s="3">
        <v>34.048999999999999</v>
      </c>
      <c r="H161" s="3">
        <f>IFERROR(INDEX('Tagging key'!D:D, MATCH(F161,'Tagging key'!C:C,0)),"")</f>
        <v>64.290000000000006</v>
      </c>
      <c r="I161" s="3">
        <f>IFERROR(INDEX('Tagging key'!E:E, MATCH(F161,'Tagging key'!C:C,0)),"")</f>
        <v>52.58</v>
      </c>
      <c r="J161" s="3">
        <f>IFERROR(INDEX('Tagging key'!F:F, MATCH(F161,'Tagging key'!C:C,0)),"")</f>
        <v>17.86</v>
      </c>
      <c r="K161" s="3">
        <v>33.639000000000003</v>
      </c>
      <c r="L161" s="3">
        <v>28.82</v>
      </c>
      <c r="M161" s="3">
        <v>28.9</v>
      </c>
      <c r="N161" s="3">
        <v>10.28</v>
      </c>
      <c r="O161" s="3"/>
      <c r="P161" s="22">
        <v>45882</v>
      </c>
      <c r="Q161" s="22">
        <v>45882</v>
      </c>
      <c r="R161" s="3"/>
      <c r="S161" t="s">
        <v>357</v>
      </c>
    </row>
    <row r="162" spans="1:19" x14ac:dyDescent="0.25">
      <c r="A162" s="9">
        <v>5</v>
      </c>
      <c r="B162" s="9">
        <v>5</v>
      </c>
      <c r="C162" s="9" t="s">
        <v>176</v>
      </c>
      <c r="D162" s="9" t="s">
        <v>16</v>
      </c>
      <c r="E162" s="9" t="s">
        <v>358</v>
      </c>
      <c r="F162" s="9" t="s">
        <v>359</v>
      </c>
      <c r="G162" s="3">
        <v>37.622</v>
      </c>
      <c r="H162" s="3">
        <f>IFERROR(INDEX('Tagging key'!D:D, MATCH(F162,'Tagging key'!C:C,0)),"")</f>
        <v>63.66</v>
      </c>
      <c r="I162" s="3">
        <f>IFERROR(INDEX('Tagging key'!E:E, MATCH(F162,'Tagging key'!C:C,0)),"")</f>
        <v>53.06</v>
      </c>
      <c r="J162" s="3">
        <f>IFERROR(INDEX('Tagging key'!F:F, MATCH(F162,'Tagging key'!C:C,0)),"")</f>
        <v>18.62</v>
      </c>
      <c r="K162" s="3">
        <v>37.49</v>
      </c>
      <c r="L162" s="3">
        <v>65.84</v>
      </c>
      <c r="M162" s="3">
        <v>49.46</v>
      </c>
      <c r="N162" s="3">
        <v>19.649999999999999</v>
      </c>
      <c r="O162" s="3"/>
      <c r="P162" s="26">
        <v>45886</v>
      </c>
      <c r="Q162" s="26">
        <v>45886</v>
      </c>
      <c r="S162" t="s">
        <v>360</v>
      </c>
    </row>
    <row r="163" spans="1:19" x14ac:dyDescent="0.25">
      <c r="A163" s="9">
        <v>5</v>
      </c>
      <c r="B163" s="9">
        <v>5</v>
      </c>
      <c r="C163" s="9" t="s">
        <v>176</v>
      </c>
      <c r="D163" s="9" t="s">
        <v>16</v>
      </c>
      <c r="E163" s="9" t="s">
        <v>361</v>
      </c>
      <c r="F163" s="9" t="s">
        <v>362</v>
      </c>
      <c r="G163" s="3">
        <v>28.902999999999999</v>
      </c>
      <c r="H163" s="3">
        <f>IFERROR(INDEX('Tagging key'!D:D, MATCH(F163,'Tagging key'!C:C,0)),"")</f>
        <v>53.55</v>
      </c>
      <c r="I163" s="3">
        <f>IFERROR(INDEX('Tagging key'!E:E, MATCH(F163,'Tagging key'!C:C,0)),"")</f>
        <v>49.5</v>
      </c>
      <c r="J163" s="3">
        <f>IFERROR(INDEX('Tagging key'!F:F, MATCH(F163,'Tagging key'!C:C,0)),"")</f>
        <v>13.77</v>
      </c>
      <c r="K163" s="3">
        <v>28.629000000000001</v>
      </c>
      <c r="L163" s="3">
        <v>62.68</v>
      </c>
      <c r="M163" s="3">
        <v>57.26</v>
      </c>
      <c r="N163" s="3">
        <v>18.52</v>
      </c>
      <c r="O163" s="3"/>
      <c r="P163" s="22">
        <v>45879</v>
      </c>
      <c r="Q163" s="22">
        <v>45879</v>
      </c>
      <c r="R163" s="3"/>
    </row>
    <row r="164" spans="1:19" x14ac:dyDescent="0.25">
      <c r="A164" s="9">
        <v>5</v>
      </c>
      <c r="B164" s="9">
        <v>5</v>
      </c>
      <c r="C164" s="9" t="s">
        <v>176</v>
      </c>
      <c r="D164" s="9" t="s">
        <v>16</v>
      </c>
      <c r="E164" s="9" t="s">
        <v>363</v>
      </c>
      <c r="F164" s="9" t="s">
        <v>364</v>
      </c>
      <c r="G164" s="3">
        <v>24.001000000000001</v>
      </c>
      <c r="H164" s="3">
        <f>IFERROR(INDEX('Tagging key'!D:D, MATCH(F164,'Tagging key'!C:C,0)),"")</f>
        <v>57.97</v>
      </c>
      <c r="I164" s="3">
        <f>IFERROR(INDEX('Tagging key'!E:E, MATCH(F164,'Tagging key'!C:C,0)),"")</f>
        <v>40.11</v>
      </c>
      <c r="J164" s="3">
        <f>IFERROR(INDEX('Tagging key'!F:F, MATCH(F164,'Tagging key'!C:C,0)),"")</f>
        <v>14.36</v>
      </c>
      <c r="K164" s="3">
        <v>23.939</v>
      </c>
      <c r="L164" s="3">
        <v>50.09</v>
      </c>
      <c r="M164" s="3">
        <v>39.71</v>
      </c>
      <c r="N164" s="3">
        <v>15.22</v>
      </c>
      <c r="O164" s="3"/>
      <c r="P164" s="22">
        <v>45882</v>
      </c>
      <c r="Q164" s="22">
        <v>45882</v>
      </c>
      <c r="R164" s="3">
        <v>17.045999999999999</v>
      </c>
    </row>
    <row r="165" spans="1:19" x14ac:dyDescent="0.25">
      <c r="A165" s="9">
        <v>5</v>
      </c>
      <c r="B165" s="9">
        <v>5</v>
      </c>
      <c r="C165" s="9" t="s">
        <v>176</v>
      </c>
      <c r="D165" s="9" t="s">
        <v>16</v>
      </c>
      <c r="E165" s="9" t="s">
        <v>53</v>
      </c>
      <c r="F165" s="9" t="s">
        <v>365</v>
      </c>
      <c r="G165" s="3">
        <v>30.641999999999999</v>
      </c>
      <c r="H165" s="3">
        <f>IFERROR(INDEX('Tagging key'!D:D, MATCH(F165,'Tagging key'!C:C,0)),"")</f>
        <v>68.61</v>
      </c>
      <c r="I165" s="3">
        <f>IFERROR(INDEX('Tagging key'!E:E, MATCH(F165,'Tagging key'!C:C,0)),"")</f>
        <v>48.68</v>
      </c>
      <c r="J165" s="3">
        <f>IFERROR(INDEX('Tagging key'!F:F, MATCH(F165,'Tagging key'!C:C,0)),"")</f>
        <v>19.100000000000001</v>
      </c>
      <c r="K165" s="3">
        <v>30.504000000000001</v>
      </c>
      <c r="L165" s="3">
        <v>70.45</v>
      </c>
      <c r="M165" s="3">
        <v>40.46</v>
      </c>
      <c r="N165" s="3">
        <v>18.87</v>
      </c>
      <c r="O165" s="3"/>
      <c r="P165" s="22">
        <v>45877</v>
      </c>
      <c r="Q165" s="22">
        <v>45877</v>
      </c>
      <c r="R165" s="3"/>
    </row>
    <row r="166" spans="1:19" x14ac:dyDescent="0.25">
      <c r="A166" s="8">
        <v>5</v>
      </c>
      <c r="B166" s="8">
        <v>6</v>
      </c>
      <c r="C166" s="8" t="s">
        <v>176</v>
      </c>
      <c r="D166" s="8" t="s">
        <v>16</v>
      </c>
      <c r="E166" s="8" t="s">
        <v>366</v>
      </c>
      <c r="F166" s="8" t="s">
        <v>367</v>
      </c>
      <c r="G166" s="3">
        <v>28.300999999999998</v>
      </c>
      <c r="H166" s="3">
        <f>IFERROR(INDEX('Tagging key'!D:D, MATCH(F166,'Tagging key'!C:C,0)),"")</f>
        <v>67.48</v>
      </c>
      <c r="I166" s="3">
        <f>IFERROR(INDEX('Tagging key'!E:E, MATCH(F166,'Tagging key'!C:C,0)),"")</f>
        <v>40.08</v>
      </c>
      <c r="J166" s="3">
        <f>IFERROR(INDEX('Tagging key'!F:F, MATCH(F166,'Tagging key'!C:C,0)),"")</f>
        <v>15.63</v>
      </c>
      <c r="K166" s="3">
        <v>26.384</v>
      </c>
      <c r="L166" s="3">
        <v>66.930000000000007</v>
      </c>
      <c r="M166" s="3">
        <v>39.81</v>
      </c>
      <c r="N166" s="3">
        <v>15.05</v>
      </c>
      <c r="O166" s="3"/>
      <c r="P166" s="22">
        <v>45882</v>
      </c>
      <c r="Q166" s="22">
        <v>45882</v>
      </c>
      <c r="R166" s="3">
        <v>16.343</v>
      </c>
    </row>
    <row r="167" spans="1:19" x14ac:dyDescent="0.25">
      <c r="A167" s="8">
        <v>5</v>
      </c>
      <c r="B167" s="8">
        <v>6</v>
      </c>
      <c r="C167" s="8" t="s">
        <v>176</v>
      </c>
      <c r="D167" s="8" t="s">
        <v>16</v>
      </c>
      <c r="E167" s="8" t="s">
        <v>368</v>
      </c>
      <c r="F167" s="8" t="s">
        <v>369</v>
      </c>
      <c r="G167" s="3">
        <v>34.231999999999999</v>
      </c>
      <c r="H167" s="3">
        <f>IFERROR(INDEX('Tagging key'!D:D, MATCH(F167,'Tagging key'!C:C,0)),"")</f>
        <v>63.1</v>
      </c>
      <c r="I167" s="3">
        <f>IFERROR(INDEX('Tagging key'!E:E, MATCH(F167,'Tagging key'!C:C,0)),"")</f>
        <v>56.16</v>
      </c>
      <c r="J167" s="3">
        <f>IFERROR(INDEX('Tagging key'!F:F, MATCH(F167,'Tagging key'!C:C,0)),"")</f>
        <v>18.940000000000001</v>
      </c>
      <c r="K167" s="3">
        <v>34.079000000000001</v>
      </c>
      <c r="L167" s="3">
        <v>64.849999999999994</v>
      </c>
      <c r="M167" s="3">
        <v>49.75</v>
      </c>
      <c r="N167" s="3">
        <v>18.84</v>
      </c>
      <c r="O167" s="3"/>
      <c r="P167" s="22">
        <v>45877</v>
      </c>
      <c r="Q167" s="22">
        <v>45877</v>
      </c>
      <c r="R167" s="3"/>
    </row>
    <row r="168" spans="1:19" x14ac:dyDescent="0.25">
      <c r="A168" s="8">
        <v>5</v>
      </c>
      <c r="B168" s="8">
        <v>6</v>
      </c>
      <c r="C168" s="8" t="s">
        <v>176</v>
      </c>
      <c r="D168" s="8" t="s">
        <v>16</v>
      </c>
      <c r="E168" s="8" t="s">
        <v>370</v>
      </c>
      <c r="F168" s="8" t="s">
        <v>371</v>
      </c>
      <c r="G168" s="3">
        <v>31.376999999999999</v>
      </c>
      <c r="H168" s="3">
        <f>IFERROR(INDEX('Tagging key'!D:D, MATCH(F168,'Tagging key'!C:C,0)),"")</f>
        <v>72.180000000000007</v>
      </c>
      <c r="I168" s="3">
        <f>IFERROR(INDEX('Tagging key'!E:E, MATCH(F168,'Tagging key'!C:C,0)),"")</f>
        <v>46.69</v>
      </c>
      <c r="J168" s="3">
        <f>IFERROR(INDEX('Tagging key'!F:F, MATCH(F168,'Tagging key'!C:C,0)),"")</f>
        <v>17.22</v>
      </c>
      <c r="K168" s="3">
        <v>31.157</v>
      </c>
      <c r="L168" s="3">
        <v>72.040000000000006</v>
      </c>
      <c r="M168" s="3">
        <v>47.44</v>
      </c>
      <c r="N168" s="3">
        <v>17.920000000000002</v>
      </c>
      <c r="O168" s="3"/>
      <c r="P168" s="22">
        <v>45879</v>
      </c>
      <c r="Q168" s="22">
        <v>45879</v>
      </c>
      <c r="R168" s="3"/>
    </row>
    <row r="169" spans="1:19" x14ac:dyDescent="0.25">
      <c r="A169" s="8">
        <v>5</v>
      </c>
      <c r="B169" s="8">
        <v>6</v>
      </c>
      <c r="C169" s="8" t="s">
        <v>176</v>
      </c>
      <c r="D169" s="8" t="s">
        <v>16</v>
      </c>
      <c r="E169" s="8" t="s">
        <v>372</v>
      </c>
      <c r="F169" s="8" t="s">
        <v>373</v>
      </c>
      <c r="G169" s="3">
        <v>26.844000000000001</v>
      </c>
      <c r="H169" s="3">
        <f>IFERROR(INDEX('Tagging key'!D:D, MATCH(F169,'Tagging key'!C:C,0)),"")</f>
        <v>58.57</v>
      </c>
      <c r="I169" s="3">
        <f>IFERROR(INDEX('Tagging key'!E:E, MATCH(F169,'Tagging key'!C:C,0)),"")</f>
        <v>39.39</v>
      </c>
      <c r="J169" s="3">
        <f>IFERROR(INDEX('Tagging key'!F:F, MATCH(F169,'Tagging key'!C:C,0)),"")</f>
        <v>19.2</v>
      </c>
      <c r="K169" s="3">
        <v>26.658999999999999</v>
      </c>
      <c r="L169" s="3">
        <v>62.07</v>
      </c>
      <c r="M169" s="3">
        <v>40.200000000000003</v>
      </c>
      <c r="N169" s="3">
        <v>15.88</v>
      </c>
      <c r="O169" s="3"/>
      <c r="P169" s="26">
        <v>45886</v>
      </c>
      <c r="Q169" s="26">
        <v>45886</v>
      </c>
    </row>
    <row r="170" spans="1:19" x14ac:dyDescent="0.25">
      <c r="A170" s="11">
        <v>5</v>
      </c>
      <c r="B170" s="11">
        <v>7</v>
      </c>
      <c r="C170" s="11" t="s">
        <v>176</v>
      </c>
      <c r="D170" s="11" t="s">
        <v>46</v>
      </c>
      <c r="E170" s="11" t="s">
        <v>374</v>
      </c>
      <c r="F170" s="11" t="s">
        <v>375</v>
      </c>
      <c r="G170" s="3">
        <v>60.771999999999998</v>
      </c>
      <c r="H170" s="3">
        <f>IFERROR(INDEX('Tagging key'!D:D, MATCH(F170,'Tagging key'!C:C,0)),"")</f>
        <v>86</v>
      </c>
      <c r="I170" s="3">
        <f>IFERROR(INDEX('Tagging key'!E:E, MATCH(F170,'Tagging key'!C:C,0)),"")</f>
        <v>40</v>
      </c>
      <c r="J170" s="3">
        <f>IFERROR(INDEX('Tagging key'!F:F, MATCH(F170,'Tagging key'!C:C,0)),"")</f>
        <v>32</v>
      </c>
      <c r="K170" s="3">
        <v>61.433999999999997</v>
      </c>
      <c r="L170" s="3">
        <v>86.76</v>
      </c>
      <c r="M170" s="3">
        <v>39.659999999999997</v>
      </c>
      <c r="N170" s="3">
        <v>32.89</v>
      </c>
      <c r="O170" s="3"/>
      <c r="P170" s="26">
        <v>45886</v>
      </c>
      <c r="Q170" s="26">
        <v>45886</v>
      </c>
    </row>
    <row r="171" spans="1:19" x14ac:dyDescent="0.25">
      <c r="A171" s="11">
        <v>5</v>
      </c>
      <c r="B171" s="11">
        <v>7</v>
      </c>
      <c r="C171" s="11" t="s">
        <v>176</v>
      </c>
      <c r="D171" s="11" t="s">
        <v>46</v>
      </c>
      <c r="E171" s="11" t="s">
        <v>118</v>
      </c>
      <c r="F171" s="11" t="s">
        <v>376</v>
      </c>
      <c r="G171" s="3">
        <v>42.173999999999999</v>
      </c>
      <c r="H171" s="3">
        <f>IFERROR(INDEX('Tagging key'!D:D, MATCH(F171,'Tagging key'!C:C,0)),"")</f>
        <v>75</v>
      </c>
      <c r="I171" s="3">
        <f>IFERROR(INDEX('Tagging key'!E:E, MATCH(F171,'Tagging key'!C:C,0)),"")</f>
        <v>37</v>
      </c>
      <c r="J171" s="3">
        <f>IFERROR(INDEX('Tagging key'!F:F, MATCH(F171,'Tagging key'!C:C,0)),"")</f>
        <v>28</v>
      </c>
      <c r="K171" s="3">
        <v>42.255000000000003</v>
      </c>
      <c r="L171" s="3">
        <v>75.09</v>
      </c>
      <c r="M171" s="3">
        <v>37.89</v>
      </c>
      <c r="N171" s="3">
        <v>28.53</v>
      </c>
      <c r="O171" s="3"/>
      <c r="P171" s="22">
        <v>45877</v>
      </c>
      <c r="Q171" s="22">
        <v>45877</v>
      </c>
      <c r="R171" s="3"/>
    </row>
    <row r="172" spans="1:19" x14ac:dyDescent="0.25">
      <c r="A172" s="11">
        <v>5</v>
      </c>
      <c r="B172" s="11">
        <v>7</v>
      </c>
      <c r="C172" s="11" t="s">
        <v>176</v>
      </c>
      <c r="D172" s="11" t="s">
        <v>46</v>
      </c>
      <c r="E172" s="11" t="s">
        <v>377</v>
      </c>
      <c r="F172" s="11" t="s">
        <v>378</v>
      </c>
      <c r="G172" s="3">
        <v>24.78</v>
      </c>
      <c r="H172" s="3">
        <f>IFERROR(INDEX('Tagging key'!D:D, MATCH(F172,'Tagging key'!C:C,0)),"")</f>
        <v>62</v>
      </c>
      <c r="I172" s="3">
        <f>IFERROR(INDEX('Tagging key'!E:E, MATCH(F172,'Tagging key'!C:C,0)),"")</f>
        <v>31</v>
      </c>
      <c r="J172" s="3">
        <f>IFERROR(INDEX('Tagging key'!F:F, MATCH(F172,'Tagging key'!C:C,0)),"")</f>
        <v>23.8</v>
      </c>
      <c r="K172" s="3">
        <v>25.151</v>
      </c>
      <c r="L172" s="3">
        <v>63.02</v>
      </c>
      <c r="M172" s="3">
        <v>32.49</v>
      </c>
      <c r="N172" s="3">
        <v>24.06</v>
      </c>
      <c r="O172" s="3"/>
      <c r="P172" s="22">
        <v>45879</v>
      </c>
      <c r="Q172" s="22">
        <v>45879</v>
      </c>
      <c r="R172" s="3"/>
      <c r="S172" t="s">
        <v>379</v>
      </c>
    </row>
    <row r="173" spans="1:19" x14ac:dyDescent="0.25">
      <c r="A173" s="11">
        <v>5</v>
      </c>
      <c r="B173" s="11">
        <v>7</v>
      </c>
      <c r="C173" s="11" t="s">
        <v>176</v>
      </c>
      <c r="D173" s="11" t="s">
        <v>46</v>
      </c>
      <c r="E173" s="11" t="s">
        <v>380</v>
      </c>
      <c r="F173" s="11" t="s">
        <v>381</v>
      </c>
      <c r="G173" s="3">
        <v>58.674999999999997</v>
      </c>
      <c r="H173" s="3">
        <f>IFERROR(INDEX('Tagging key'!D:D, MATCH(F173,'Tagging key'!C:C,0)),"")</f>
        <v>82</v>
      </c>
      <c r="I173" s="3">
        <f>IFERROR(INDEX('Tagging key'!E:E, MATCH(F173,'Tagging key'!C:C,0)),"")</f>
        <v>40</v>
      </c>
      <c r="J173" s="3">
        <f>IFERROR(INDEX('Tagging key'!F:F, MATCH(F173,'Tagging key'!C:C,0)),"")</f>
        <v>32</v>
      </c>
      <c r="K173" s="3">
        <v>59.076000000000001</v>
      </c>
      <c r="L173" s="3">
        <v>83.79</v>
      </c>
      <c r="M173" s="3">
        <v>42.54</v>
      </c>
      <c r="N173" s="3">
        <v>32.44</v>
      </c>
      <c r="O173" s="3"/>
      <c r="P173" s="22">
        <v>45882</v>
      </c>
      <c r="Q173" s="22">
        <v>45882</v>
      </c>
      <c r="R173" s="3">
        <v>22.457999999999998</v>
      </c>
    </row>
    <row r="174" spans="1:19" x14ac:dyDescent="0.25">
      <c r="A174" s="19">
        <v>5</v>
      </c>
      <c r="B174" s="19">
        <v>8</v>
      </c>
      <c r="C174" s="19" t="s">
        <v>176</v>
      </c>
      <c r="D174" s="19" t="s">
        <v>46</v>
      </c>
      <c r="E174" s="19" t="s">
        <v>218</v>
      </c>
      <c r="F174" s="19" t="s">
        <v>382</v>
      </c>
      <c r="G174" s="19">
        <v>45.564</v>
      </c>
      <c r="H174" s="19">
        <f>IFERROR(INDEX('Tagging key'!D:D, MATCH(F174,'Tagging key'!C:C,0)),"")</f>
        <v>82</v>
      </c>
      <c r="I174" s="19">
        <f>IFERROR(INDEX('Tagging key'!E:E, MATCH(F174,'Tagging key'!C:C,0)),"")</f>
        <v>38</v>
      </c>
      <c r="J174" s="19">
        <f>IFERROR(INDEX('Tagging key'!F:F, MATCH(F174,'Tagging key'!C:C,0)),"")</f>
        <v>28</v>
      </c>
      <c r="K174" s="19"/>
      <c r="L174" s="19"/>
      <c r="M174" s="19"/>
      <c r="N174" s="19"/>
      <c r="O174" s="19"/>
      <c r="P174" s="19"/>
      <c r="Q174" s="19"/>
      <c r="R174" s="19"/>
      <c r="S174" t="s">
        <v>383</v>
      </c>
    </row>
    <row r="175" spans="1:19" x14ac:dyDescent="0.25">
      <c r="A175" s="12">
        <v>5</v>
      </c>
      <c r="B175" s="12">
        <v>8</v>
      </c>
      <c r="C175" s="12" t="s">
        <v>176</v>
      </c>
      <c r="D175" s="12" t="s">
        <v>46</v>
      </c>
      <c r="E175" s="12" t="s">
        <v>320</v>
      </c>
      <c r="F175" s="12" t="s">
        <v>384</v>
      </c>
      <c r="G175" s="3">
        <v>59.76</v>
      </c>
      <c r="H175" s="3">
        <f>IFERROR(INDEX('Tagging key'!D:D, MATCH(F175,'Tagging key'!C:C,0)),"")</f>
        <v>85</v>
      </c>
      <c r="I175" s="3">
        <f>IFERROR(INDEX('Tagging key'!E:E, MATCH(F175,'Tagging key'!C:C,0)),"")</f>
        <v>37</v>
      </c>
      <c r="J175" s="3">
        <f>IFERROR(INDEX('Tagging key'!F:F, MATCH(F175,'Tagging key'!C:C,0)),"")</f>
        <v>33</v>
      </c>
      <c r="K175" s="3">
        <v>59.828000000000003</v>
      </c>
      <c r="L175" s="3">
        <v>85.95</v>
      </c>
      <c r="M175" s="3">
        <v>38.229999999999997</v>
      </c>
      <c r="N175" s="3">
        <v>34</v>
      </c>
      <c r="O175" s="3"/>
      <c r="P175" s="22">
        <v>45877</v>
      </c>
      <c r="Q175" s="22">
        <v>45877</v>
      </c>
      <c r="R175" s="3"/>
    </row>
    <row r="176" spans="1:19" x14ac:dyDescent="0.25">
      <c r="A176" s="12">
        <v>5</v>
      </c>
      <c r="B176" s="12">
        <v>8</v>
      </c>
      <c r="C176" s="12" t="s">
        <v>176</v>
      </c>
      <c r="D176" s="12" t="s">
        <v>46</v>
      </c>
      <c r="E176" s="12" t="s">
        <v>351</v>
      </c>
      <c r="F176" s="12" t="s">
        <v>385</v>
      </c>
      <c r="G176" s="3">
        <v>33.15</v>
      </c>
      <c r="H176" s="3">
        <f>IFERROR(INDEX('Tagging key'!D:D, MATCH(F176,'Tagging key'!C:C,0)),"")</f>
        <v>68.55</v>
      </c>
      <c r="I176" s="3">
        <f>IFERROR(INDEX('Tagging key'!E:E, MATCH(F176,'Tagging key'!C:C,0)),"")</f>
        <v>36.11</v>
      </c>
      <c r="J176" s="3">
        <f>IFERROR(INDEX('Tagging key'!F:F, MATCH(F176,'Tagging key'!C:C,0)),"")</f>
        <v>26.28</v>
      </c>
      <c r="K176" s="3">
        <v>33.472999999999999</v>
      </c>
      <c r="L176" s="3">
        <v>63.29</v>
      </c>
      <c r="M176" s="3">
        <v>29.16</v>
      </c>
      <c r="N176" s="3">
        <v>20.62</v>
      </c>
      <c r="O176" s="3"/>
      <c r="P176" s="22">
        <v>45879</v>
      </c>
      <c r="Q176" s="22">
        <v>45879</v>
      </c>
      <c r="R176" s="3"/>
    </row>
    <row r="177" spans="1:19" x14ac:dyDescent="0.25">
      <c r="A177" s="12">
        <v>5</v>
      </c>
      <c r="B177" s="12">
        <v>8</v>
      </c>
      <c r="C177" s="12" t="s">
        <v>176</v>
      </c>
      <c r="D177" s="12" t="s">
        <v>46</v>
      </c>
      <c r="E177" s="12" t="s">
        <v>386</v>
      </c>
      <c r="F177" s="12" t="s">
        <v>387</v>
      </c>
      <c r="G177" s="3">
        <v>31.901</v>
      </c>
      <c r="H177" s="3">
        <f>IFERROR(INDEX('Tagging key'!D:D, MATCH(F177,'Tagging key'!C:C,0)),"")</f>
        <v>71</v>
      </c>
      <c r="I177" s="3">
        <f>IFERROR(INDEX('Tagging key'!E:E, MATCH(F177,'Tagging key'!C:C,0)),"")</f>
        <v>34</v>
      </c>
      <c r="J177" s="3">
        <f>IFERROR(INDEX('Tagging key'!F:F, MATCH(F177,'Tagging key'!C:C,0)),"")</f>
        <v>24</v>
      </c>
      <c r="K177" s="3">
        <v>31.817</v>
      </c>
      <c r="L177" s="3">
        <v>65.37</v>
      </c>
      <c r="M177" s="3">
        <v>35.020000000000003</v>
      </c>
      <c r="N177" s="3">
        <v>24.09</v>
      </c>
      <c r="O177" s="3"/>
      <c r="P177" s="22">
        <v>45882</v>
      </c>
      <c r="Q177" s="22">
        <v>45882</v>
      </c>
      <c r="R177" s="3">
        <v>11.257</v>
      </c>
      <c r="S177" t="s">
        <v>388</v>
      </c>
    </row>
    <row r="178" spans="1:19" x14ac:dyDescent="0.25">
      <c r="A178" s="11">
        <v>5</v>
      </c>
      <c r="B178" s="11">
        <v>9</v>
      </c>
      <c r="C178" s="11" t="s">
        <v>176</v>
      </c>
      <c r="D178" s="11" t="s">
        <v>46</v>
      </c>
      <c r="E178" s="11" t="s">
        <v>389</v>
      </c>
      <c r="F178" s="11" t="s">
        <v>390</v>
      </c>
      <c r="G178" s="3">
        <v>42.777999999999999</v>
      </c>
      <c r="H178" s="3">
        <f>IFERROR(INDEX('Tagging key'!D:D, MATCH(F178,'Tagging key'!C:C,0)),"")</f>
        <v>78</v>
      </c>
      <c r="I178" s="3">
        <f>IFERROR(INDEX('Tagging key'!E:E, MATCH(F178,'Tagging key'!C:C,0)),"")</f>
        <v>35</v>
      </c>
      <c r="J178" s="3">
        <f>IFERROR(INDEX('Tagging key'!F:F, MATCH(F178,'Tagging key'!C:C,0)),"")</f>
        <v>28</v>
      </c>
      <c r="K178" s="3">
        <v>43.587000000000003</v>
      </c>
      <c r="L178" s="3">
        <v>77.989999999999995</v>
      </c>
      <c r="M178" s="3">
        <v>36.97</v>
      </c>
      <c r="N178" s="3">
        <v>28.77</v>
      </c>
      <c r="O178" s="3"/>
      <c r="P178" s="26">
        <v>45886</v>
      </c>
      <c r="Q178" s="26">
        <v>45886</v>
      </c>
    </row>
    <row r="179" spans="1:19" x14ac:dyDescent="0.25">
      <c r="A179" s="11">
        <v>5</v>
      </c>
      <c r="B179" s="11">
        <v>9</v>
      </c>
      <c r="C179" s="11" t="s">
        <v>176</v>
      </c>
      <c r="D179" s="11" t="s">
        <v>46</v>
      </c>
      <c r="E179" s="11" t="s">
        <v>37</v>
      </c>
      <c r="F179" s="11" t="s">
        <v>391</v>
      </c>
      <c r="G179" s="3">
        <v>33.064999999999998</v>
      </c>
      <c r="H179" s="3">
        <f>IFERROR(INDEX('Tagging key'!D:D, MATCH(F179,'Tagging key'!C:C,0)),"")</f>
        <v>72.88</v>
      </c>
      <c r="I179" s="3">
        <f>IFERROR(INDEX('Tagging key'!E:E, MATCH(F179,'Tagging key'!C:C,0)),"")</f>
        <v>43</v>
      </c>
      <c r="J179" s="3">
        <f>IFERROR(INDEX('Tagging key'!F:F, MATCH(F179,'Tagging key'!C:C,0)),"")</f>
        <v>24.5</v>
      </c>
      <c r="K179" s="3">
        <v>34.020000000000003</v>
      </c>
      <c r="L179" s="3">
        <v>73.349999999999994</v>
      </c>
      <c r="M179" s="3">
        <v>38.6</v>
      </c>
      <c r="N179" s="3">
        <v>25.47</v>
      </c>
      <c r="O179" s="3"/>
      <c r="P179" s="22">
        <v>45879</v>
      </c>
      <c r="Q179" s="22">
        <v>45879</v>
      </c>
      <c r="R179" s="3"/>
    </row>
    <row r="180" spans="1:19" x14ac:dyDescent="0.25">
      <c r="A180" s="11">
        <v>5</v>
      </c>
      <c r="B180" s="11">
        <v>9</v>
      </c>
      <c r="C180" s="11" t="s">
        <v>176</v>
      </c>
      <c r="D180" s="11" t="s">
        <v>46</v>
      </c>
      <c r="E180" s="11" t="s">
        <v>25</v>
      </c>
      <c r="F180" s="11" t="s">
        <v>392</v>
      </c>
      <c r="G180" s="3">
        <v>27.300999999999998</v>
      </c>
      <c r="H180" s="3">
        <f>IFERROR(INDEX('Tagging key'!D:D, MATCH(F180,'Tagging key'!C:C,0)),"")</f>
        <v>64.66</v>
      </c>
      <c r="I180" s="3">
        <f>IFERROR(INDEX('Tagging key'!E:E, MATCH(F180,'Tagging key'!C:C,0)),"")</f>
        <v>36.630000000000003</v>
      </c>
      <c r="J180" s="3">
        <f>IFERROR(INDEX('Tagging key'!F:F, MATCH(F180,'Tagging key'!C:C,0)),"")</f>
        <v>25.91</v>
      </c>
      <c r="K180" s="3">
        <v>27.67</v>
      </c>
      <c r="L180" s="3">
        <v>64.709999999999994</v>
      </c>
      <c r="M180" s="3">
        <v>31.13</v>
      </c>
      <c r="N180" s="3">
        <v>26.75</v>
      </c>
      <c r="O180" s="3"/>
      <c r="P180" s="22">
        <v>45877</v>
      </c>
      <c r="Q180" s="22">
        <v>45877</v>
      </c>
      <c r="R180" s="3"/>
    </row>
    <row r="181" spans="1:19" x14ac:dyDescent="0.25">
      <c r="A181" s="11">
        <v>5</v>
      </c>
      <c r="B181" s="11">
        <v>9</v>
      </c>
      <c r="C181" s="11" t="s">
        <v>176</v>
      </c>
      <c r="D181" s="11" t="s">
        <v>46</v>
      </c>
      <c r="E181" s="11" t="s">
        <v>393</v>
      </c>
      <c r="F181" s="11" t="s">
        <v>394</v>
      </c>
      <c r="G181" s="3">
        <v>30.492000000000001</v>
      </c>
      <c r="H181" s="3">
        <f>IFERROR(INDEX('Tagging key'!D:D, MATCH(F181,'Tagging key'!C:C,0)),"")</f>
        <v>68</v>
      </c>
      <c r="I181" s="3">
        <f>IFERROR(INDEX('Tagging key'!E:E, MATCH(F181,'Tagging key'!C:C,0)),"")</f>
        <v>35</v>
      </c>
      <c r="J181" s="3">
        <f>IFERROR(INDEX('Tagging key'!F:F, MATCH(F181,'Tagging key'!C:C,0)),"")</f>
        <v>25</v>
      </c>
      <c r="K181" s="3">
        <v>30.655000000000001</v>
      </c>
      <c r="L181" s="3">
        <v>68.25</v>
      </c>
      <c r="M181" s="3">
        <v>34.86</v>
      </c>
      <c r="N181" s="3">
        <v>25.47</v>
      </c>
      <c r="O181" s="3"/>
      <c r="P181" s="22">
        <v>45882</v>
      </c>
      <c r="Q181" s="22">
        <v>45882</v>
      </c>
      <c r="R181" s="3">
        <v>10.395</v>
      </c>
    </row>
    <row r="182" spans="1:19" x14ac:dyDescent="0.25">
      <c r="A182" s="13">
        <v>6</v>
      </c>
      <c r="B182" s="13">
        <v>1</v>
      </c>
      <c r="C182" s="13" t="s">
        <v>248</v>
      </c>
      <c r="D182" s="13" t="s">
        <v>72</v>
      </c>
      <c r="E182" s="13" t="s">
        <v>395</v>
      </c>
      <c r="F182" s="13" t="s">
        <v>396</v>
      </c>
      <c r="G182" s="3">
        <v>58.624000000000002</v>
      </c>
      <c r="H182" s="3">
        <f>IFERROR(INDEX('Tagging key'!D:D, MATCH(F182,'Tagging key'!C:C,0)),"")</f>
        <v>79</v>
      </c>
      <c r="I182" s="3">
        <f>IFERROR(INDEX('Tagging key'!E:E, MATCH(F182,'Tagging key'!C:C,0)),"")</f>
        <v>80</v>
      </c>
      <c r="J182" s="3">
        <f>IFERROR(INDEX('Tagging key'!F:F, MATCH(F182,'Tagging key'!C:C,0)),"")</f>
        <v>18</v>
      </c>
      <c r="K182" s="3">
        <v>57.33</v>
      </c>
      <c r="L182" s="3">
        <v>78.8</v>
      </c>
      <c r="M182" s="3">
        <v>80.59</v>
      </c>
      <c r="N182" s="3">
        <v>18.989999999999998</v>
      </c>
      <c r="O182" s="3"/>
      <c r="P182" s="22">
        <v>45877</v>
      </c>
      <c r="Q182" s="22">
        <v>45877</v>
      </c>
      <c r="R182" s="3"/>
    </row>
    <row r="183" spans="1:19" x14ac:dyDescent="0.25">
      <c r="A183" s="13">
        <v>6</v>
      </c>
      <c r="B183" s="13">
        <v>1</v>
      </c>
      <c r="C183" s="13" t="s">
        <v>248</v>
      </c>
      <c r="D183" s="13" t="s">
        <v>72</v>
      </c>
      <c r="E183" s="13" t="s">
        <v>397</v>
      </c>
      <c r="F183" s="13" t="s">
        <v>398</v>
      </c>
      <c r="G183" s="3">
        <v>52.822000000000003</v>
      </c>
      <c r="H183" s="3">
        <f>IFERROR(INDEX('Tagging key'!D:D, MATCH(F183,'Tagging key'!C:C,0)),"")</f>
        <v>74</v>
      </c>
      <c r="I183" s="3">
        <f>IFERROR(INDEX('Tagging key'!E:E, MATCH(F183,'Tagging key'!C:C,0)),"")</f>
        <v>77</v>
      </c>
      <c r="J183" s="3">
        <f>IFERROR(INDEX('Tagging key'!F:F, MATCH(F183,'Tagging key'!C:C,0)),"")</f>
        <v>19</v>
      </c>
      <c r="K183" s="3">
        <v>51.582000000000001</v>
      </c>
      <c r="L183" s="3">
        <v>74.37</v>
      </c>
      <c r="M183" s="3">
        <v>77.400000000000006</v>
      </c>
      <c r="N183" s="3">
        <v>22.25</v>
      </c>
      <c r="O183" s="3"/>
      <c r="P183" s="22">
        <v>45882</v>
      </c>
      <c r="Q183" s="22">
        <v>45882</v>
      </c>
      <c r="R183" s="3">
        <v>22.044</v>
      </c>
    </row>
    <row r="184" spans="1:19" x14ac:dyDescent="0.25">
      <c r="A184" s="19">
        <v>6</v>
      </c>
      <c r="B184" s="19">
        <v>1</v>
      </c>
      <c r="C184" s="19" t="s">
        <v>248</v>
      </c>
      <c r="D184" s="19" t="s">
        <v>72</v>
      </c>
      <c r="E184" s="19" t="s">
        <v>399</v>
      </c>
      <c r="F184" s="19" t="s">
        <v>400</v>
      </c>
      <c r="G184" s="19">
        <v>48.677</v>
      </c>
      <c r="H184" s="19">
        <f>IFERROR(INDEX('Tagging key'!D:D, MATCH(F184,'Tagging key'!C:C,0)),"")</f>
        <v>72</v>
      </c>
      <c r="I184" s="19">
        <f>IFERROR(INDEX('Tagging key'!E:E, MATCH(F184,'Tagging key'!C:C,0)),"")</f>
        <v>71</v>
      </c>
      <c r="J184" s="19">
        <f>IFERROR(INDEX('Tagging key'!F:F, MATCH(F184,'Tagging key'!C:C,0)),"")</f>
        <v>15</v>
      </c>
      <c r="K184" s="19"/>
      <c r="L184" s="19"/>
      <c r="M184" s="19"/>
      <c r="N184" s="19"/>
      <c r="O184" s="19"/>
      <c r="P184" s="19"/>
      <c r="Q184" s="19"/>
      <c r="R184" s="19"/>
      <c r="S184" t="s">
        <v>401</v>
      </c>
    </row>
    <row r="185" spans="1:19" x14ac:dyDescent="0.25">
      <c r="A185" s="13">
        <v>6</v>
      </c>
      <c r="B185" s="13">
        <v>1</v>
      </c>
      <c r="C185" s="13" t="s">
        <v>248</v>
      </c>
      <c r="D185" s="13" t="s">
        <v>72</v>
      </c>
      <c r="E185" s="13" t="s">
        <v>402</v>
      </c>
      <c r="F185" s="13" t="s">
        <v>403</v>
      </c>
      <c r="G185" s="3">
        <v>62.698</v>
      </c>
      <c r="H185" s="3">
        <f>IFERROR(INDEX('Tagging key'!D:D, MATCH(F185,'Tagging key'!C:C,0)),"")</f>
        <v>74</v>
      </c>
      <c r="I185" s="3">
        <f>IFERROR(INDEX('Tagging key'!E:E, MATCH(F185,'Tagging key'!C:C,0)),"")</f>
        <v>74</v>
      </c>
      <c r="J185" s="3">
        <f>IFERROR(INDEX('Tagging key'!F:F, MATCH(F185,'Tagging key'!C:C,0)),"")</f>
        <v>19</v>
      </c>
      <c r="K185" s="3">
        <v>60.48</v>
      </c>
      <c r="L185" s="3">
        <v>75.81</v>
      </c>
      <c r="M185" s="3">
        <v>74.790000000000006</v>
      </c>
      <c r="N185" s="3">
        <v>20.49</v>
      </c>
      <c r="O185" s="3"/>
      <c r="P185" s="22">
        <v>45879</v>
      </c>
      <c r="Q185" s="22">
        <v>45879</v>
      </c>
      <c r="R185" s="3"/>
    </row>
    <row r="186" spans="1:19" x14ac:dyDescent="0.25">
      <c r="A186" s="14">
        <v>6</v>
      </c>
      <c r="B186" s="14">
        <v>2</v>
      </c>
      <c r="C186" s="14" t="s">
        <v>248</v>
      </c>
      <c r="D186" s="14" t="s">
        <v>72</v>
      </c>
      <c r="E186" s="14" t="s">
        <v>404</v>
      </c>
      <c r="F186" s="14" t="s">
        <v>405</v>
      </c>
      <c r="G186" s="3">
        <v>49.564999999999998</v>
      </c>
      <c r="H186" s="3">
        <f>IFERROR(INDEX('Tagging key'!D:D, MATCH(F186,'Tagging key'!C:C,0)),"")</f>
        <v>70.5</v>
      </c>
      <c r="I186" s="3">
        <f>IFERROR(INDEX('Tagging key'!E:E, MATCH(F186,'Tagging key'!C:C,0)),"")</f>
        <v>68.5</v>
      </c>
      <c r="J186" s="3">
        <f>IFERROR(INDEX('Tagging key'!F:F, MATCH(F186,'Tagging key'!C:C,0)),"")</f>
        <v>16</v>
      </c>
      <c r="K186" s="3">
        <v>46.15</v>
      </c>
      <c r="L186" s="3">
        <v>71.819999999999993</v>
      </c>
      <c r="M186" s="3">
        <v>69.7</v>
      </c>
      <c r="N186" s="3">
        <v>21.97</v>
      </c>
      <c r="O186" s="3"/>
      <c r="P186" s="22">
        <v>45877</v>
      </c>
      <c r="Q186" s="22">
        <v>45877</v>
      </c>
      <c r="R186" s="3"/>
    </row>
    <row r="187" spans="1:19" x14ac:dyDescent="0.25">
      <c r="A187" s="14">
        <v>6</v>
      </c>
      <c r="B187" s="14">
        <v>2</v>
      </c>
      <c r="C187" s="14" t="s">
        <v>248</v>
      </c>
      <c r="D187" s="14" t="s">
        <v>72</v>
      </c>
      <c r="E187" s="14" t="s">
        <v>406</v>
      </c>
      <c r="F187" s="14" t="s">
        <v>407</v>
      </c>
      <c r="G187" s="3">
        <v>67.661000000000001</v>
      </c>
      <c r="H187" s="3">
        <f>IFERROR(INDEX('Tagging key'!D:D, MATCH(F187,'Tagging key'!C:C,0)),"")</f>
        <v>75</v>
      </c>
      <c r="I187" s="3">
        <f>IFERROR(INDEX('Tagging key'!E:E, MATCH(F187,'Tagging key'!C:C,0)),"")</f>
        <v>76.5</v>
      </c>
      <c r="J187" s="3">
        <f>IFERROR(INDEX('Tagging key'!F:F, MATCH(F187,'Tagging key'!C:C,0)),"")</f>
        <v>20</v>
      </c>
      <c r="K187" s="3">
        <v>59.661999999999999</v>
      </c>
      <c r="L187" s="3">
        <v>77.41</v>
      </c>
      <c r="M187" s="3">
        <v>75.650000000000006</v>
      </c>
      <c r="N187" s="3">
        <v>22.98</v>
      </c>
      <c r="O187" s="3"/>
      <c r="P187" s="22">
        <v>45879</v>
      </c>
      <c r="Q187" s="22">
        <v>45879</v>
      </c>
      <c r="R187" s="3"/>
    </row>
    <row r="188" spans="1:19" x14ac:dyDescent="0.25">
      <c r="A188" s="14">
        <v>6</v>
      </c>
      <c r="B188" s="14">
        <v>2</v>
      </c>
      <c r="C188" s="14" t="s">
        <v>248</v>
      </c>
      <c r="D188" s="14" t="s">
        <v>72</v>
      </c>
      <c r="E188" s="14" t="s">
        <v>408</v>
      </c>
      <c r="F188" s="14" t="s">
        <v>409</v>
      </c>
      <c r="G188" s="3">
        <v>52.670999999999999</v>
      </c>
      <c r="H188" s="3">
        <f>IFERROR(INDEX('Tagging key'!D:D, MATCH(F188,'Tagging key'!C:C,0)),"")</f>
        <v>72.58</v>
      </c>
      <c r="I188" s="3">
        <f>IFERROR(INDEX('Tagging key'!E:E, MATCH(F188,'Tagging key'!C:C,0)),"")</f>
        <v>69.55</v>
      </c>
      <c r="J188" s="3">
        <f>IFERROR(INDEX('Tagging key'!F:F, MATCH(F188,'Tagging key'!C:C,0)),"")</f>
        <v>21.37</v>
      </c>
      <c r="K188" s="3">
        <v>43.002000000000002</v>
      </c>
      <c r="L188" s="3">
        <v>73.02</v>
      </c>
      <c r="M188" s="3">
        <v>69.930000000000007</v>
      </c>
      <c r="N188" s="3">
        <v>19.91</v>
      </c>
      <c r="O188" s="3"/>
      <c r="P188" s="22">
        <v>45882</v>
      </c>
      <c r="Q188" s="22">
        <v>45882</v>
      </c>
      <c r="R188" s="3"/>
    </row>
    <row r="189" spans="1:19" x14ac:dyDescent="0.25">
      <c r="A189" s="19">
        <v>6</v>
      </c>
      <c r="B189" s="19">
        <v>2</v>
      </c>
      <c r="C189" s="19" t="s">
        <v>248</v>
      </c>
      <c r="D189" s="19" t="s">
        <v>72</v>
      </c>
      <c r="E189" s="19" t="s">
        <v>410</v>
      </c>
      <c r="F189" s="19" t="s">
        <v>411</v>
      </c>
      <c r="G189" s="19">
        <v>50.148000000000003</v>
      </c>
      <c r="H189" s="19">
        <f>IFERROR(INDEX('Tagging key'!D:D, MATCH(F189,'Tagging key'!C:C,0)),"")</f>
        <v>68.3</v>
      </c>
      <c r="I189" s="19">
        <f>IFERROR(INDEX('Tagging key'!E:E, MATCH(F189,'Tagging key'!C:C,0)),"")</f>
        <v>71.94</v>
      </c>
      <c r="J189" s="19">
        <f>IFERROR(INDEX('Tagging key'!F:F, MATCH(F189,'Tagging key'!C:C,0)),"")</f>
        <v>20.23</v>
      </c>
      <c r="K189" s="19"/>
      <c r="L189" s="19"/>
      <c r="M189" s="19"/>
      <c r="N189" s="19"/>
      <c r="O189" s="19"/>
      <c r="P189" s="19"/>
      <c r="Q189" s="19"/>
      <c r="R189" s="19"/>
      <c r="S189" t="s">
        <v>412</v>
      </c>
    </row>
    <row r="190" spans="1:19" x14ac:dyDescent="0.25">
      <c r="A190" s="13">
        <v>6</v>
      </c>
      <c r="B190" s="13">
        <v>3</v>
      </c>
      <c r="C190" s="13" t="s">
        <v>248</v>
      </c>
      <c r="D190" s="13" t="s">
        <v>72</v>
      </c>
      <c r="E190" s="13" t="s">
        <v>413</v>
      </c>
      <c r="F190" s="13" t="s">
        <v>414</v>
      </c>
      <c r="G190" s="3">
        <v>64.432000000000002</v>
      </c>
      <c r="H190" s="3">
        <f>IFERROR(INDEX('Tagging key'!D:D, MATCH(F190,'Tagging key'!C:C,0)),"")</f>
        <v>81</v>
      </c>
      <c r="I190" s="3">
        <f>IFERROR(INDEX('Tagging key'!E:E, MATCH(F190,'Tagging key'!C:C,0)),"")</f>
        <v>80</v>
      </c>
      <c r="J190" s="3">
        <f>IFERROR(INDEX('Tagging key'!F:F, MATCH(F190,'Tagging key'!C:C,0)),"")</f>
        <v>19</v>
      </c>
      <c r="K190" s="3">
        <v>54.802999999999997</v>
      </c>
      <c r="L190" s="3">
        <v>82.17</v>
      </c>
      <c r="M190" s="3">
        <v>81.37</v>
      </c>
      <c r="N190" s="3">
        <v>21.06</v>
      </c>
      <c r="O190" s="3"/>
      <c r="P190" s="22">
        <v>45882</v>
      </c>
      <c r="Q190" s="22">
        <v>45882</v>
      </c>
      <c r="R190" s="3">
        <v>26.100999999999999</v>
      </c>
    </row>
    <row r="191" spans="1:19" x14ac:dyDescent="0.25">
      <c r="A191" s="13">
        <v>6</v>
      </c>
      <c r="B191" s="13">
        <v>3</v>
      </c>
      <c r="C191" s="13" t="s">
        <v>248</v>
      </c>
      <c r="D191" s="13" t="s">
        <v>72</v>
      </c>
      <c r="E191" s="13" t="s">
        <v>415</v>
      </c>
      <c r="F191" s="13" t="s">
        <v>416</v>
      </c>
      <c r="G191" s="3">
        <v>56.606999999999999</v>
      </c>
      <c r="H191" s="3">
        <f>IFERROR(INDEX('Tagging key'!D:D, MATCH(F191,'Tagging key'!C:C,0)),"")</f>
        <v>74</v>
      </c>
      <c r="I191" s="3">
        <f>IFERROR(INDEX('Tagging key'!E:E, MATCH(F191,'Tagging key'!C:C,0)),"")</f>
        <v>73</v>
      </c>
      <c r="J191" s="3">
        <f>IFERROR(INDEX('Tagging key'!F:F, MATCH(F191,'Tagging key'!C:C,0)),"")</f>
        <v>20</v>
      </c>
      <c r="K191" s="3">
        <v>55.539000000000001</v>
      </c>
      <c r="L191" s="3">
        <v>76.69</v>
      </c>
      <c r="M191" s="3">
        <v>75.400000000000006</v>
      </c>
      <c r="N191" s="3">
        <v>20.2</v>
      </c>
      <c r="O191" s="3"/>
      <c r="P191" s="22">
        <v>45879</v>
      </c>
      <c r="Q191" s="22">
        <v>45879</v>
      </c>
      <c r="R191" s="3"/>
    </row>
    <row r="192" spans="1:19" x14ac:dyDescent="0.25">
      <c r="A192" s="13">
        <v>6</v>
      </c>
      <c r="B192" s="13">
        <v>3</v>
      </c>
      <c r="C192" s="13" t="s">
        <v>248</v>
      </c>
      <c r="D192" s="13" t="s">
        <v>72</v>
      </c>
      <c r="E192" s="13" t="s">
        <v>417</v>
      </c>
      <c r="F192" s="13" t="s">
        <v>418</v>
      </c>
      <c r="G192" s="3">
        <v>53.9</v>
      </c>
      <c r="H192" s="3">
        <f>IFERROR(INDEX('Tagging key'!D:D, MATCH(F192,'Tagging key'!C:C,0)),"")</f>
        <v>69</v>
      </c>
      <c r="I192" s="3">
        <f>IFERROR(INDEX('Tagging key'!E:E, MATCH(F192,'Tagging key'!C:C,0)),"")</f>
        <v>77</v>
      </c>
      <c r="J192" s="3">
        <f>IFERROR(INDEX('Tagging key'!F:F, MATCH(F192,'Tagging key'!C:C,0)),"")</f>
        <v>21</v>
      </c>
      <c r="K192" s="3">
        <v>49.726999999999997</v>
      </c>
      <c r="L192" s="3">
        <v>70.45</v>
      </c>
      <c r="M192" s="3">
        <v>78.12</v>
      </c>
      <c r="N192" s="3">
        <v>22.82</v>
      </c>
      <c r="O192" s="3"/>
      <c r="P192" s="22">
        <v>45877</v>
      </c>
      <c r="Q192" s="22">
        <v>45877</v>
      </c>
      <c r="R192" s="3"/>
    </row>
    <row r="193" spans="1:19" x14ac:dyDescent="0.25">
      <c r="A193" s="13">
        <v>6</v>
      </c>
      <c r="B193" s="13">
        <v>3</v>
      </c>
      <c r="C193" s="13" t="s">
        <v>248</v>
      </c>
      <c r="D193" s="13" t="s">
        <v>72</v>
      </c>
      <c r="E193" s="13" t="s">
        <v>419</v>
      </c>
      <c r="F193" s="13" t="s">
        <v>420</v>
      </c>
      <c r="G193" s="3">
        <v>47.444000000000003</v>
      </c>
      <c r="H193" s="3">
        <f>IFERROR(INDEX('Tagging key'!D:D, MATCH(F193,'Tagging key'!C:C,0)),"")</f>
        <v>73</v>
      </c>
      <c r="I193" s="3">
        <f>IFERROR(INDEX('Tagging key'!E:E, MATCH(F193,'Tagging key'!C:C,0)),"")</f>
        <v>75</v>
      </c>
      <c r="J193" s="3">
        <f>IFERROR(INDEX('Tagging key'!F:F, MATCH(F193,'Tagging key'!C:C,0)),"")</f>
        <v>15</v>
      </c>
      <c r="K193" s="3">
        <v>40.381999999999998</v>
      </c>
      <c r="L193" s="3">
        <v>74.02</v>
      </c>
      <c r="M193" s="3">
        <v>76.14</v>
      </c>
      <c r="N193" s="3">
        <v>18.21</v>
      </c>
      <c r="O193" s="3"/>
      <c r="P193" s="26">
        <v>45886</v>
      </c>
      <c r="Q193" s="26">
        <v>45886</v>
      </c>
      <c r="R193" s="3">
        <v>19.344000000000001</v>
      </c>
    </row>
    <row r="194" spans="1:19" x14ac:dyDescent="0.25">
      <c r="A194" s="11">
        <v>6</v>
      </c>
      <c r="B194" s="11">
        <v>4</v>
      </c>
      <c r="C194" s="11" t="s">
        <v>248</v>
      </c>
      <c r="D194" s="11" t="s">
        <v>46</v>
      </c>
      <c r="E194" s="11" t="s">
        <v>421</v>
      </c>
      <c r="F194" s="11" t="s">
        <v>422</v>
      </c>
      <c r="G194" s="3">
        <v>37.621000000000002</v>
      </c>
      <c r="H194" s="3">
        <f>IFERROR(INDEX('Tagging key'!D:D, MATCH(F194,'Tagging key'!C:C,0)),"")</f>
        <v>74.37</v>
      </c>
      <c r="I194" s="3">
        <f>IFERROR(INDEX('Tagging key'!E:E, MATCH(F194,'Tagging key'!C:C,0)),"")</f>
        <v>40.6</v>
      </c>
      <c r="J194" s="3">
        <f>IFERROR(INDEX('Tagging key'!F:F, MATCH(F194,'Tagging key'!C:C,0)),"")</f>
        <v>26.45</v>
      </c>
      <c r="K194" s="3">
        <v>38.591999999999999</v>
      </c>
      <c r="L194" s="3">
        <v>74.55</v>
      </c>
      <c r="M194" s="3">
        <v>38.75</v>
      </c>
      <c r="N194" s="3">
        <v>28.19</v>
      </c>
      <c r="O194" s="3"/>
      <c r="P194" s="22">
        <v>45879</v>
      </c>
      <c r="Q194" s="22">
        <v>45879</v>
      </c>
      <c r="R194" s="3"/>
    </row>
    <row r="195" spans="1:19" x14ac:dyDescent="0.25">
      <c r="A195" s="11">
        <v>6</v>
      </c>
      <c r="B195" s="11">
        <v>4</v>
      </c>
      <c r="C195" s="11" t="s">
        <v>248</v>
      </c>
      <c r="D195" s="11" t="s">
        <v>46</v>
      </c>
      <c r="E195" s="11" t="s">
        <v>423</v>
      </c>
      <c r="F195" s="11" t="s">
        <v>424</v>
      </c>
      <c r="G195" s="3">
        <v>25.751999999999999</v>
      </c>
      <c r="H195" s="3">
        <f>IFERROR(INDEX('Tagging key'!D:D, MATCH(F195,'Tagging key'!C:C,0)),"")</f>
        <v>66.959999999999994</v>
      </c>
      <c r="I195" s="3">
        <f>IFERROR(INDEX('Tagging key'!E:E, MATCH(F195,'Tagging key'!C:C,0)),"")</f>
        <v>36.75</v>
      </c>
      <c r="J195" s="3">
        <f>IFERROR(INDEX('Tagging key'!F:F, MATCH(F195,'Tagging key'!C:C,0)),"")</f>
        <v>23.59</v>
      </c>
      <c r="K195" s="3">
        <v>26.132000000000001</v>
      </c>
      <c r="L195" s="3">
        <v>67.16</v>
      </c>
      <c r="M195" s="3">
        <v>32.869999999999997</v>
      </c>
      <c r="N195" s="3">
        <v>23.85</v>
      </c>
      <c r="O195" s="3"/>
      <c r="P195" s="22">
        <v>45882</v>
      </c>
      <c r="Q195" s="22">
        <v>45882</v>
      </c>
      <c r="R195" s="3">
        <v>8.8740000000000006</v>
      </c>
    </row>
    <row r="196" spans="1:19" x14ac:dyDescent="0.25">
      <c r="A196" s="11">
        <v>6</v>
      </c>
      <c r="B196" s="11">
        <v>4</v>
      </c>
      <c r="C196" s="11" t="s">
        <v>248</v>
      </c>
      <c r="D196" s="11" t="s">
        <v>46</v>
      </c>
      <c r="E196" s="11" t="s">
        <v>425</v>
      </c>
      <c r="F196" s="11" t="s">
        <v>426</v>
      </c>
      <c r="G196" s="3">
        <v>55.456000000000003</v>
      </c>
      <c r="H196" s="3">
        <f>IFERROR(INDEX('Tagging key'!D:D, MATCH(F196,'Tagging key'!C:C,0)),"")</f>
        <v>84.46</v>
      </c>
      <c r="I196" s="3">
        <f>IFERROR(INDEX('Tagging key'!E:E, MATCH(F196,'Tagging key'!C:C,0)),"")</f>
        <v>45.67</v>
      </c>
      <c r="J196" s="3">
        <f>IFERROR(INDEX('Tagging key'!F:F, MATCH(F196,'Tagging key'!C:C,0)),"")</f>
        <v>31.23</v>
      </c>
      <c r="K196" s="3">
        <v>56.789000000000001</v>
      </c>
      <c r="L196" s="3">
        <v>84.29</v>
      </c>
      <c r="M196" s="3">
        <v>42.24</v>
      </c>
      <c r="N196" s="3">
        <v>31.16</v>
      </c>
      <c r="O196" s="3"/>
      <c r="P196" s="26">
        <v>45886</v>
      </c>
      <c r="Q196" s="26">
        <v>45886</v>
      </c>
    </row>
    <row r="197" spans="1:19" x14ac:dyDescent="0.25">
      <c r="A197" s="11">
        <v>6</v>
      </c>
      <c r="B197" s="11">
        <v>4</v>
      </c>
      <c r="C197" s="11" t="s">
        <v>248</v>
      </c>
      <c r="D197" s="11" t="s">
        <v>46</v>
      </c>
      <c r="E197" s="11" t="s">
        <v>427</v>
      </c>
      <c r="F197" s="11" t="s">
        <v>428</v>
      </c>
      <c r="G197" s="3">
        <v>37.436</v>
      </c>
      <c r="H197" s="3">
        <f>IFERROR(INDEX('Tagging key'!D:D, MATCH(F197,'Tagging key'!C:C,0)),"")</f>
        <v>68.959999999999994</v>
      </c>
      <c r="I197" s="3">
        <f>IFERROR(INDEX('Tagging key'!E:E, MATCH(F197,'Tagging key'!C:C,0)),"")</f>
        <v>38.64</v>
      </c>
      <c r="J197" s="3">
        <f>IFERROR(INDEX('Tagging key'!F:F, MATCH(F197,'Tagging key'!C:C,0)),"")</f>
        <v>27.79</v>
      </c>
      <c r="K197" s="3">
        <v>37.622999999999998</v>
      </c>
      <c r="L197" s="3">
        <v>69.14</v>
      </c>
      <c r="M197" s="3">
        <v>35.17</v>
      </c>
      <c r="N197" s="3">
        <v>28.62</v>
      </c>
      <c r="O197" s="3"/>
      <c r="P197" s="22">
        <v>45877</v>
      </c>
      <c r="Q197" s="22">
        <v>45877</v>
      </c>
      <c r="R197" s="3"/>
    </row>
    <row r="198" spans="1:19" x14ac:dyDescent="0.25">
      <c r="A198" s="12">
        <v>6</v>
      </c>
      <c r="B198" s="12">
        <v>5</v>
      </c>
      <c r="C198" s="12" t="s">
        <v>248</v>
      </c>
      <c r="D198" s="12" t="s">
        <v>46</v>
      </c>
      <c r="E198" s="12" t="s">
        <v>429</v>
      </c>
      <c r="F198" s="12" t="s">
        <v>430</v>
      </c>
      <c r="G198" s="3">
        <v>45.843000000000004</v>
      </c>
      <c r="H198" s="3">
        <f>IFERROR(INDEX('Tagging key'!D:D, MATCH(F198,'Tagging key'!C:C,0)),"")</f>
        <v>78.22</v>
      </c>
      <c r="I198" s="3">
        <f>IFERROR(INDEX('Tagging key'!E:E, MATCH(F198,'Tagging key'!C:C,0)),"")</f>
        <v>41.51</v>
      </c>
      <c r="J198" s="3">
        <f>IFERROR(INDEX('Tagging key'!F:F, MATCH(F198,'Tagging key'!C:C,0)),"")</f>
        <v>27.87</v>
      </c>
      <c r="K198" s="3">
        <v>46.371000000000002</v>
      </c>
      <c r="L198" s="3">
        <v>77.12</v>
      </c>
      <c r="M198" s="3">
        <v>39.03</v>
      </c>
      <c r="N198" s="3">
        <v>28.88</v>
      </c>
      <c r="O198" s="3"/>
      <c r="P198" s="26">
        <v>45886</v>
      </c>
      <c r="Q198" s="26">
        <v>45886</v>
      </c>
      <c r="R198" s="3">
        <v>18.43</v>
      </c>
    </row>
    <row r="199" spans="1:19" x14ac:dyDescent="0.25">
      <c r="A199" s="12">
        <v>6</v>
      </c>
      <c r="B199" s="12">
        <v>5</v>
      </c>
      <c r="C199" s="12" t="s">
        <v>248</v>
      </c>
      <c r="D199" s="12" t="s">
        <v>46</v>
      </c>
      <c r="E199" s="12" t="s">
        <v>353</v>
      </c>
      <c r="F199" s="12" t="s">
        <v>431</v>
      </c>
      <c r="G199" s="3">
        <v>36.024000000000001</v>
      </c>
      <c r="H199" s="3">
        <f>IFERROR(INDEX('Tagging key'!D:D, MATCH(F199,'Tagging key'!C:C,0)),"")</f>
        <v>70.040000000000006</v>
      </c>
      <c r="I199" s="3">
        <f>IFERROR(INDEX('Tagging key'!E:E, MATCH(F199,'Tagging key'!C:C,0)),"")</f>
        <v>34.75</v>
      </c>
      <c r="J199" s="3">
        <f>IFERROR(INDEX('Tagging key'!F:F, MATCH(F199,'Tagging key'!C:C,0)),"")</f>
        <v>28.91</v>
      </c>
      <c r="K199" s="3">
        <v>36.256</v>
      </c>
      <c r="L199" s="3">
        <v>69.28</v>
      </c>
      <c r="M199" s="3">
        <v>31.36</v>
      </c>
      <c r="N199" s="3">
        <v>28.09</v>
      </c>
      <c r="O199" s="3"/>
      <c r="P199" s="22">
        <v>45882</v>
      </c>
      <c r="Q199" s="22">
        <v>45882</v>
      </c>
      <c r="R199" s="3">
        <v>14.795999999999999</v>
      </c>
    </row>
    <row r="200" spans="1:19" x14ac:dyDescent="0.25">
      <c r="A200" s="12">
        <v>6</v>
      </c>
      <c r="B200" s="12">
        <v>5</v>
      </c>
      <c r="C200" s="12" t="s">
        <v>248</v>
      </c>
      <c r="D200" s="12" t="s">
        <v>46</v>
      </c>
      <c r="E200" s="12" t="s">
        <v>432</v>
      </c>
      <c r="F200" s="12" t="s">
        <v>433</v>
      </c>
      <c r="G200" s="3">
        <v>36.555</v>
      </c>
      <c r="H200" s="3">
        <f>IFERROR(INDEX('Tagging key'!D:D, MATCH(F200,'Tagging key'!C:C,0)),"")</f>
        <v>73.81</v>
      </c>
      <c r="I200" s="3">
        <f>IFERROR(INDEX('Tagging key'!E:E, MATCH(F200,'Tagging key'!C:C,0)),"")</f>
        <v>43.88</v>
      </c>
      <c r="J200" s="3">
        <f>IFERROR(INDEX('Tagging key'!F:F, MATCH(F200,'Tagging key'!C:C,0)),"")</f>
        <v>25.61</v>
      </c>
      <c r="K200" s="3">
        <v>37.563000000000002</v>
      </c>
      <c r="L200" s="3">
        <v>74.41</v>
      </c>
      <c r="M200" s="3">
        <v>40.119999999999997</v>
      </c>
      <c r="N200" s="3">
        <v>27.02</v>
      </c>
      <c r="O200" s="3"/>
      <c r="P200" s="22">
        <v>45879</v>
      </c>
      <c r="Q200" s="22">
        <v>45879</v>
      </c>
      <c r="R200" s="3"/>
    </row>
    <row r="201" spans="1:19" x14ac:dyDescent="0.25">
      <c r="A201" s="12">
        <v>6</v>
      </c>
      <c r="B201" s="12">
        <v>5</v>
      </c>
      <c r="C201" s="12" t="s">
        <v>248</v>
      </c>
      <c r="D201" s="12" t="s">
        <v>46</v>
      </c>
      <c r="E201" s="12" t="s">
        <v>434</v>
      </c>
      <c r="F201" s="12" t="s">
        <v>435</v>
      </c>
      <c r="G201" s="3">
        <v>64.932000000000002</v>
      </c>
      <c r="H201" s="3">
        <f>IFERROR(INDEX('Tagging key'!D:D, MATCH(F201,'Tagging key'!C:C,0)),"")</f>
        <v>87</v>
      </c>
      <c r="I201" s="3">
        <f>IFERROR(INDEX('Tagging key'!E:E, MATCH(F201,'Tagging key'!C:C,0)),"")</f>
        <v>40</v>
      </c>
      <c r="J201" s="3">
        <f>IFERROR(INDEX('Tagging key'!F:F, MATCH(F201,'Tagging key'!C:C,0)),"")</f>
        <v>32</v>
      </c>
      <c r="K201" s="3">
        <v>65.012</v>
      </c>
      <c r="L201" s="3">
        <v>87.12</v>
      </c>
      <c r="M201" s="3">
        <v>40.33</v>
      </c>
      <c r="N201" s="3">
        <v>33.11</v>
      </c>
      <c r="O201" s="3"/>
      <c r="P201" s="22">
        <v>45877</v>
      </c>
      <c r="Q201" s="22">
        <v>45877</v>
      </c>
      <c r="R201" s="3"/>
    </row>
    <row r="202" spans="1:19" x14ac:dyDescent="0.25">
      <c r="A202" s="11">
        <v>6</v>
      </c>
      <c r="B202" s="11">
        <v>6</v>
      </c>
      <c r="C202" s="11" t="s">
        <v>248</v>
      </c>
      <c r="D202" s="11" t="s">
        <v>46</v>
      </c>
      <c r="E202" s="11" t="s">
        <v>436</v>
      </c>
      <c r="F202" s="11" t="s">
        <v>437</v>
      </c>
      <c r="G202" s="3">
        <v>40.341999999999999</v>
      </c>
      <c r="H202" s="3">
        <f>IFERROR(INDEX('Tagging key'!D:D, MATCH(F202,'Tagging key'!C:C,0)),"")</f>
        <v>72</v>
      </c>
      <c r="I202" s="3">
        <f>IFERROR(INDEX('Tagging key'!E:E, MATCH(F202,'Tagging key'!C:C,0)),"")</f>
        <v>38</v>
      </c>
      <c r="J202" s="3">
        <f>IFERROR(INDEX('Tagging key'!F:F, MATCH(F202,'Tagging key'!C:C,0)),"")</f>
        <v>27</v>
      </c>
      <c r="K202" s="3">
        <v>40.433</v>
      </c>
      <c r="L202" s="3">
        <v>72.180000000000007</v>
      </c>
      <c r="M202" s="3">
        <v>38.46</v>
      </c>
      <c r="N202" s="3">
        <v>27.57</v>
      </c>
      <c r="O202" s="3"/>
      <c r="P202" s="26">
        <v>45886</v>
      </c>
      <c r="Q202" s="26">
        <v>45886</v>
      </c>
    </row>
    <row r="203" spans="1:19" x14ac:dyDescent="0.25">
      <c r="A203" s="11">
        <v>6</v>
      </c>
      <c r="B203" s="11">
        <v>6</v>
      </c>
      <c r="C203" s="11" t="s">
        <v>248</v>
      </c>
      <c r="D203" s="11" t="s">
        <v>46</v>
      </c>
      <c r="E203" s="11" t="s">
        <v>438</v>
      </c>
      <c r="F203" s="11" t="s">
        <v>439</v>
      </c>
      <c r="G203" s="3">
        <v>36.405999999999999</v>
      </c>
      <c r="H203" s="3">
        <f>IFERROR(INDEX('Tagging key'!D:D, MATCH(F203,'Tagging key'!C:C,0)),"")</f>
        <v>74</v>
      </c>
      <c r="I203" s="3">
        <f>IFERROR(INDEX('Tagging key'!E:E, MATCH(F203,'Tagging key'!C:C,0)),"")</f>
        <v>34</v>
      </c>
      <c r="J203" s="3">
        <f>IFERROR(INDEX('Tagging key'!F:F, MATCH(F203,'Tagging key'!C:C,0)),"")</f>
        <v>26</v>
      </c>
      <c r="K203" s="3">
        <v>37.067</v>
      </c>
      <c r="L203" s="3">
        <v>75.150000000000006</v>
      </c>
      <c r="M203" s="3">
        <v>34.659999999999997</v>
      </c>
      <c r="N203" s="3">
        <v>26.3</v>
      </c>
      <c r="O203" s="3"/>
      <c r="P203" s="22">
        <v>45882</v>
      </c>
      <c r="Q203" s="22">
        <v>45882</v>
      </c>
      <c r="R203" s="3">
        <v>14.064</v>
      </c>
    </row>
    <row r="204" spans="1:19" x14ac:dyDescent="0.25">
      <c r="A204" s="11">
        <v>6</v>
      </c>
      <c r="B204" s="11">
        <v>6</v>
      </c>
      <c r="C204" s="11" t="s">
        <v>248</v>
      </c>
      <c r="D204" s="11" t="s">
        <v>46</v>
      </c>
      <c r="E204" s="11" t="s">
        <v>440</v>
      </c>
      <c r="F204" s="11" t="s">
        <v>441</v>
      </c>
      <c r="G204" s="3">
        <v>77.497</v>
      </c>
      <c r="H204" s="3">
        <f>IFERROR(INDEX('Tagging key'!D:D, MATCH(F204,'Tagging key'!C:C,0)),"")</f>
        <v>93.62</v>
      </c>
      <c r="I204" s="3">
        <f>IFERROR(INDEX('Tagging key'!E:E, MATCH(F204,'Tagging key'!C:C,0)),"")</f>
        <v>45.15</v>
      </c>
      <c r="J204" s="3">
        <f>IFERROR(INDEX('Tagging key'!F:F, MATCH(F204,'Tagging key'!C:C,0)),"")</f>
        <v>32.46</v>
      </c>
      <c r="K204" s="3">
        <v>77.524000000000001</v>
      </c>
      <c r="L204" s="3">
        <v>93.18</v>
      </c>
      <c r="M204" s="3">
        <v>42.83</v>
      </c>
      <c r="N204" s="3">
        <v>35</v>
      </c>
      <c r="O204" s="3"/>
      <c r="P204" s="22">
        <v>45877</v>
      </c>
      <c r="Q204" s="22">
        <v>45877</v>
      </c>
      <c r="R204" s="3"/>
    </row>
    <row r="205" spans="1:19" x14ac:dyDescent="0.25">
      <c r="A205" s="11">
        <v>6</v>
      </c>
      <c r="B205" s="11">
        <v>6</v>
      </c>
      <c r="C205" s="11" t="s">
        <v>248</v>
      </c>
      <c r="D205" s="11" t="s">
        <v>46</v>
      </c>
      <c r="E205" s="11" t="s">
        <v>442</v>
      </c>
      <c r="F205" s="11" t="s">
        <v>443</v>
      </c>
      <c r="G205" s="3">
        <v>42.231000000000002</v>
      </c>
      <c r="H205" s="3">
        <f>IFERROR(INDEX('Tagging key'!D:D, MATCH(F205,'Tagging key'!C:C,0)),"")</f>
        <v>75</v>
      </c>
      <c r="I205" s="3">
        <f>IFERROR(INDEX('Tagging key'!E:E, MATCH(F205,'Tagging key'!C:C,0)),"")</f>
        <v>37</v>
      </c>
      <c r="J205" s="3">
        <f>IFERROR(INDEX('Tagging key'!F:F, MATCH(F205,'Tagging key'!C:C,0)),"")</f>
        <v>27</v>
      </c>
      <c r="K205" s="3">
        <v>42.625</v>
      </c>
      <c r="L205" s="3">
        <v>75.459999999999994</v>
      </c>
      <c r="M205" s="3">
        <v>38.229999999999997</v>
      </c>
      <c r="N205" s="3">
        <v>28.47</v>
      </c>
      <c r="O205" s="3"/>
      <c r="P205" s="22">
        <v>45879</v>
      </c>
      <c r="Q205" s="22">
        <v>45879</v>
      </c>
      <c r="R205" s="3"/>
    </row>
    <row r="206" spans="1:19" x14ac:dyDescent="0.25">
      <c r="A206" s="19">
        <v>6</v>
      </c>
      <c r="B206" s="19">
        <v>7</v>
      </c>
      <c r="C206" s="19" t="s">
        <v>248</v>
      </c>
      <c r="D206" s="19" t="s">
        <v>16</v>
      </c>
      <c r="E206" s="19" t="s">
        <v>444</v>
      </c>
      <c r="F206" s="19" t="s">
        <v>445</v>
      </c>
      <c r="G206" s="19">
        <v>26.518999999999998</v>
      </c>
      <c r="H206" s="19">
        <f>IFERROR(INDEX('Tagging key'!D:D, MATCH(F206,'Tagging key'!C:C,0)),"")</f>
        <v>65.17</v>
      </c>
      <c r="I206" s="19">
        <f>IFERROR(INDEX('Tagging key'!E:E, MATCH(F206,'Tagging key'!C:C,0)),"")</f>
        <v>45.56</v>
      </c>
      <c r="J206" s="19">
        <f>IFERROR(INDEX('Tagging key'!F:F, MATCH(F206,'Tagging key'!C:C,0)),"")</f>
        <v>14.72</v>
      </c>
      <c r="K206" s="19"/>
      <c r="L206" s="19"/>
      <c r="M206" s="19"/>
      <c r="N206" s="19"/>
      <c r="O206" s="19"/>
      <c r="P206" s="19"/>
      <c r="Q206" s="19"/>
      <c r="R206" s="19"/>
      <c r="S206" t="s">
        <v>446</v>
      </c>
    </row>
    <row r="207" spans="1:19" x14ac:dyDescent="0.25">
      <c r="A207" s="8">
        <v>6</v>
      </c>
      <c r="B207" s="8">
        <v>7</v>
      </c>
      <c r="C207" s="8" t="s">
        <v>248</v>
      </c>
      <c r="D207" s="8" t="s">
        <v>16</v>
      </c>
      <c r="E207" s="8" t="s">
        <v>447</v>
      </c>
      <c r="F207" s="8" t="s">
        <v>448</v>
      </c>
      <c r="G207" s="3">
        <v>41.201999999999998</v>
      </c>
      <c r="H207" s="3">
        <f>IFERROR(INDEX('Tagging key'!D:D, MATCH(F207,'Tagging key'!C:C,0)),"")</f>
        <v>80.42</v>
      </c>
      <c r="I207" s="3">
        <f>IFERROR(INDEX('Tagging key'!E:E, MATCH(F207,'Tagging key'!C:C,0)),"")</f>
        <v>47.66</v>
      </c>
      <c r="J207" s="3">
        <f>IFERROR(INDEX('Tagging key'!F:F, MATCH(F207,'Tagging key'!C:C,0)),"")</f>
        <v>19.63</v>
      </c>
      <c r="K207" s="3">
        <v>40.576999999999998</v>
      </c>
      <c r="L207" s="3">
        <v>80.14</v>
      </c>
      <c r="M207" s="3">
        <v>49.94</v>
      </c>
      <c r="N207" s="3">
        <v>18.78</v>
      </c>
      <c r="O207" s="3"/>
      <c r="P207" s="22">
        <v>45882</v>
      </c>
      <c r="Q207" s="22">
        <v>45882</v>
      </c>
      <c r="R207" s="3">
        <v>24.234999999999999</v>
      </c>
    </row>
    <row r="208" spans="1:19" x14ac:dyDescent="0.25">
      <c r="A208" s="8">
        <v>6</v>
      </c>
      <c r="B208" s="8">
        <v>7</v>
      </c>
      <c r="C208" s="8" t="s">
        <v>248</v>
      </c>
      <c r="D208" s="8" t="s">
        <v>16</v>
      </c>
      <c r="E208" s="8" t="s">
        <v>449</v>
      </c>
      <c r="F208" s="8" t="s">
        <v>450</v>
      </c>
      <c r="G208" s="3">
        <v>40.465000000000003</v>
      </c>
      <c r="H208" s="3">
        <f>IFERROR(INDEX('Tagging key'!D:D, MATCH(F208,'Tagging key'!C:C,0)),"")</f>
        <v>81.28</v>
      </c>
      <c r="I208" s="3">
        <f>IFERROR(INDEX('Tagging key'!E:E, MATCH(F208,'Tagging key'!C:C,0)),"")</f>
        <v>51.86</v>
      </c>
      <c r="J208" s="3">
        <f>IFERROR(INDEX('Tagging key'!F:F, MATCH(F208,'Tagging key'!C:C,0)),"")</f>
        <v>23.17</v>
      </c>
      <c r="K208" s="3">
        <v>39.804000000000002</v>
      </c>
      <c r="L208" s="3">
        <v>75.31</v>
      </c>
      <c r="M208" s="3">
        <v>44.08</v>
      </c>
      <c r="N208" s="3">
        <v>17.3</v>
      </c>
      <c r="O208" s="3"/>
      <c r="P208" s="22">
        <v>45877</v>
      </c>
      <c r="Q208" s="22">
        <v>45877</v>
      </c>
      <c r="R208" s="3"/>
    </row>
    <row r="209" spans="1:19" x14ac:dyDescent="0.25">
      <c r="A209" s="8">
        <v>6</v>
      </c>
      <c r="B209" s="8">
        <v>7</v>
      </c>
      <c r="C209" s="8" t="s">
        <v>248</v>
      </c>
      <c r="D209" s="8" t="s">
        <v>16</v>
      </c>
      <c r="E209" s="8" t="s">
        <v>451</v>
      </c>
      <c r="F209" s="8" t="s">
        <v>452</v>
      </c>
      <c r="G209" s="3">
        <v>32.564999999999998</v>
      </c>
      <c r="H209" s="3">
        <f>IFERROR(INDEX('Tagging key'!D:D, MATCH(F209,'Tagging key'!C:C,0)),"")</f>
        <v>61.11</v>
      </c>
      <c r="I209" s="3">
        <f>IFERROR(INDEX('Tagging key'!E:E, MATCH(F209,'Tagging key'!C:C,0)),"")</f>
        <v>46.57</v>
      </c>
      <c r="J209" s="3">
        <f>IFERROR(INDEX('Tagging key'!F:F, MATCH(F209,'Tagging key'!C:C,0)),"")</f>
        <v>18.88</v>
      </c>
      <c r="K209" s="3">
        <v>33.478000000000002</v>
      </c>
      <c r="L209" s="3">
        <v>63.2</v>
      </c>
      <c r="M209" s="3">
        <v>53.02</v>
      </c>
      <c r="N209" s="3">
        <v>22.48</v>
      </c>
      <c r="O209" s="3"/>
      <c r="P209" s="22">
        <v>45879</v>
      </c>
      <c r="Q209" s="22">
        <v>45879</v>
      </c>
      <c r="R209" s="3"/>
    </row>
    <row r="210" spans="1:19" x14ac:dyDescent="0.25">
      <c r="A210" s="9">
        <v>6</v>
      </c>
      <c r="B210" s="9">
        <v>8</v>
      </c>
      <c r="C210" s="9" t="s">
        <v>248</v>
      </c>
      <c r="D210" s="9" t="s">
        <v>16</v>
      </c>
      <c r="E210" s="9" t="s">
        <v>154</v>
      </c>
      <c r="F210" s="9" t="s">
        <v>453</v>
      </c>
      <c r="G210" s="3">
        <v>39.783999999999999</v>
      </c>
      <c r="H210" s="3">
        <f>IFERROR(INDEX('Tagging key'!D:D, MATCH(F210,'Tagging key'!C:C,0)),"")</f>
        <v>84.7</v>
      </c>
      <c r="I210" s="3">
        <f>IFERROR(INDEX('Tagging key'!E:E, MATCH(F210,'Tagging key'!C:C,0)),"")</f>
        <v>49.44</v>
      </c>
      <c r="J210" s="3">
        <f>IFERROR(INDEX('Tagging key'!F:F, MATCH(F210,'Tagging key'!C:C,0)),"")</f>
        <v>17.03</v>
      </c>
      <c r="K210" s="3">
        <v>39.734000000000002</v>
      </c>
      <c r="L210" s="3">
        <v>84.41</v>
      </c>
      <c r="M210" s="3">
        <v>47.22</v>
      </c>
      <c r="N210" s="3">
        <v>19.37</v>
      </c>
      <c r="O210" s="3"/>
      <c r="P210" s="22">
        <v>45877</v>
      </c>
      <c r="Q210" s="22">
        <v>45877</v>
      </c>
      <c r="R210" s="3"/>
    </row>
    <row r="211" spans="1:19" x14ac:dyDescent="0.25">
      <c r="A211" s="9">
        <v>6</v>
      </c>
      <c r="B211" s="9">
        <v>8</v>
      </c>
      <c r="C211" s="9" t="s">
        <v>248</v>
      </c>
      <c r="D211" s="9" t="s">
        <v>16</v>
      </c>
      <c r="E211" s="9" t="s">
        <v>170</v>
      </c>
      <c r="F211" s="9" t="s">
        <v>454</v>
      </c>
      <c r="G211" s="3">
        <v>33.204999999999998</v>
      </c>
      <c r="H211" s="3">
        <f>IFERROR(INDEX('Tagging key'!D:D, MATCH(F211,'Tagging key'!C:C,0)),"")</f>
        <v>71.98</v>
      </c>
      <c r="I211" s="3">
        <f>IFERROR(INDEX('Tagging key'!E:E, MATCH(F211,'Tagging key'!C:C,0)),"")</f>
        <v>50.73</v>
      </c>
      <c r="J211" s="3">
        <f>IFERROR(INDEX('Tagging key'!F:F, MATCH(F211,'Tagging key'!C:C,0)),"")</f>
        <v>17.510000000000002</v>
      </c>
      <c r="K211" s="3">
        <v>32.911999999999999</v>
      </c>
      <c r="L211" s="3">
        <v>72.08</v>
      </c>
      <c r="M211" s="3">
        <v>48.57</v>
      </c>
      <c r="N211" s="3">
        <v>18.010000000000002</v>
      </c>
      <c r="O211" s="3"/>
      <c r="P211" s="22">
        <v>45882</v>
      </c>
      <c r="Q211" s="22">
        <v>45882</v>
      </c>
      <c r="R211" s="3">
        <v>19.452999999999999</v>
      </c>
    </row>
    <row r="212" spans="1:19" x14ac:dyDescent="0.25">
      <c r="A212" s="9">
        <v>6</v>
      </c>
      <c r="B212" s="9">
        <v>8</v>
      </c>
      <c r="C212" s="9" t="s">
        <v>248</v>
      </c>
      <c r="D212" s="9" t="s">
        <v>16</v>
      </c>
      <c r="E212" s="9" t="s">
        <v>183</v>
      </c>
      <c r="F212" s="9" t="s">
        <v>455</v>
      </c>
      <c r="G212" s="3">
        <v>31.088000000000001</v>
      </c>
      <c r="H212" s="3">
        <f>IFERROR(INDEX('Tagging key'!D:D, MATCH(F212,'Tagging key'!C:C,0)),"")</f>
        <v>55.85</v>
      </c>
      <c r="I212" s="3">
        <f>IFERROR(INDEX('Tagging key'!E:E, MATCH(F212,'Tagging key'!C:C,0)),"")</f>
        <v>52.59</v>
      </c>
      <c r="J212" s="3">
        <f>IFERROR(INDEX('Tagging key'!F:F, MATCH(F212,'Tagging key'!C:C,0)),"")</f>
        <v>17.809999999999999</v>
      </c>
      <c r="K212" s="3">
        <v>30.722000000000001</v>
      </c>
      <c r="L212" s="3">
        <v>61.87</v>
      </c>
      <c r="M212" s="3">
        <v>47.2</v>
      </c>
      <c r="N212" s="3">
        <v>20.399999999999999</v>
      </c>
      <c r="O212" s="3"/>
      <c r="P212" s="22">
        <v>45879</v>
      </c>
      <c r="Q212" s="22">
        <v>45879</v>
      </c>
      <c r="R212" s="3"/>
    </row>
    <row r="213" spans="1:19" x14ac:dyDescent="0.25">
      <c r="A213" s="19">
        <v>6</v>
      </c>
      <c r="B213" s="19">
        <v>8</v>
      </c>
      <c r="C213" s="19" t="s">
        <v>248</v>
      </c>
      <c r="D213" s="19" t="s">
        <v>16</v>
      </c>
      <c r="E213" s="19" t="s">
        <v>456</v>
      </c>
      <c r="F213" s="19" t="s">
        <v>457</v>
      </c>
      <c r="G213" s="19">
        <v>11.05</v>
      </c>
      <c r="H213" s="19">
        <f>IFERROR(INDEX('Tagging key'!D:D, MATCH(F213,'Tagging key'!C:C,0)),"")</f>
        <v>48.99</v>
      </c>
      <c r="I213" s="19">
        <f>IFERROR(INDEX('Tagging key'!E:E, MATCH(F213,'Tagging key'!C:C,0)),"")</f>
        <v>31.19</v>
      </c>
      <c r="J213" s="19">
        <f>IFERROR(INDEX('Tagging key'!F:F, MATCH(F213,'Tagging key'!C:C,0)),"")</f>
        <v>14.88</v>
      </c>
      <c r="K213" s="19">
        <v>11.226000000000001</v>
      </c>
      <c r="L213" s="19">
        <v>48.99</v>
      </c>
      <c r="M213" s="19">
        <v>31.62</v>
      </c>
      <c r="N213" s="19">
        <v>15.38</v>
      </c>
      <c r="O213" s="19"/>
      <c r="P213" s="27"/>
      <c r="Q213" s="27"/>
      <c r="R213" s="19">
        <v>6.7450000000000001</v>
      </c>
      <c r="S213" t="s">
        <v>458</v>
      </c>
    </row>
    <row r="214" spans="1:19" x14ac:dyDescent="0.25">
      <c r="A214" s="8">
        <v>6</v>
      </c>
      <c r="B214" s="8">
        <v>9</v>
      </c>
      <c r="C214" s="8" t="s">
        <v>248</v>
      </c>
      <c r="D214" s="8" t="s">
        <v>16</v>
      </c>
      <c r="E214" s="8" t="s">
        <v>459</v>
      </c>
      <c r="F214" s="8" t="s">
        <v>460</v>
      </c>
      <c r="G214" s="3">
        <v>18.914000000000001</v>
      </c>
      <c r="H214" s="3">
        <f>IFERROR(INDEX('Tagging key'!D:D, MATCH(F214,'Tagging key'!C:C,0)),"")</f>
        <v>59.29</v>
      </c>
      <c r="I214" s="3">
        <f>IFERROR(INDEX('Tagging key'!E:E, MATCH(F214,'Tagging key'!C:C,0)),"")</f>
        <v>37.909999999999997</v>
      </c>
      <c r="J214" s="3">
        <f>IFERROR(INDEX('Tagging key'!F:F, MATCH(F214,'Tagging key'!C:C,0)),"")</f>
        <v>14.47</v>
      </c>
      <c r="K214" s="3">
        <v>18.805</v>
      </c>
      <c r="L214" s="3">
        <v>60.06</v>
      </c>
      <c r="M214" s="3">
        <v>39.630000000000003</v>
      </c>
      <c r="N214" s="3">
        <v>18.09</v>
      </c>
      <c r="O214" s="3"/>
      <c r="P214" s="22">
        <v>45879</v>
      </c>
      <c r="Q214" s="22">
        <v>45879</v>
      </c>
      <c r="R214" s="3"/>
    </row>
    <row r="215" spans="1:19" x14ac:dyDescent="0.25">
      <c r="A215" s="8">
        <v>6</v>
      </c>
      <c r="B215" s="8">
        <v>9</v>
      </c>
      <c r="C215" s="8" t="s">
        <v>248</v>
      </c>
      <c r="D215" s="8" t="s">
        <v>16</v>
      </c>
      <c r="E215" s="8" t="s">
        <v>432</v>
      </c>
      <c r="F215" s="8" t="s">
        <v>461</v>
      </c>
      <c r="G215" s="3">
        <v>32.917999999999999</v>
      </c>
      <c r="H215" s="3">
        <f>IFERROR(INDEX('Tagging key'!D:D, MATCH(F215,'Tagging key'!C:C,0)),"")</f>
        <v>60.48</v>
      </c>
      <c r="I215" s="3">
        <f>IFERROR(INDEX('Tagging key'!E:E, MATCH(F215,'Tagging key'!C:C,0)),"")</f>
        <v>58.74</v>
      </c>
      <c r="J215" s="3">
        <f>IFERROR(INDEX('Tagging key'!F:F, MATCH(F215,'Tagging key'!C:C,0)),"")</f>
        <v>19.45</v>
      </c>
      <c r="K215" s="3">
        <v>32.503</v>
      </c>
      <c r="L215" s="3">
        <v>65.73</v>
      </c>
      <c r="M215" s="3">
        <v>39.97</v>
      </c>
      <c r="N215" s="3">
        <v>19.09</v>
      </c>
      <c r="O215" s="3"/>
      <c r="P215" s="22">
        <v>45877</v>
      </c>
      <c r="Q215" s="22">
        <v>45877</v>
      </c>
      <c r="R215" s="3"/>
    </row>
    <row r="216" spans="1:19" x14ac:dyDescent="0.25">
      <c r="A216" s="8">
        <v>6</v>
      </c>
      <c r="B216" s="8">
        <v>9</v>
      </c>
      <c r="C216" s="8" t="s">
        <v>248</v>
      </c>
      <c r="D216" s="8" t="s">
        <v>16</v>
      </c>
      <c r="E216" s="8" t="s">
        <v>462</v>
      </c>
      <c r="F216" s="8" t="s">
        <v>463</v>
      </c>
      <c r="G216" s="3">
        <v>25.733000000000001</v>
      </c>
      <c r="H216" s="3">
        <f>IFERROR(INDEX('Tagging key'!D:D, MATCH(F216,'Tagging key'!C:C,0)),"")</f>
        <v>69.05</v>
      </c>
      <c r="I216" s="3">
        <f>IFERROR(INDEX('Tagging key'!E:E, MATCH(F216,'Tagging key'!C:C,0)),"")</f>
        <v>43.8</v>
      </c>
      <c r="J216" s="3">
        <f>IFERROR(INDEX('Tagging key'!F:F, MATCH(F216,'Tagging key'!C:C,0)),"")</f>
        <v>15.75</v>
      </c>
      <c r="K216" s="3">
        <v>25.553000000000001</v>
      </c>
      <c r="L216" s="3">
        <v>69.89</v>
      </c>
      <c r="M216" s="3">
        <v>43.33</v>
      </c>
      <c r="N216" s="3">
        <v>16.059999999999999</v>
      </c>
      <c r="O216" s="3"/>
      <c r="P216" s="22">
        <v>45886</v>
      </c>
      <c r="Q216" s="22">
        <v>45886</v>
      </c>
      <c r="R216" s="3">
        <v>14.993</v>
      </c>
    </row>
    <row r="217" spans="1:19" x14ac:dyDescent="0.25">
      <c r="A217" s="8">
        <v>6</v>
      </c>
      <c r="B217" s="8">
        <v>9</v>
      </c>
      <c r="C217" s="8" t="s">
        <v>248</v>
      </c>
      <c r="D217" s="8" t="s">
        <v>16</v>
      </c>
      <c r="E217" s="8" t="s">
        <v>393</v>
      </c>
      <c r="F217" s="8" t="s">
        <v>464</v>
      </c>
      <c r="G217" s="3">
        <v>34.286000000000001</v>
      </c>
      <c r="H217" s="3">
        <f>IFERROR(INDEX('Tagging key'!D:D, MATCH(F217,'Tagging key'!C:C,0)),"")</f>
        <v>67.66</v>
      </c>
      <c r="I217" s="3">
        <f>IFERROR(INDEX('Tagging key'!E:E, MATCH(F217,'Tagging key'!C:C,0)),"")</f>
        <v>37.200000000000003</v>
      </c>
      <c r="J217" s="3">
        <f>IFERROR(INDEX('Tagging key'!F:F, MATCH(F217,'Tagging key'!C:C,0)),"")</f>
        <v>17.350000000000001</v>
      </c>
      <c r="K217" s="3">
        <v>33.856000000000002</v>
      </c>
      <c r="L217" s="3">
        <v>66.67</v>
      </c>
      <c r="M217" s="3">
        <v>37.28</v>
      </c>
      <c r="N217" s="3">
        <v>12.72</v>
      </c>
      <c r="O217" s="3"/>
      <c r="P217" s="22">
        <v>45882</v>
      </c>
      <c r="Q217" s="22">
        <v>45882</v>
      </c>
      <c r="R217" s="3">
        <v>18.033999999999999</v>
      </c>
      <c r="S217" t="s">
        <v>465</v>
      </c>
    </row>
    <row r="218" spans="1:19" x14ac:dyDescent="0.25">
      <c r="A218" s="11">
        <v>7</v>
      </c>
      <c r="B218" s="11">
        <v>1</v>
      </c>
      <c r="C218" s="11" t="s">
        <v>105</v>
      </c>
      <c r="D218" s="11" t="s">
        <v>46</v>
      </c>
      <c r="E218" s="11" t="s">
        <v>305</v>
      </c>
      <c r="F218" s="11" t="s">
        <v>466</v>
      </c>
      <c r="G218" s="3">
        <v>50.814999999999998</v>
      </c>
      <c r="H218" s="3">
        <f>IFERROR(INDEX('Tagging key'!D:D, MATCH(F218,'Tagging key'!C:C,0)),"")</f>
        <v>80.28</v>
      </c>
      <c r="I218" s="3">
        <f>IFERROR(INDEX('Tagging key'!E:E, MATCH(F218,'Tagging key'!C:C,0)),"")</f>
        <v>40.86</v>
      </c>
      <c r="J218" s="3">
        <f>IFERROR(INDEX('Tagging key'!F:F, MATCH(F218,'Tagging key'!C:C,0)),"")</f>
        <v>32.79</v>
      </c>
      <c r="K218" s="3">
        <v>51.667999999999999</v>
      </c>
      <c r="L218" s="3">
        <v>79.91</v>
      </c>
      <c r="M218" s="3">
        <v>38.58</v>
      </c>
      <c r="N218" s="3">
        <v>32.200000000000003</v>
      </c>
      <c r="O218" s="3"/>
      <c r="P218" s="22">
        <v>45886</v>
      </c>
      <c r="Q218" s="22">
        <v>45886</v>
      </c>
      <c r="R218" s="3"/>
    </row>
    <row r="219" spans="1:19" x14ac:dyDescent="0.25">
      <c r="A219" s="11">
        <v>7</v>
      </c>
      <c r="B219" s="11">
        <v>1</v>
      </c>
      <c r="C219" s="11" t="s">
        <v>105</v>
      </c>
      <c r="D219" s="11" t="s">
        <v>46</v>
      </c>
      <c r="E219" s="11" t="s">
        <v>467</v>
      </c>
      <c r="F219" s="11" t="s">
        <v>468</v>
      </c>
      <c r="G219" s="3">
        <v>68.811000000000007</v>
      </c>
      <c r="H219" s="3">
        <f>IFERROR(INDEX('Tagging key'!D:D, MATCH(F219,'Tagging key'!C:C,0)),"")</f>
        <v>85</v>
      </c>
      <c r="I219" s="3">
        <f>IFERROR(INDEX('Tagging key'!E:E, MATCH(F219,'Tagging key'!C:C,0)),"")</f>
        <v>42</v>
      </c>
      <c r="J219" s="3">
        <f>IFERROR(INDEX('Tagging key'!F:F, MATCH(F219,'Tagging key'!C:C,0)),"")</f>
        <v>34</v>
      </c>
      <c r="K219" s="3">
        <v>69.39</v>
      </c>
      <c r="L219" s="3">
        <v>86.52</v>
      </c>
      <c r="M219" s="3">
        <v>43.03</v>
      </c>
      <c r="N219" s="3">
        <v>34.9</v>
      </c>
      <c r="O219" s="3"/>
      <c r="P219" s="22">
        <v>45882</v>
      </c>
      <c r="Q219" s="22">
        <v>45882</v>
      </c>
      <c r="R219" s="3">
        <v>23.248000000000001</v>
      </c>
    </row>
    <row r="220" spans="1:19" x14ac:dyDescent="0.25">
      <c r="A220" s="11">
        <v>7</v>
      </c>
      <c r="B220" s="11">
        <v>1</v>
      </c>
      <c r="C220" s="11" t="s">
        <v>105</v>
      </c>
      <c r="D220" s="11" t="s">
        <v>46</v>
      </c>
      <c r="E220" s="11" t="s">
        <v>469</v>
      </c>
      <c r="F220" s="11" t="s">
        <v>470</v>
      </c>
      <c r="G220" s="3">
        <v>49.307000000000002</v>
      </c>
      <c r="H220" s="3">
        <f>IFERROR(INDEX('Tagging key'!D:D, MATCH(F220,'Tagging key'!C:C,0)),"")</f>
        <v>77.19</v>
      </c>
      <c r="I220" s="3">
        <f>IFERROR(INDEX('Tagging key'!E:E, MATCH(F220,'Tagging key'!C:C,0)),"")</f>
        <v>41.49</v>
      </c>
      <c r="J220" s="3">
        <f>IFERROR(INDEX('Tagging key'!F:F, MATCH(F220,'Tagging key'!C:C,0)),"")</f>
        <v>31.63</v>
      </c>
      <c r="K220" s="3">
        <v>49.695</v>
      </c>
      <c r="L220" s="3">
        <v>76.3</v>
      </c>
      <c r="M220" s="3">
        <v>37.11</v>
      </c>
      <c r="N220" s="3">
        <v>32.409999999999997</v>
      </c>
      <c r="O220" s="3"/>
      <c r="P220" s="22">
        <v>45877</v>
      </c>
      <c r="Q220" s="22">
        <v>45877</v>
      </c>
      <c r="R220" s="3"/>
    </row>
    <row r="221" spans="1:19" x14ac:dyDescent="0.25">
      <c r="A221" s="11">
        <v>7</v>
      </c>
      <c r="B221" s="11">
        <v>1</v>
      </c>
      <c r="C221" s="11" t="s">
        <v>105</v>
      </c>
      <c r="D221" s="11" t="s">
        <v>46</v>
      </c>
      <c r="E221" s="11" t="s">
        <v>471</v>
      </c>
      <c r="F221" s="11" t="s">
        <v>472</v>
      </c>
      <c r="G221" s="3">
        <v>28.623999999999999</v>
      </c>
      <c r="H221" s="3">
        <f>IFERROR(INDEX('Tagging key'!D:D, MATCH(F221,'Tagging key'!C:C,0)),"")</f>
        <v>67.239999999999995</v>
      </c>
      <c r="I221" s="3">
        <f>IFERROR(INDEX('Tagging key'!E:E, MATCH(F221,'Tagging key'!C:C,0)),"")</f>
        <v>38.9</v>
      </c>
      <c r="J221" s="3">
        <f>IFERROR(INDEX('Tagging key'!F:F, MATCH(F221,'Tagging key'!C:C,0)),"")</f>
        <v>23.47</v>
      </c>
      <c r="K221" s="3">
        <v>29.135000000000002</v>
      </c>
      <c r="L221" s="3">
        <v>68.08</v>
      </c>
      <c r="M221" s="3">
        <v>35.35</v>
      </c>
      <c r="N221" s="3">
        <v>24.3</v>
      </c>
      <c r="O221" s="3"/>
      <c r="P221" s="22">
        <v>45879</v>
      </c>
      <c r="Q221" s="22">
        <v>45879</v>
      </c>
      <c r="R221" s="3"/>
    </row>
    <row r="222" spans="1:19" x14ac:dyDescent="0.25">
      <c r="A222" s="12">
        <v>7</v>
      </c>
      <c r="B222" s="12">
        <v>2</v>
      </c>
      <c r="C222" s="12" t="s">
        <v>105</v>
      </c>
      <c r="D222" s="12" t="s">
        <v>46</v>
      </c>
      <c r="E222" s="12" t="s">
        <v>473</v>
      </c>
      <c r="F222" s="12" t="s">
        <v>474</v>
      </c>
      <c r="G222" s="3">
        <v>53.62</v>
      </c>
      <c r="H222" s="3">
        <f>IFERROR(INDEX('Tagging key'!D:D, MATCH(F222,'Tagging key'!C:C,0)),"")</f>
        <v>80.790000000000006</v>
      </c>
      <c r="I222" s="3">
        <f>IFERROR(INDEX('Tagging key'!E:E, MATCH(F222,'Tagging key'!C:C,0)),"")</f>
        <v>43.22</v>
      </c>
      <c r="J222" s="3">
        <f>IFERROR(INDEX('Tagging key'!F:F, MATCH(F222,'Tagging key'!C:C,0)),"")</f>
        <v>31.27</v>
      </c>
      <c r="K222" s="3">
        <v>53.482999999999997</v>
      </c>
      <c r="L222" s="3">
        <v>80.66</v>
      </c>
      <c r="M222" s="3">
        <v>37.22</v>
      </c>
      <c r="N222" s="3">
        <v>31.08</v>
      </c>
      <c r="O222" s="3"/>
      <c r="P222" s="22">
        <v>45879</v>
      </c>
      <c r="Q222" s="22">
        <v>45879</v>
      </c>
      <c r="R222" s="3"/>
    </row>
    <row r="223" spans="1:19" x14ac:dyDescent="0.25">
      <c r="A223" s="12">
        <v>7</v>
      </c>
      <c r="B223" s="12">
        <v>2</v>
      </c>
      <c r="C223" s="12" t="s">
        <v>105</v>
      </c>
      <c r="D223" s="12" t="s">
        <v>46</v>
      </c>
      <c r="E223" s="12" t="s">
        <v>475</v>
      </c>
      <c r="F223" s="12" t="s">
        <v>476</v>
      </c>
      <c r="G223" s="3">
        <v>28.532</v>
      </c>
      <c r="H223" s="3">
        <f>IFERROR(INDEX('Tagging key'!D:D, MATCH(F223,'Tagging key'!C:C,0)),"")</f>
        <v>65</v>
      </c>
      <c r="I223" s="3">
        <f>IFERROR(INDEX('Tagging key'!E:E, MATCH(F223,'Tagging key'!C:C,0)),"")</f>
        <v>36</v>
      </c>
      <c r="J223" s="3">
        <f>IFERROR(INDEX('Tagging key'!F:F, MATCH(F223,'Tagging key'!C:C,0)),"")</f>
        <v>23</v>
      </c>
      <c r="K223" s="3">
        <v>28.791</v>
      </c>
      <c r="L223" s="3">
        <v>67.849999999999994</v>
      </c>
      <c r="M223" s="3">
        <v>36.340000000000003</v>
      </c>
      <c r="N223" s="3">
        <v>23.69</v>
      </c>
      <c r="O223" s="3"/>
      <c r="P223" s="22">
        <v>45879</v>
      </c>
      <c r="Q223" s="22">
        <v>45879</v>
      </c>
      <c r="R223" s="3"/>
    </row>
    <row r="224" spans="1:19" x14ac:dyDescent="0.25">
      <c r="A224" s="12">
        <v>7</v>
      </c>
      <c r="B224" s="12">
        <v>2</v>
      </c>
      <c r="C224" s="12" t="s">
        <v>105</v>
      </c>
      <c r="D224" s="12" t="s">
        <v>46</v>
      </c>
      <c r="E224" s="12" t="s">
        <v>477</v>
      </c>
      <c r="F224" s="12" t="s">
        <v>478</v>
      </c>
      <c r="G224" s="3">
        <v>55.417999999999999</v>
      </c>
      <c r="H224" s="3">
        <f>IFERROR(INDEX('Tagging key'!D:D, MATCH(F224,'Tagging key'!C:C,0)),"")</f>
        <v>84.55</v>
      </c>
      <c r="I224" s="3">
        <f>IFERROR(INDEX('Tagging key'!E:E, MATCH(F224,'Tagging key'!C:C,0)),"")</f>
        <v>41.57</v>
      </c>
      <c r="J224" s="3">
        <f>IFERROR(INDEX('Tagging key'!F:F, MATCH(F224,'Tagging key'!C:C,0)),"")</f>
        <v>32.33</v>
      </c>
      <c r="K224" s="3">
        <v>55.206000000000003</v>
      </c>
      <c r="L224" s="3">
        <v>84.11</v>
      </c>
      <c r="M224" s="3">
        <v>40.15</v>
      </c>
      <c r="N224" s="3">
        <v>32.229999999999997</v>
      </c>
      <c r="O224" s="3"/>
      <c r="P224" s="22">
        <v>45882</v>
      </c>
      <c r="Q224" s="22">
        <v>45882</v>
      </c>
      <c r="R224" s="3">
        <v>17.295999999999999</v>
      </c>
    </row>
    <row r="225" spans="1:19" x14ac:dyDescent="0.25">
      <c r="A225" s="12">
        <v>7</v>
      </c>
      <c r="B225" s="12">
        <v>2</v>
      </c>
      <c r="C225" s="12" t="s">
        <v>105</v>
      </c>
      <c r="D225" s="12" t="s">
        <v>46</v>
      </c>
      <c r="E225" s="12" t="s">
        <v>277</v>
      </c>
      <c r="F225" s="12" t="s">
        <v>479</v>
      </c>
      <c r="G225" s="3">
        <v>26.766999999999999</v>
      </c>
      <c r="H225" s="3">
        <f>IFERROR(INDEX('Tagging key'!D:D, MATCH(F225,'Tagging key'!C:C,0)),"")</f>
        <v>63</v>
      </c>
      <c r="I225" s="3">
        <f>IFERROR(INDEX('Tagging key'!E:E, MATCH(F225,'Tagging key'!C:C,0)),"")</f>
        <v>30</v>
      </c>
      <c r="J225" s="3">
        <f>IFERROR(INDEX('Tagging key'!F:F, MATCH(F225,'Tagging key'!C:C,0)),"")</f>
        <v>24</v>
      </c>
      <c r="K225" s="3">
        <v>26.934999999999999</v>
      </c>
      <c r="L225" s="3">
        <v>64.56</v>
      </c>
      <c r="M225" s="3">
        <v>30.47</v>
      </c>
      <c r="N225" s="3">
        <v>24.9</v>
      </c>
      <c r="O225" s="3"/>
      <c r="P225" s="22">
        <v>45886</v>
      </c>
      <c r="Q225" s="22">
        <v>45886</v>
      </c>
      <c r="R225" s="3"/>
    </row>
    <row r="226" spans="1:19" x14ac:dyDescent="0.25">
      <c r="A226" s="11">
        <v>7</v>
      </c>
      <c r="B226" s="11">
        <v>3</v>
      </c>
      <c r="C226" s="11" t="s">
        <v>105</v>
      </c>
      <c r="D226" s="11" t="s">
        <v>46</v>
      </c>
      <c r="E226" s="11" t="s">
        <v>480</v>
      </c>
      <c r="F226" s="11" t="s">
        <v>481</v>
      </c>
      <c r="G226" s="3">
        <v>29.564</v>
      </c>
      <c r="H226" s="3">
        <f>IFERROR(INDEX('Tagging key'!D:D, MATCH(F226,'Tagging key'!C:C,0)),"")</f>
        <v>68</v>
      </c>
      <c r="I226" s="3">
        <f>IFERROR(INDEX('Tagging key'!E:E, MATCH(F226,'Tagging key'!C:C,0)),"")</f>
        <v>34</v>
      </c>
      <c r="J226" s="3">
        <f>IFERROR(INDEX('Tagging key'!F:F, MATCH(F226,'Tagging key'!C:C,0)),"")</f>
        <v>25</v>
      </c>
      <c r="K226" s="3">
        <v>30.09</v>
      </c>
      <c r="L226" s="3">
        <v>68.39</v>
      </c>
      <c r="M226" s="3">
        <v>34.380000000000003</v>
      </c>
      <c r="N226" s="3">
        <v>25.06</v>
      </c>
      <c r="O226" s="3"/>
      <c r="P226" s="22">
        <v>45886</v>
      </c>
      <c r="Q226" s="22">
        <v>45886</v>
      </c>
      <c r="R226" s="3">
        <v>9.9890000000000008</v>
      </c>
    </row>
    <row r="227" spans="1:19" x14ac:dyDescent="0.25">
      <c r="A227" s="11">
        <v>7</v>
      </c>
      <c r="B227" s="11">
        <v>3</v>
      </c>
      <c r="C227" s="11" t="s">
        <v>105</v>
      </c>
      <c r="D227" s="11" t="s">
        <v>46</v>
      </c>
      <c r="E227" s="11" t="s">
        <v>482</v>
      </c>
      <c r="F227" s="11" t="s">
        <v>483</v>
      </c>
      <c r="G227" s="3">
        <v>36.551000000000002</v>
      </c>
      <c r="H227" s="3">
        <f>IFERROR(INDEX('Tagging key'!D:D, MATCH(F227,'Tagging key'!C:C,0)),"")</f>
        <v>73</v>
      </c>
      <c r="I227" s="3">
        <f>IFERROR(INDEX('Tagging key'!E:E, MATCH(F227,'Tagging key'!C:C,0)),"")</f>
        <v>36</v>
      </c>
      <c r="J227" s="3">
        <f>IFERROR(INDEX('Tagging key'!F:F, MATCH(F227,'Tagging key'!C:C,0)),"")</f>
        <v>26</v>
      </c>
      <c r="K227" s="3">
        <v>36.869</v>
      </c>
      <c r="L227" s="3">
        <v>74.27</v>
      </c>
      <c r="M227" s="3">
        <v>37.86</v>
      </c>
      <c r="N227" s="3">
        <v>26.66</v>
      </c>
      <c r="O227" s="3"/>
      <c r="P227" s="22">
        <v>45879</v>
      </c>
      <c r="Q227" s="22">
        <v>45879</v>
      </c>
      <c r="R227" s="3"/>
    </row>
    <row r="228" spans="1:19" x14ac:dyDescent="0.25">
      <c r="A228" s="11">
        <v>7</v>
      </c>
      <c r="B228" s="11">
        <v>3</v>
      </c>
      <c r="C228" s="11" t="s">
        <v>105</v>
      </c>
      <c r="D228" s="11" t="s">
        <v>46</v>
      </c>
      <c r="E228" s="11" t="s">
        <v>484</v>
      </c>
      <c r="F228" s="11" t="s">
        <v>485</v>
      </c>
      <c r="G228" s="24">
        <v>53.536999999999999</v>
      </c>
      <c r="H228" s="3">
        <f>IFERROR(INDEX('Tagging key'!D:D, MATCH(F228,'Tagging key'!C:C,0)),"")</f>
        <v>79.89</v>
      </c>
      <c r="I228" s="3">
        <f>IFERROR(INDEX('Tagging key'!E:E, MATCH(F228,'Tagging key'!C:C,0)),"")</f>
        <v>45.71</v>
      </c>
      <c r="J228" s="3">
        <f>IFERROR(INDEX('Tagging key'!F:F, MATCH(F228,'Tagging key'!C:C,0)),"")</f>
        <v>32.479999999999997</v>
      </c>
      <c r="K228" s="3">
        <v>54.72</v>
      </c>
      <c r="L228" s="3">
        <v>79.44</v>
      </c>
      <c r="M228" s="3">
        <v>39.33</v>
      </c>
      <c r="N228" s="3">
        <v>31.6</v>
      </c>
      <c r="O228" s="3"/>
      <c r="P228" s="22">
        <v>45882</v>
      </c>
      <c r="Q228" s="22">
        <v>45882</v>
      </c>
      <c r="R228" s="3">
        <v>19.146000000000001</v>
      </c>
    </row>
    <row r="229" spans="1:19" x14ac:dyDescent="0.25">
      <c r="A229" s="11">
        <v>7</v>
      </c>
      <c r="B229" s="11">
        <v>3</v>
      </c>
      <c r="C229" s="11" t="s">
        <v>105</v>
      </c>
      <c r="D229" s="11" t="s">
        <v>46</v>
      </c>
      <c r="E229" s="11" t="s">
        <v>486</v>
      </c>
      <c r="F229" s="11" t="s">
        <v>487</v>
      </c>
      <c r="G229" s="3">
        <v>56.597000000000001</v>
      </c>
      <c r="H229" s="3">
        <f>IFERROR(INDEX('Tagging key'!D:D, MATCH(F229,'Tagging key'!C:C,0)),"")</f>
        <v>81.87</v>
      </c>
      <c r="I229" s="3">
        <f>IFERROR(INDEX('Tagging key'!E:E, MATCH(F229,'Tagging key'!C:C,0)),"")</f>
        <v>44.67</v>
      </c>
      <c r="J229" s="3">
        <f>IFERROR(INDEX('Tagging key'!F:F, MATCH(F229,'Tagging key'!C:C,0)),"")</f>
        <v>32.590000000000003</v>
      </c>
      <c r="K229" s="3">
        <v>57.088000000000001</v>
      </c>
      <c r="L229" s="3">
        <v>81.99</v>
      </c>
      <c r="M229" s="3">
        <v>40.57</v>
      </c>
      <c r="N229" s="3">
        <v>31.82</v>
      </c>
      <c r="O229" s="3"/>
      <c r="P229" s="22">
        <v>45877</v>
      </c>
      <c r="Q229" s="22">
        <v>45877</v>
      </c>
      <c r="R229" s="3"/>
    </row>
    <row r="230" spans="1:19" x14ac:dyDescent="0.25">
      <c r="A230" s="13">
        <v>7</v>
      </c>
      <c r="B230" s="13">
        <v>4</v>
      </c>
      <c r="C230" s="13" t="s">
        <v>105</v>
      </c>
      <c r="D230" s="13" t="s">
        <v>72</v>
      </c>
      <c r="E230" s="13" t="s">
        <v>488</v>
      </c>
      <c r="F230" s="13" t="s">
        <v>489</v>
      </c>
      <c r="G230" s="3">
        <v>55.79</v>
      </c>
      <c r="H230" s="3">
        <f>IFERROR(INDEX('Tagging key'!D:D, MATCH(F230,'Tagging key'!C:C,0)),"")</f>
        <v>78</v>
      </c>
      <c r="I230" s="3">
        <f>IFERROR(INDEX('Tagging key'!E:E, MATCH(F230,'Tagging key'!C:C,0)),"")</f>
        <v>79</v>
      </c>
      <c r="J230" s="3">
        <f>IFERROR(INDEX('Tagging key'!F:F, MATCH(F230,'Tagging key'!C:C,0)),"")</f>
        <v>19</v>
      </c>
      <c r="K230" s="3">
        <v>56.927999999999997</v>
      </c>
      <c r="L230" s="3">
        <v>77.81</v>
      </c>
      <c r="M230" s="3">
        <v>78.180000000000007</v>
      </c>
      <c r="N230" s="3">
        <v>21.75</v>
      </c>
      <c r="O230" s="3"/>
      <c r="P230" s="22">
        <v>45886</v>
      </c>
      <c r="Q230" s="22">
        <v>45886</v>
      </c>
      <c r="R230" s="3"/>
      <c r="S230" t="s">
        <v>490</v>
      </c>
    </row>
    <row r="231" spans="1:19" x14ac:dyDescent="0.25">
      <c r="A231" s="13">
        <v>7</v>
      </c>
      <c r="B231" s="13">
        <v>4</v>
      </c>
      <c r="C231" s="13" t="s">
        <v>105</v>
      </c>
      <c r="D231" s="13" t="s">
        <v>72</v>
      </c>
      <c r="E231" s="13" t="s">
        <v>491</v>
      </c>
      <c r="F231" s="13" t="s">
        <v>492</v>
      </c>
      <c r="G231" s="3">
        <v>45.999000000000002</v>
      </c>
      <c r="H231" s="3">
        <f>IFERROR(INDEX('Tagging key'!D:D, MATCH(F231,'Tagging key'!C:C,0)),"")</f>
        <v>66</v>
      </c>
      <c r="I231" s="3">
        <f>IFERROR(INDEX('Tagging key'!E:E, MATCH(F231,'Tagging key'!C:C,0)),"")</f>
        <v>67</v>
      </c>
      <c r="J231" s="3">
        <f>IFERROR(INDEX('Tagging key'!F:F, MATCH(F231,'Tagging key'!C:C,0)),"")</f>
        <v>18</v>
      </c>
      <c r="K231" s="3">
        <v>42.430999999999997</v>
      </c>
      <c r="L231" s="3">
        <v>67.19</v>
      </c>
      <c r="M231" s="3">
        <v>68.400000000000006</v>
      </c>
      <c r="N231" s="3">
        <v>20.239999999999998</v>
      </c>
      <c r="O231" s="3"/>
      <c r="P231" s="22">
        <v>45882</v>
      </c>
      <c r="Q231" s="22">
        <v>45882</v>
      </c>
      <c r="R231" s="3">
        <v>21.373000000000001</v>
      </c>
    </row>
    <row r="232" spans="1:19" x14ac:dyDescent="0.25">
      <c r="A232" s="13">
        <v>7</v>
      </c>
      <c r="B232" s="13">
        <v>4</v>
      </c>
      <c r="C232" s="13" t="s">
        <v>105</v>
      </c>
      <c r="D232" s="13" t="s">
        <v>72</v>
      </c>
      <c r="E232" s="13" t="s">
        <v>493</v>
      </c>
      <c r="F232" s="13" t="s">
        <v>494</v>
      </c>
      <c r="G232" s="3">
        <v>46.728000000000002</v>
      </c>
      <c r="H232" s="3">
        <f>IFERROR(INDEX('Tagging key'!D:D, MATCH(F232,'Tagging key'!C:C,0)),"")</f>
        <v>71.41</v>
      </c>
      <c r="I232" s="3">
        <f>IFERROR(INDEX('Tagging key'!E:E, MATCH(F232,'Tagging key'!C:C,0)),"")</f>
        <v>72.89</v>
      </c>
      <c r="J232" s="3">
        <f>IFERROR(INDEX('Tagging key'!F:F, MATCH(F232,'Tagging key'!C:C,0)),"")</f>
        <v>19.04</v>
      </c>
      <c r="K232" s="3">
        <v>42.426000000000002</v>
      </c>
      <c r="L232" s="3">
        <v>73.040000000000006</v>
      </c>
      <c r="M232" s="3">
        <v>74.510000000000005</v>
      </c>
      <c r="N232" s="3">
        <v>22.22</v>
      </c>
      <c r="O232" s="3"/>
      <c r="P232" s="22">
        <v>45879</v>
      </c>
      <c r="Q232" s="22">
        <v>45879</v>
      </c>
      <c r="R232" s="3"/>
    </row>
    <row r="233" spans="1:19" x14ac:dyDescent="0.25">
      <c r="A233" s="13">
        <v>7</v>
      </c>
      <c r="B233" s="13">
        <v>4</v>
      </c>
      <c r="C233" s="13" t="s">
        <v>105</v>
      </c>
      <c r="D233" s="13" t="s">
        <v>72</v>
      </c>
      <c r="E233" s="13" t="s">
        <v>495</v>
      </c>
      <c r="F233" s="13" t="s">
        <v>496</v>
      </c>
      <c r="G233" s="3">
        <v>61.262999999999998</v>
      </c>
      <c r="H233" s="3">
        <f>IFERROR(INDEX('Tagging key'!D:D, MATCH(F233,'Tagging key'!C:C,0)),"")</f>
        <v>75.5</v>
      </c>
      <c r="I233" s="3">
        <f>IFERROR(INDEX('Tagging key'!E:E, MATCH(F233,'Tagging key'!C:C,0)),"")</f>
        <v>73</v>
      </c>
      <c r="J233" s="3">
        <f>IFERROR(INDEX('Tagging key'!F:F, MATCH(F233,'Tagging key'!C:C,0)),"")</f>
        <v>20</v>
      </c>
      <c r="K233" s="3">
        <v>54.119</v>
      </c>
      <c r="L233" s="3">
        <v>75.16</v>
      </c>
      <c r="M233" s="3">
        <v>74.260000000000005</v>
      </c>
      <c r="N233" s="3">
        <v>21.46</v>
      </c>
      <c r="O233" s="3"/>
      <c r="P233" s="22">
        <v>45877</v>
      </c>
      <c r="Q233" s="22">
        <v>45877</v>
      </c>
      <c r="R233" s="3"/>
    </row>
    <row r="234" spans="1:19" x14ac:dyDescent="0.25">
      <c r="A234" s="14">
        <v>7</v>
      </c>
      <c r="B234" s="14">
        <v>5</v>
      </c>
      <c r="C234" s="14" t="s">
        <v>105</v>
      </c>
      <c r="D234" s="14" t="s">
        <v>72</v>
      </c>
      <c r="E234" s="14" t="s">
        <v>497</v>
      </c>
      <c r="F234" s="14" t="s">
        <v>498</v>
      </c>
      <c r="G234" s="3">
        <v>36.450000000000003</v>
      </c>
      <c r="H234" s="3">
        <f>IFERROR(INDEX('Tagging key'!D:D, MATCH(F234,'Tagging key'!C:C,0)),"")</f>
        <v>65.5</v>
      </c>
      <c r="I234" s="3">
        <f>IFERROR(INDEX('Tagging key'!E:E, MATCH(F234,'Tagging key'!C:C,0)),"")</f>
        <v>67</v>
      </c>
      <c r="J234" s="3">
        <f>IFERROR(INDEX('Tagging key'!F:F, MATCH(F234,'Tagging key'!C:C,0)),"")</f>
        <v>18</v>
      </c>
      <c r="K234" s="3">
        <v>34.756</v>
      </c>
      <c r="L234" s="3">
        <v>65.459999999999994</v>
      </c>
      <c r="M234" s="3">
        <v>68.650000000000006</v>
      </c>
      <c r="N234" s="3">
        <v>19.07</v>
      </c>
      <c r="O234" s="3"/>
      <c r="P234" s="22">
        <v>45879</v>
      </c>
      <c r="Q234" s="22">
        <v>45879</v>
      </c>
      <c r="R234" s="3"/>
    </row>
    <row r="235" spans="1:19" x14ac:dyDescent="0.25">
      <c r="A235" s="14">
        <v>7</v>
      </c>
      <c r="B235" s="14">
        <v>5</v>
      </c>
      <c r="C235" s="14" t="s">
        <v>105</v>
      </c>
      <c r="D235" s="14" t="s">
        <v>72</v>
      </c>
      <c r="E235" s="14" t="s">
        <v>499</v>
      </c>
      <c r="F235" s="14" t="s">
        <v>500</v>
      </c>
      <c r="G235" s="3">
        <v>66.021000000000001</v>
      </c>
      <c r="H235" s="3">
        <f>IFERROR(INDEX('Tagging key'!D:D, MATCH(F235,'Tagging key'!C:C,0)),"")</f>
        <v>78</v>
      </c>
      <c r="I235" s="3">
        <f>IFERROR(INDEX('Tagging key'!E:E, MATCH(F235,'Tagging key'!C:C,0)),"")</f>
        <v>84</v>
      </c>
      <c r="J235" s="3">
        <f>IFERROR(INDEX('Tagging key'!F:F, MATCH(F235,'Tagging key'!C:C,0)),"")</f>
        <v>22</v>
      </c>
      <c r="K235" s="3">
        <v>59.387999999999998</v>
      </c>
      <c r="L235" s="3">
        <v>78.83</v>
      </c>
      <c r="M235" s="3">
        <v>84.5</v>
      </c>
      <c r="N235" s="3">
        <v>23.34</v>
      </c>
      <c r="O235" s="3"/>
      <c r="P235" s="22">
        <v>45877</v>
      </c>
      <c r="Q235" s="22">
        <v>45877</v>
      </c>
      <c r="R235" s="3"/>
    </row>
    <row r="236" spans="1:19" x14ac:dyDescent="0.25">
      <c r="A236" s="14">
        <v>7</v>
      </c>
      <c r="B236" s="14">
        <v>5</v>
      </c>
      <c r="C236" s="14" t="s">
        <v>105</v>
      </c>
      <c r="D236" s="14" t="s">
        <v>72</v>
      </c>
      <c r="E236" s="14" t="s">
        <v>501</v>
      </c>
      <c r="F236" s="14" t="s">
        <v>502</v>
      </c>
      <c r="G236" s="3">
        <v>55.45</v>
      </c>
      <c r="H236" s="3">
        <f>IFERROR(INDEX('Tagging key'!D:D, MATCH(F236,'Tagging key'!C:C,0)),"")</f>
        <v>71</v>
      </c>
      <c r="I236" s="3">
        <f>IFERROR(INDEX('Tagging key'!E:E, MATCH(F236,'Tagging key'!C:C,0)),"")</f>
        <v>76</v>
      </c>
      <c r="J236" s="3">
        <f>IFERROR(INDEX('Tagging key'!F:F, MATCH(F236,'Tagging key'!C:C,0)),"")</f>
        <v>23</v>
      </c>
      <c r="K236" s="3">
        <v>50.716000000000001</v>
      </c>
      <c r="L236" s="3">
        <v>72.930000000000007</v>
      </c>
      <c r="M236" s="3">
        <v>76.19</v>
      </c>
      <c r="N236" s="3">
        <v>22.96</v>
      </c>
      <c r="O236" s="3"/>
      <c r="P236" s="22">
        <v>45882</v>
      </c>
      <c r="Q236" s="22">
        <v>45882</v>
      </c>
      <c r="R236" s="3">
        <v>22.719000000000001</v>
      </c>
    </row>
    <row r="237" spans="1:19" x14ac:dyDescent="0.25">
      <c r="A237" s="14">
        <v>7</v>
      </c>
      <c r="B237" s="14">
        <v>5</v>
      </c>
      <c r="C237" s="14" t="s">
        <v>105</v>
      </c>
      <c r="D237" s="14" t="s">
        <v>72</v>
      </c>
      <c r="E237" s="14" t="s">
        <v>503</v>
      </c>
      <c r="F237" s="14" t="s">
        <v>504</v>
      </c>
      <c r="G237" s="3">
        <v>63.811</v>
      </c>
      <c r="H237" s="3">
        <f>IFERROR(INDEX('Tagging key'!D:D, MATCH(F237,'Tagging key'!C:C,0)),"")</f>
        <v>70</v>
      </c>
      <c r="I237" s="3">
        <f>IFERROR(INDEX('Tagging key'!E:E, MATCH(F237,'Tagging key'!C:C,0)),"")</f>
        <v>77</v>
      </c>
      <c r="J237" s="3">
        <f>IFERROR(INDEX('Tagging key'!F:F, MATCH(F237,'Tagging key'!C:C,0)),"")</f>
        <v>20</v>
      </c>
      <c r="K237" s="3">
        <v>60.518000000000001</v>
      </c>
      <c r="L237" s="3">
        <v>71.569999999999993</v>
      </c>
      <c r="M237" s="3">
        <v>79.09</v>
      </c>
      <c r="N237" s="3">
        <v>21.46</v>
      </c>
      <c r="O237" s="3"/>
      <c r="P237" s="22">
        <v>45886</v>
      </c>
      <c r="Q237" s="22">
        <v>45886</v>
      </c>
      <c r="R237" s="3">
        <v>34.472999999999999</v>
      </c>
    </row>
    <row r="238" spans="1:19" x14ac:dyDescent="0.25">
      <c r="A238" s="15">
        <v>7</v>
      </c>
      <c r="B238" s="15">
        <v>6</v>
      </c>
      <c r="C238" s="15" t="s">
        <v>105</v>
      </c>
      <c r="D238" s="15" t="s">
        <v>72</v>
      </c>
      <c r="E238" s="15" t="s">
        <v>505</v>
      </c>
      <c r="F238" s="13" t="s">
        <v>506</v>
      </c>
      <c r="G238">
        <v>45.795999999999999</v>
      </c>
      <c r="H238" s="3">
        <f>IFERROR(INDEX('Tagging key'!D:D, MATCH(F238,'Tagging key'!C:C,0)),"")</f>
        <v>67.58</v>
      </c>
      <c r="I238" s="3">
        <f>IFERROR(INDEX('Tagging key'!E:E, MATCH(F238,'Tagging key'!C:C,0)),"")</f>
        <v>75.39</v>
      </c>
      <c r="J238" s="3">
        <f>IFERROR(INDEX('Tagging key'!F:F, MATCH(F238,'Tagging key'!C:C,0)),"")</f>
        <v>19.91</v>
      </c>
      <c r="K238" s="3">
        <v>39.497</v>
      </c>
      <c r="L238" s="3">
        <v>68.61</v>
      </c>
      <c r="M238" s="3">
        <v>76.739999999999995</v>
      </c>
      <c r="N238" s="3">
        <v>19.739999999999998</v>
      </c>
      <c r="O238" s="3"/>
      <c r="P238" s="22">
        <v>45882</v>
      </c>
      <c r="Q238" s="22">
        <v>45882</v>
      </c>
      <c r="R238" s="3">
        <v>17.600000000000001</v>
      </c>
    </row>
    <row r="239" spans="1:19" x14ac:dyDescent="0.25">
      <c r="A239" s="15">
        <v>7</v>
      </c>
      <c r="B239" s="15">
        <v>6</v>
      </c>
      <c r="C239" s="15" t="s">
        <v>105</v>
      </c>
      <c r="D239" s="15" t="s">
        <v>72</v>
      </c>
      <c r="E239" s="15" t="s">
        <v>507</v>
      </c>
      <c r="F239" s="13" t="s">
        <v>508</v>
      </c>
      <c r="G239">
        <v>65.141999999999996</v>
      </c>
      <c r="H239" s="3">
        <f>IFERROR(INDEX('Tagging key'!D:D, MATCH(F239,'Tagging key'!C:C,0)),"")</f>
        <v>76.5</v>
      </c>
      <c r="I239" s="3">
        <f>IFERROR(INDEX('Tagging key'!E:E, MATCH(F239,'Tagging key'!C:C,0)),"")</f>
        <v>77</v>
      </c>
      <c r="J239" s="3">
        <f>IFERROR(INDEX('Tagging key'!F:F, MATCH(F239,'Tagging key'!C:C,0)),"")</f>
        <v>18</v>
      </c>
      <c r="K239" s="3">
        <v>58.545999999999999</v>
      </c>
      <c r="L239" s="3">
        <v>79.86</v>
      </c>
      <c r="M239" s="3">
        <v>78.94</v>
      </c>
      <c r="N239" s="3">
        <v>21.52</v>
      </c>
      <c r="O239" s="3"/>
      <c r="P239" s="22">
        <v>45879</v>
      </c>
      <c r="Q239" s="22">
        <v>45879</v>
      </c>
      <c r="R239" s="3"/>
    </row>
    <row r="240" spans="1:19" x14ac:dyDescent="0.25">
      <c r="A240" s="15">
        <v>7</v>
      </c>
      <c r="B240" s="15">
        <v>6</v>
      </c>
      <c r="C240" s="15" t="s">
        <v>105</v>
      </c>
      <c r="D240" s="15" t="s">
        <v>72</v>
      </c>
      <c r="E240" s="15" t="s">
        <v>509</v>
      </c>
      <c r="F240" s="13" t="s">
        <v>510</v>
      </c>
      <c r="G240">
        <v>48.036000000000001</v>
      </c>
      <c r="H240" s="3">
        <f>IFERROR(INDEX('Tagging key'!D:D, MATCH(F240,'Tagging key'!C:C,0)),"")</f>
        <v>74</v>
      </c>
      <c r="I240" s="3">
        <f>IFERROR(INDEX('Tagging key'!E:E, MATCH(F240,'Tagging key'!C:C,0)),"")</f>
        <v>76</v>
      </c>
      <c r="J240" s="3">
        <f>IFERROR(INDEX('Tagging key'!F:F, MATCH(F240,'Tagging key'!C:C,0)),"")</f>
        <v>22</v>
      </c>
      <c r="K240" s="3">
        <v>44.433999999999997</v>
      </c>
      <c r="L240" s="3">
        <v>74.59</v>
      </c>
      <c r="M240" s="3">
        <v>75.180000000000007</v>
      </c>
      <c r="N240" s="3">
        <v>21.83</v>
      </c>
      <c r="O240" s="3"/>
      <c r="P240" s="22">
        <v>45877</v>
      </c>
      <c r="Q240" s="22">
        <v>45877</v>
      </c>
      <c r="R240" s="3"/>
    </row>
    <row r="241" spans="1:19" x14ac:dyDescent="0.25">
      <c r="A241" s="20">
        <v>7</v>
      </c>
      <c r="B241" s="20">
        <v>6</v>
      </c>
      <c r="C241" s="20" t="s">
        <v>105</v>
      </c>
      <c r="D241" s="20" t="s">
        <v>72</v>
      </c>
      <c r="E241" s="20" t="s">
        <v>511</v>
      </c>
      <c r="F241" s="19" t="s">
        <v>512</v>
      </c>
      <c r="G241" s="20">
        <v>48.999000000000002</v>
      </c>
      <c r="H241" s="19">
        <f>IFERROR(INDEX('Tagging key'!D:D, MATCH(F241,'Tagging key'!C:C,0)),"")</f>
        <v>71</v>
      </c>
      <c r="I241" s="19">
        <f>IFERROR(INDEX('Tagging key'!E:E, MATCH(F241,'Tagging key'!C:C,0)),"")</f>
        <v>73</v>
      </c>
      <c r="J241" s="19">
        <f>IFERROR(INDEX('Tagging key'!F:F, MATCH(F241,'Tagging key'!C:C,0)),"")</f>
        <v>18.5</v>
      </c>
      <c r="K241" s="19"/>
      <c r="L241" s="19"/>
      <c r="M241" s="19"/>
      <c r="N241" s="19"/>
      <c r="O241" s="19"/>
      <c r="P241" s="19"/>
      <c r="Q241" s="19"/>
      <c r="R241" s="19"/>
      <c r="S241" t="s">
        <v>513</v>
      </c>
    </row>
    <row r="242" spans="1:19" x14ac:dyDescent="0.25">
      <c r="A242" s="8">
        <v>7</v>
      </c>
      <c r="B242" s="8">
        <v>7</v>
      </c>
      <c r="C242" s="8" t="s">
        <v>105</v>
      </c>
      <c r="D242" s="8" t="s">
        <v>16</v>
      </c>
      <c r="E242" s="8" t="s">
        <v>68</v>
      </c>
      <c r="F242" s="8" t="s">
        <v>514</v>
      </c>
      <c r="G242" s="3">
        <v>36.918999999999997</v>
      </c>
      <c r="H242" s="3">
        <f>IFERROR(INDEX('Tagging key'!D:D, MATCH(F242,'Tagging key'!C:C,0)),"")</f>
        <v>76.53</v>
      </c>
      <c r="I242" s="3">
        <f>IFERROR(INDEX('Tagging key'!E:E, MATCH(F242,'Tagging key'!C:C,0)),"")</f>
        <v>52.08</v>
      </c>
      <c r="J242" s="3">
        <f>IFERROR(INDEX('Tagging key'!F:F, MATCH(F242,'Tagging key'!C:C,0)),"")</f>
        <v>15.06</v>
      </c>
      <c r="K242" s="3">
        <v>36.646000000000001</v>
      </c>
      <c r="L242" s="3">
        <v>77.900000000000006</v>
      </c>
      <c r="M242" s="3">
        <v>47.64</v>
      </c>
      <c r="N242" s="3">
        <v>18.739999999999998</v>
      </c>
      <c r="O242" s="3"/>
      <c r="P242" s="22">
        <v>45877</v>
      </c>
      <c r="Q242" s="22">
        <v>45877</v>
      </c>
      <c r="R242" s="3"/>
    </row>
    <row r="243" spans="1:19" x14ac:dyDescent="0.25">
      <c r="A243" s="8">
        <v>7</v>
      </c>
      <c r="B243" s="8">
        <v>7</v>
      </c>
      <c r="C243" s="8" t="s">
        <v>105</v>
      </c>
      <c r="D243" s="8" t="s">
        <v>16</v>
      </c>
      <c r="E243" s="8" t="s">
        <v>515</v>
      </c>
      <c r="F243" s="8" t="s">
        <v>516</v>
      </c>
      <c r="G243" s="3">
        <v>27.420999999999999</v>
      </c>
      <c r="H243" s="3">
        <f>IFERROR(INDEX('Tagging key'!D:D, MATCH(F243,'Tagging key'!C:C,0)),"")</f>
        <v>63.26</v>
      </c>
      <c r="I243" s="3">
        <f>IFERROR(INDEX('Tagging key'!E:E, MATCH(F243,'Tagging key'!C:C,0)),"")</f>
        <v>47.67</v>
      </c>
      <c r="J243" s="3">
        <f>IFERROR(INDEX('Tagging key'!F:F, MATCH(F243,'Tagging key'!C:C,0)),"")</f>
        <v>14.78</v>
      </c>
      <c r="K243" s="3">
        <v>27.085000000000001</v>
      </c>
      <c r="L243" s="3">
        <v>64.38</v>
      </c>
      <c r="M243" s="3">
        <v>44.14</v>
      </c>
      <c r="N243" s="3">
        <v>17.329999999999998</v>
      </c>
      <c r="O243" s="3"/>
      <c r="P243" s="22">
        <v>45879</v>
      </c>
      <c r="Q243" s="22">
        <v>45879</v>
      </c>
      <c r="R243" s="3"/>
    </row>
    <row r="244" spans="1:19" x14ac:dyDescent="0.25">
      <c r="A244" s="19">
        <v>7</v>
      </c>
      <c r="B244" s="19">
        <v>7</v>
      </c>
      <c r="C244" s="19" t="s">
        <v>105</v>
      </c>
      <c r="D244" s="19" t="s">
        <v>16</v>
      </c>
      <c r="E244" s="19" t="s">
        <v>517</v>
      </c>
      <c r="F244" s="19" t="s">
        <v>518</v>
      </c>
      <c r="G244" s="19">
        <v>28.016999999999999</v>
      </c>
      <c r="H244" s="19">
        <f>IFERROR(INDEX('Tagging key'!D:D, MATCH(F244,'Tagging key'!C:C,0)),"")</f>
        <v>70.03</v>
      </c>
      <c r="I244" s="19">
        <f>IFERROR(INDEX('Tagging key'!E:E, MATCH(F244,'Tagging key'!C:C,0)),"")</f>
        <v>45.38</v>
      </c>
      <c r="J244" s="19">
        <f>IFERROR(INDEX('Tagging key'!F:F, MATCH(F244,'Tagging key'!C:C,0)),"")</f>
        <v>15.47</v>
      </c>
      <c r="K244" s="19"/>
      <c r="L244" s="19"/>
      <c r="M244" s="19"/>
      <c r="N244" s="19"/>
      <c r="O244" s="19"/>
      <c r="P244" s="19"/>
      <c r="Q244" s="19"/>
      <c r="R244" s="19"/>
      <c r="S244" t="s">
        <v>519</v>
      </c>
    </row>
    <row r="245" spans="1:19" x14ac:dyDescent="0.25">
      <c r="A245" s="8">
        <v>7</v>
      </c>
      <c r="B245" s="8">
        <v>7</v>
      </c>
      <c r="C245" s="8" t="s">
        <v>105</v>
      </c>
      <c r="D245" s="8" t="s">
        <v>16</v>
      </c>
      <c r="E245" s="8" t="s">
        <v>520</v>
      </c>
      <c r="F245" s="8" t="s">
        <v>521</v>
      </c>
      <c r="G245" s="3">
        <v>25.885000000000002</v>
      </c>
      <c r="H245" s="3">
        <f>IFERROR(INDEX('Tagging key'!D:D, MATCH(F245,'Tagging key'!C:C,0)),"")</f>
        <v>65.75</v>
      </c>
      <c r="I245" s="3">
        <f>IFERROR(INDEX('Tagging key'!E:E, MATCH(F245,'Tagging key'!C:C,0)),"")</f>
        <v>42.76</v>
      </c>
      <c r="J245" s="3">
        <f>IFERROR(INDEX('Tagging key'!F:F, MATCH(F245,'Tagging key'!C:C,0)),"")</f>
        <v>16.02</v>
      </c>
      <c r="K245" s="3">
        <v>25.779</v>
      </c>
      <c r="L245" s="3">
        <v>67.489999999999995</v>
      </c>
      <c r="M245" s="3">
        <v>40.25</v>
      </c>
      <c r="N245" s="3">
        <v>14.83</v>
      </c>
      <c r="O245" s="3"/>
      <c r="P245" s="22">
        <v>45882</v>
      </c>
      <c r="Q245" s="22">
        <v>45882</v>
      </c>
      <c r="R245" s="3"/>
      <c r="S245" t="s">
        <v>522</v>
      </c>
    </row>
    <row r="246" spans="1:19" x14ac:dyDescent="0.25">
      <c r="A246" s="9">
        <v>7</v>
      </c>
      <c r="B246" s="9">
        <v>8</v>
      </c>
      <c r="C246" s="9" t="s">
        <v>105</v>
      </c>
      <c r="D246" s="9" t="s">
        <v>16</v>
      </c>
      <c r="E246" s="9" t="s">
        <v>523</v>
      </c>
      <c r="F246" s="9" t="s">
        <v>524</v>
      </c>
      <c r="G246" s="3">
        <v>28.501000000000001</v>
      </c>
      <c r="H246" s="3">
        <f>IFERROR(INDEX('Tagging key'!D:D, MATCH(F246,'Tagging key'!C:C,0)),"")</f>
        <v>62.09</v>
      </c>
      <c r="I246" s="3">
        <f>IFERROR(INDEX('Tagging key'!E:E, MATCH(F246,'Tagging key'!C:C,0)),"")</f>
        <v>44.17</v>
      </c>
      <c r="J246" s="3">
        <f>IFERROR(INDEX('Tagging key'!F:F, MATCH(F246,'Tagging key'!C:C,0)),"")</f>
        <v>17.3</v>
      </c>
      <c r="K246" s="3">
        <v>28.355</v>
      </c>
      <c r="L246" s="3">
        <v>62.8</v>
      </c>
      <c r="M246" s="3">
        <v>43.05</v>
      </c>
      <c r="N246" s="3">
        <v>18.21</v>
      </c>
      <c r="O246" s="3"/>
      <c r="P246" s="22">
        <v>45882</v>
      </c>
      <c r="Q246" s="22">
        <v>45882</v>
      </c>
      <c r="R246" s="3">
        <v>18.968</v>
      </c>
    </row>
    <row r="247" spans="1:19" x14ac:dyDescent="0.25">
      <c r="A247" s="9">
        <v>7</v>
      </c>
      <c r="B247" s="9">
        <v>8</v>
      </c>
      <c r="C247" s="9" t="s">
        <v>105</v>
      </c>
      <c r="D247" s="9" t="s">
        <v>16</v>
      </c>
      <c r="E247" s="9" t="s">
        <v>525</v>
      </c>
      <c r="F247" s="9" t="s">
        <v>526</v>
      </c>
      <c r="G247" s="3">
        <v>32.033999999999999</v>
      </c>
      <c r="H247" s="3">
        <f>IFERROR(INDEX('Tagging key'!D:D, MATCH(F247,'Tagging key'!C:C,0)),"")</f>
        <v>58.87</v>
      </c>
      <c r="I247" s="3">
        <f>IFERROR(INDEX('Tagging key'!E:E, MATCH(F247,'Tagging key'!C:C,0)),"")</f>
        <v>53.72</v>
      </c>
      <c r="J247" s="3">
        <f>IFERROR(INDEX('Tagging key'!F:F, MATCH(F247,'Tagging key'!C:C,0)),"")</f>
        <v>15.89</v>
      </c>
      <c r="K247" s="3">
        <v>31.687999999999999</v>
      </c>
      <c r="L247" s="3">
        <v>63.94</v>
      </c>
      <c r="M247" s="3">
        <v>58.02</v>
      </c>
      <c r="N247" s="3">
        <v>18.8</v>
      </c>
      <c r="O247" s="3"/>
      <c r="P247" s="22">
        <v>45879</v>
      </c>
      <c r="Q247" s="22">
        <v>45879</v>
      </c>
      <c r="R247" s="3"/>
    </row>
    <row r="248" spans="1:19" x14ac:dyDescent="0.25">
      <c r="A248" s="9">
        <v>7</v>
      </c>
      <c r="B248" s="9">
        <v>8</v>
      </c>
      <c r="C248" s="9" t="s">
        <v>105</v>
      </c>
      <c r="D248" s="9" t="s">
        <v>16</v>
      </c>
      <c r="E248" s="9" t="s">
        <v>527</v>
      </c>
      <c r="F248" s="9" t="s">
        <v>528</v>
      </c>
      <c r="G248" s="3">
        <v>30.04</v>
      </c>
      <c r="H248" s="3">
        <f>IFERROR(INDEX('Tagging key'!D:D, MATCH(F248,'Tagging key'!C:C,0)),"")</f>
        <v>69.3</v>
      </c>
      <c r="I248" s="3">
        <f>IFERROR(INDEX('Tagging key'!E:E, MATCH(F248,'Tagging key'!C:C,0)),"")</f>
        <v>44.51</v>
      </c>
      <c r="J248" s="3">
        <f>IFERROR(INDEX('Tagging key'!F:F, MATCH(F248,'Tagging key'!C:C,0)),"")</f>
        <v>16.88</v>
      </c>
      <c r="K248" s="3">
        <v>29.792000000000002</v>
      </c>
      <c r="L248" s="3">
        <v>68.63</v>
      </c>
      <c r="M248" s="3">
        <v>44.61</v>
      </c>
      <c r="N248" s="3">
        <v>17.48</v>
      </c>
      <c r="O248" s="3"/>
      <c r="P248" s="22">
        <v>45886</v>
      </c>
      <c r="Q248" s="22">
        <v>45886</v>
      </c>
      <c r="R248" s="3">
        <v>18.326000000000001</v>
      </c>
    </row>
    <row r="249" spans="1:19" x14ac:dyDescent="0.25">
      <c r="A249" s="9">
        <v>7</v>
      </c>
      <c r="B249" s="9">
        <v>8</v>
      </c>
      <c r="C249" s="9" t="s">
        <v>105</v>
      </c>
      <c r="D249" s="9" t="s">
        <v>16</v>
      </c>
      <c r="E249" s="9" t="s">
        <v>529</v>
      </c>
      <c r="F249" s="9" t="s">
        <v>530</v>
      </c>
      <c r="G249" s="3">
        <v>52.743000000000002</v>
      </c>
      <c r="H249" s="3">
        <f>IFERROR(INDEX('Tagging key'!D:D, MATCH(F249,'Tagging key'!C:C,0)),"")</f>
        <v>61.2</v>
      </c>
      <c r="I249" s="3">
        <f>IFERROR(INDEX('Tagging key'!E:E, MATCH(F249,'Tagging key'!C:C,0)),"")</f>
        <v>64.47</v>
      </c>
      <c r="J249" s="3">
        <f>IFERROR(INDEX('Tagging key'!F:F, MATCH(F249,'Tagging key'!C:C,0)),"")</f>
        <v>22.3</v>
      </c>
      <c r="K249" s="3">
        <v>52.273000000000003</v>
      </c>
      <c r="L249" s="3">
        <v>64.83</v>
      </c>
      <c r="M249" s="3">
        <v>65.41</v>
      </c>
      <c r="N249" s="3">
        <v>23.91</v>
      </c>
      <c r="O249" s="3"/>
      <c r="P249" s="22">
        <v>45877</v>
      </c>
      <c r="Q249" s="22">
        <v>45877</v>
      </c>
      <c r="R249" s="3"/>
    </row>
    <row r="250" spans="1:19" x14ac:dyDescent="0.25">
      <c r="A250" s="8">
        <v>7</v>
      </c>
      <c r="B250" s="8">
        <v>9</v>
      </c>
      <c r="C250" s="8" t="s">
        <v>105</v>
      </c>
      <c r="D250" s="8" t="s">
        <v>16</v>
      </c>
      <c r="E250" s="8" t="s">
        <v>531</v>
      </c>
      <c r="F250" s="8" t="s">
        <v>532</v>
      </c>
      <c r="G250" s="3">
        <v>33.264000000000003</v>
      </c>
      <c r="H250" s="3">
        <f>IFERROR(INDEX('Tagging key'!D:D, MATCH(F250,'Tagging key'!C:C,0)),"")</f>
        <v>76.53</v>
      </c>
      <c r="I250" s="3">
        <f>IFERROR(INDEX('Tagging key'!E:E, MATCH(F250,'Tagging key'!C:C,0)),"")</f>
        <v>47.91</v>
      </c>
      <c r="J250" s="3">
        <f>IFERROR(INDEX('Tagging key'!F:F, MATCH(F250,'Tagging key'!C:C,0)),"")</f>
        <v>17.82</v>
      </c>
      <c r="K250" s="3">
        <v>32.576999999999998</v>
      </c>
      <c r="L250" s="3">
        <v>76.11</v>
      </c>
      <c r="M250" s="3">
        <v>49.14</v>
      </c>
      <c r="N250" s="3">
        <v>16.559999999999999</v>
      </c>
      <c r="O250" s="3"/>
      <c r="P250" s="22">
        <v>45877</v>
      </c>
      <c r="Q250" s="22">
        <v>45877</v>
      </c>
      <c r="R250" s="3"/>
    </row>
    <row r="251" spans="1:19" x14ac:dyDescent="0.25">
      <c r="A251" s="8">
        <v>7</v>
      </c>
      <c r="B251" s="8">
        <v>9</v>
      </c>
      <c r="C251" s="8" t="s">
        <v>105</v>
      </c>
      <c r="D251" s="8" t="s">
        <v>16</v>
      </c>
      <c r="E251" s="8" t="s">
        <v>533</v>
      </c>
      <c r="F251" s="8" t="s">
        <v>534</v>
      </c>
      <c r="G251" s="3">
        <v>30.553999999999998</v>
      </c>
      <c r="H251" s="3">
        <f>IFERROR(INDEX('Tagging key'!D:D, MATCH(F251,'Tagging key'!C:C,0)),"")</f>
        <v>62.95</v>
      </c>
      <c r="I251" s="3">
        <f>IFERROR(INDEX('Tagging key'!E:E, MATCH(F251,'Tagging key'!C:C,0)),"")</f>
        <v>50.7</v>
      </c>
      <c r="J251" s="3">
        <f>IFERROR(INDEX('Tagging key'!F:F, MATCH(F251,'Tagging key'!C:C,0)),"")</f>
        <v>19</v>
      </c>
      <c r="K251" s="3">
        <v>30.113</v>
      </c>
      <c r="L251" s="3">
        <v>66.37</v>
      </c>
      <c r="M251" s="3">
        <v>44.33</v>
      </c>
      <c r="N251" s="3">
        <v>21.8</v>
      </c>
      <c r="O251" s="3"/>
      <c r="P251" s="22">
        <v>45886</v>
      </c>
      <c r="Q251" s="22">
        <v>45886</v>
      </c>
      <c r="R251" s="3">
        <v>18.739000000000001</v>
      </c>
    </row>
    <row r="252" spans="1:19" x14ac:dyDescent="0.25">
      <c r="A252" s="8">
        <v>7</v>
      </c>
      <c r="B252" s="8">
        <v>9</v>
      </c>
      <c r="C252" s="8" t="s">
        <v>105</v>
      </c>
      <c r="D252" s="8" t="s">
        <v>16</v>
      </c>
      <c r="E252" s="8" t="s">
        <v>477</v>
      </c>
      <c r="F252" s="8" t="s">
        <v>535</v>
      </c>
      <c r="G252" s="3">
        <v>37.090000000000003</v>
      </c>
      <c r="H252" s="3">
        <f>IFERROR(INDEX('Tagging key'!D:D, MATCH(F252,'Tagging key'!C:C,0)),"")</f>
        <v>67.650000000000006</v>
      </c>
      <c r="I252" s="3">
        <f>IFERROR(INDEX('Tagging key'!E:E, MATCH(F252,'Tagging key'!C:C,0)),"")</f>
        <v>49.78</v>
      </c>
      <c r="J252" s="3">
        <f>IFERROR(INDEX('Tagging key'!F:F, MATCH(F252,'Tagging key'!C:C,0)),"")</f>
        <v>18.12</v>
      </c>
      <c r="K252" s="3">
        <v>36.374000000000002</v>
      </c>
      <c r="L252" s="3">
        <v>69.67</v>
      </c>
      <c r="M252" s="3">
        <v>48</v>
      </c>
      <c r="N252" s="3">
        <v>19.14</v>
      </c>
      <c r="O252" s="3"/>
      <c r="P252" s="22">
        <v>45879</v>
      </c>
      <c r="Q252" s="22">
        <v>45879</v>
      </c>
      <c r="R252" s="3"/>
    </row>
    <row r="253" spans="1:19" x14ac:dyDescent="0.25">
      <c r="A253" s="8">
        <v>7</v>
      </c>
      <c r="B253" s="8">
        <v>9</v>
      </c>
      <c r="C253" s="8" t="s">
        <v>105</v>
      </c>
      <c r="D253" s="8" t="s">
        <v>16</v>
      </c>
      <c r="E253" s="8" t="s">
        <v>536</v>
      </c>
      <c r="F253" s="8" t="s">
        <v>537</v>
      </c>
      <c r="G253" s="3">
        <v>38.972000000000001</v>
      </c>
      <c r="H253" s="3">
        <f>IFERROR(INDEX('Tagging key'!D:D, MATCH(F253,'Tagging key'!C:C,0)),"")</f>
        <v>77.87</v>
      </c>
      <c r="I253" s="3">
        <f>IFERROR(INDEX('Tagging key'!E:E, MATCH(F253,'Tagging key'!C:C,0)),"")</f>
        <v>46.75</v>
      </c>
      <c r="J253" s="3">
        <f>IFERROR(INDEX('Tagging key'!F:F, MATCH(F253,'Tagging key'!C:C,0)),"")</f>
        <v>15.61</v>
      </c>
      <c r="K253" s="3">
        <v>38.433</v>
      </c>
      <c r="L253" s="3">
        <v>79.319999999999993</v>
      </c>
      <c r="M253" s="3">
        <v>46.51</v>
      </c>
      <c r="N253" s="3">
        <v>17.600000000000001</v>
      </c>
      <c r="O253" s="3"/>
      <c r="P253" s="22">
        <v>45882</v>
      </c>
      <c r="Q253" s="22">
        <v>45882</v>
      </c>
      <c r="R253" s="3">
        <v>26.658000000000001</v>
      </c>
    </row>
    <row r="254" spans="1:19" x14ac:dyDescent="0.25">
      <c r="A254" s="9">
        <v>8</v>
      </c>
      <c r="B254" s="9">
        <v>1</v>
      </c>
      <c r="C254" s="9" t="s">
        <v>15</v>
      </c>
      <c r="D254" s="9" t="s">
        <v>16</v>
      </c>
      <c r="E254" s="9" t="s">
        <v>538</v>
      </c>
      <c r="F254" s="9" t="s">
        <v>539</v>
      </c>
      <c r="G254" s="3">
        <v>21.347999999999999</v>
      </c>
      <c r="H254" s="3">
        <f>IFERROR(INDEX('Tagging key'!D:D, MATCH(F254,'Tagging key'!C:C,0)),"")</f>
        <v>61.52</v>
      </c>
      <c r="I254" s="3">
        <f>IFERROR(INDEX('Tagging key'!E:E, MATCH(F254,'Tagging key'!C:C,0)),"")</f>
        <v>45.06</v>
      </c>
      <c r="J254" s="3">
        <f>IFERROR(INDEX('Tagging key'!F:F, MATCH(F254,'Tagging key'!C:C,0)),"")</f>
        <v>13.19</v>
      </c>
      <c r="K254" s="3">
        <v>21.013000000000002</v>
      </c>
      <c r="L254" s="3">
        <v>61.74</v>
      </c>
      <c r="M254" s="3">
        <v>44.53</v>
      </c>
      <c r="N254" s="3">
        <v>14.43</v>
      </c>
      <c r="O254" s="3"/>
      <c r="P254" s="22">
        <v>45882</v>
      </c>
      <c r="Q254" s="22">
        <v>45882</v>
      </c>
      <c r="R254" s="3">
        <v>11.753</v>
      </c>
    </row>
    <row r="255" spans="1:19" x14ac:dyDescent="0.25">
      <c r="A255" s="9">
        <v>8</v>
      </c>
      <c r="B255" s="9">
        <v>1</v>
      </c>
      <c r="C255" s="9" t="s">
        <v>15</v>
      </c>
      <c r="D255" s="9" t="s">
        <v>16</v>
      </c>
      <c r="E255" s="9" t="s">
        <v>540</v>
      </c>
      <c r="F255" s="9" t="s">
        <v>541</v>
      </c>
      <c r="G255" s="24">
        <v>23.382999999999999</v>
      </c>
      <c r="H255" s="3">
        <f>IFERROR(INDEX('Tagging key'!D:D, MATCH(F255,'Tagging key'!C:C,0)),"")</f>
        <v>60.08</v>
      </c>
      <c r="I255" s="3">
        <f>IFERROR(INDEX('Tagging key'!E:E, MATCH(F255,'Tagging key'!C:C,0)),"")</f>
        <v>43.32</v>
      </c>
      <c r="J255" s="3">
        <f>IFERROR(INDEX('Tagging key'!F:F, MATCH(F255,'Tagging key'!C:C,0)),"")</f>
        <v>14.18</v>
      </c>
      <c r="K255" s="3">
        <v>23.178999999999998</v>
      </c>
      <c r="L255" s="3">
        <v>60.11</v>
      </c>
      <c r="M255" s="3">
        <v>42.24</v>
      </c>
      <c r="N255" s="3">
        <v>15.07</v>
      </c>
      <c r="O255" s="3"/>
      <c r="P255" s="22">
        <v>45877</v>
      </c>
      <c r="Q255" s="22">
        <v>45877</v>
      </c>
      <c r="R255" s="3"/>
    </row>
    <row r="256" spans="1:19" x14ac:dyDescent="0.25">
      <c r="A256" s="9">
        <v>8</v>
      </c>
      <c r="B256" s="9">
        <v>1</v>
      </c>
      <c r="C256" s="9" t="s">
        <v>15</v>
      </c>
      <c r="D256" s="9" t="s">
        <v>16</v>
      </c>
      <c r="E256" s="9" t="s">
        <v>542</v>
      </c>
      <c r="F256" s="9" t="s">
        <v>543</v>
      </c>
      <c r="G256" s="3">
        <v>40.536999999999999</v>
      </c>
      <c r="H256" s="3">
        <f>IFERROR(INDEX('Tagging key'!D:D, MATCH(F256,'Tagging key'!C:C,0)),"")</f>
        <v>80.14</v>
      </c>
      <c r="I256" s="3">
        <f>IFERROR(INDEX('Tagging key'!E:E, MATCH(F256,'Tagging key'!C:C,0)),"")</f>
        <v>50.61</v>
      </c>
      <c r="J256" s="3">
        <f>IFERROR(INDEX('Tagging key'!F:F, MATCH(F256,'Tagging key'!C:C,0)),"")</f>
        <v>20.72</v>
      </c>
      <c r="K256" s="3">
        <v>40.087000000000003</v>
      </c>
      <c r="L256" s="3">
        <v>75.209999999999994</v>
      </c>
      <c r="M256" s="3">
        <v>50.54</v>
      </c>
      <c r="N256" s="3">
        <v>18.27</v>
      </c>
      <c r="O256" s="3"/>
      <c r="P256" s="22">
        <v>45879</v>
      </c>
      <c r="Q256" s="22">
        <v>45879</v>
      </c>
      <c r="R256" s="3"/>
    </row>
    <row r="257" spans="1:18" x14ac:dyDescent="0.25">
      <c r="A257" s="9">
        <v>8</v>
      </c>
      <c r="B257" s="9">
        <v>1</v>
      </c>
      <c r="C257" s="9" t="s">
        <v>15</v>
      </c>
      <c r="D257" s="9" t="s">
        <v>16</v>
      </c>
      <c r="E257" s="9" t="s">
        <v>544</v>
      </c>
      <c r="F257" s="9" t="s">
        <v>545</v>
      </c>
      <c r="G257" s="3">
        <v>36.674999999999997</v>
      </c>
      <c r="H257" s="3">
        <f>IFERROR(INDEX('Tagging key'!D:D, MATCH(F257,'Tagging key'!C:C,0)),"")</f>
        <v>65.099999999999994</v>
      </c>
      <c r="I257" s="3">
        <f>IFERROR(INDEX('Tagging key'!E:E, MATCH(F257,'Tagging key'!C:C,0)),"")</f>
        <v>49.86</v>
      </c>
      <c r="J257" s="3">
        <f>IFERROR(INDEX('Tagging key'!F:F, MATCH(F257,'Tagging key'!C:C,0)),"")</f>
        <v>17.190000000000001</v>
      </c>
      <c r="K257" s="3">
        <v>36.531999999999996</v>
      </c>
      <c r="L257" s="3">
        <v>66.14</v>
      </c>
      <c r="M257" s="3">
        <v>47.17</v>
      </c>
      <c r="N257" s="3">
        <v>19.77</v>
      </c>
      <c r="O257" s="3"/>
      <c r="P257" s="22">
        <v>45886</v>
      </c>
      <c r="Q257" s="22">
        <v>45886</v>
      </c>
      <c r="R257" s="3">
        <v>26.306000000000001</v>
      </c>
    </row>
    <row r="258" spans="1:18" x14ac:dyDescent="0.25">
      <c r="A258" s="8">
        <v>8</v>
      </c>
      <c r="B258" s="8">
        <v>2</v>
      </c>
      <c r="C258" s="8" t="s">
        <v>15</v>
      </c>
      <c r="D258" s="8" t="s">
        <v>16</v>
      </c>
      <c r="E258" s="8" t="s">
        <v>546</v>
      </c>
      <c r="F258" s="8" t="s">
        <v>547</v>
      </c>
      <c r="G258" s="3">
        <v>27.382000000000001</v>
      </c>
      <c r="H258" s="3">
        <f>IFERROR(INDEX('Tagging key'!D:D, MATCH(F258,'Tagging key'!C:C,0)),"")</f>
        <v>64.099999999999994</v>
      </c>
      <c r="I258" s="3">
        <f>IFERROR(INDEX('Tagging key'!E:E, MATCH(F258,'Tagging key'!C:C,0)),"")</f>
        <v>46.85</v>
      </c>
      <c r="J258" s="3">
        <f>IFERROR(INDEX('Tagging key'!F:F, MATCH(F258,'Tagging key'!C:C,0)),"")</f>
        <v>16.18</v>
      </c>
      <c r="K258" s="3">
        <v>27.094000000000001</v>
      </c>
      <c r="L258" s="3">
        <v>65.400000000000006</v>
      </c>
      <c r="M258" s="3">
        <v>44.85</v>
      </c>
      <c r="N258" s="3">
        <v>15.77</v>
      </c>
      <c r="O258" s="3"/>
      <c r="P258" s="22">
        <v>45877</v>
      </c>
      <c r="Q258" s="22">
        <v>45877</v>
      </c>
      <c r="R258" s="3"/>
    </row>
    <row r="259" spans="1:18" x14ac:dyDescent="0.25">
      <c r="A259" s="8">
        <v>8</v>
      </c>
      <c r="B259" s="8">
        <v>2</v>
      </c>
      <c r="C259" s="8" t="s">
        <v>15</v>
      </c>
      <c r="D259" s="8" t="s">
        <v>16</v>
      </c>
      <c r="E259" s="8" t="s">
        <v>198</v>
      </c>
      <c r="F259" s="8" t="s">
        <v>548</v>
      </c>
      <c r="G259" s="3">
        <v>21.754999999999999</v>
      </c>
      <c r="H259" s="3">
        <f>IFERROR(INDEX('Tagging key'!D:D, MATCH(F259,'Tagging key'!C:C,0)),"")</f>
        <v>62.25</v>
      </c>
      <c r="I259" s="3">
        <f>IFERROR(INDEX('Tagging key'!E:E, MATCH(F259,'Tagging key'!C:C,0)),"")</f>
        <v>48.1</v>
      </c>
      <c r="J259" s="3">
        <f>IFERROR(INDEX('Tagging key'!F:F, MATCH(F259,'Tagging key'!C:C,0)),"")</f>
        <v>14.02</v>
      </c>
      <c r="K259" s="3">
        <v>21.484999999999999</v>
      </c>
      <c r="L259" s="3">
        <v>62.31</v>
      </c>
      <c r="M259" s="3">
        <v>46.47</v>
      </c>
      <c r="N259" s="3">
        <v>16.02</v>
      </c>
      <c r="O259" s="3"/>
      <c r="P259" s="22">
        <v>45886</v>
      </c>
      <c r="Q259" s="22">
        <v>45886</v>
      </c>
      <c r="R259" s="3">
        <v>13.492000000000001</v>
      </c>
    </row>
    <row r="260" spans="1:18" x14ac:dyDescent="0.25">
      <c r="A260" s="8">
        <v>8</v>
      </c>
      <c r="B260" s="8">
        <v>2</v>
      </c>
      <c r="C260" s="8" t="s">
        <v>15</v>
      </c>
      <c r="D260" s="8" t="s">
        <v>16</v>
      </c>
      <c r="E260" s="8" t="s">
        <v>165</v>
      </c>
      <c r="F260" s="8" t="s">
        <v>549</v>
      </c>
      <c r="G260" s="3">
        <v>25.15</v>
      </c>
      <c r="H260" s="3">
        <f>IFERROR(INDEX('Tagging key'!D:D, MATCH(F260,'Tagging key'!C:C,0)),"")</f>
        <v>64.33</v>
      </c>
      <c r="I260" s="3">
        <f>IFERROR(INDEX('Tagging key'!E:E, MATCH(F260,'Tagging key'!C:C,0)),"")</f>
        <v>44.72</v>
      </c>
      <c r="J260" s="3">
        <f>IFERROR(INDEX('Tagging key'!F:F, MATCH(F260,'Tagging key'!C:C,0)),"")</f>
        <v>15.96</v>
      </c>
      <c r="K260" s="3">
        <v>24.972000000000001</v>
      </c>
      <c r="L260" s="3">
        <v>64.400000000000006</v>
      </c>
      <c r="M260" s="3">
        <v>44.58</v>
      </c>
      <c r="N260" s="3">
        <v>17.8</v>
      </c>
      <c r="O260" s="3"/>
      <c r="P260" s="22">
        <v>45882</v>
      </c>
      <c r="Q260" s="22">
        <v>45882</v>
      </c>
      <c r="R260" s="3">
        <v>16.826000000000001</v>
      </c>
    </row>
    <row r="261" spans="1:18" x14ac:dyDescent="0.25">
      <c r="A261" s="8">
        <v>8</v>
      </c>
      <c r="B261" s="8">
        <v>2</v>
      </c>
      <c r="C261" s="8" t="s">
        <v>15</v>
      </c>
      <c r="D261" s="8" t="s">
        <v>16</v>
      </c>
      <c r="E261" s="8" t="s">
        <v>174</v>
      </c>
      <c r="F261" s="8" t="s">
        <v>550</v>
      </c>
      <c r="G261" s="3">
        <v>34.61</v>
      </c>
      <c r="H261" s="3">
        <f>IFERROR(INDEX('Tagging key'!D:D, MATCH(F261,'Tagging key'!C:C,0)),"")</f>
        <v>70.930000000000007</v>
      </c>
      <c r="I261" s="3">
        <f>IFERROR(INDEX('Tagging key'!E:E, MATCH(F261,'Tagging key'!C:C,0)),"")</f>
        <v>42.89</v>
      </c>
      <c r="J261" s="3">
        <f>IFERROR(INDEX('Tagging key'!F:F, MATCH(F261,'Tagging key'!C:C,0)),"")</f>
        <v>15.49</v>
      </c>
      <c r="K261" s="3">
        <v>34.326000000000001</v>
      </c>
      <c r="L261" s="3">
        <v>70.459999999999994</v>
      </c>
      <c r="M261" s="3">
        <v>42.88</v>
      </c>
      <c r="N261" s="3">
        <v>13.98</v>
      </c>
      <c r="O261" s="3"/>
      <c r="P261" s="22">
        <v>45879</v>
      </c>
      <c r="Q261" s="22">
        <v>45879</v>
      </c>
      <c r="R261" s="3"/>
    </row>
    <row r="262" spans="1:18" x14ac:dyDescent="0.25">
      <c r="A262" s="9">
        <v>8</v>
      </c>
      <c r="B262" s="9">
        <v>3</v>
      </c>
      <c r="C262" s="9" t="s">
        <v>15</v>
      </c>
      <c r="D262" s="9" t="s">
        <v>16</v>
      </c>
      <c r="E262" s="9" t="s">
        <v>177</v>
      </c>
      <c r="F262" s="9" t="s">
        <v>551</v>
      </c>
      <c r="G262" s="3">
        <v>21.495000000000001</v>
      </c>
      <c r="H262" s="3">
        <f>IFERROR(INDEX('Tagging key'!D:D, MATCH(F262,'Tagging key'!C:C,0)),"")</f>
        <v>72.36</v>
      </c>
      <c r="I262" s="3">
        <f>IFERROR(INDEX('Tagging key'!E:E, MATCH(F262,'Tagging key'!C:C,0)),"")</f>
        <v>36.770000000000003</v>
      </c>
      <c r="J262" s="3">
        <f>IFERROR(INDEX('Tagging key'!F:F, MATCH(F262,'Tagging key'!C:C,0)),"")</f>
        <v>13.07</v>
      </c>
      <c r="K262" s="3">
        <v>21.393999999999998</v>
      </c>
      <c r="L262" s="3">
        <v>72.739999999999995</v>
      </c>
      <c r="M262" s="3">
        <v>38.25</v>
      </c>
      <c r="N262" s="3">
        <v>15.83</v>
      </c>
      <c r="O262" s="3"/>
      <c r="P262" s="22">
        <v>45877</v>
      </c>
      <c r="Q262" s="22">
        <v>45877</v>
      </c>
      <c r="R262" s="3"/>
    </row>
    <row r="263" spans="1:18" x14ac:dyDescent="0.25">
      <c r="A263" s="9">
        <v>8</v>
      </c>
      <c r="B263" s="9">
        <v>3</v>
      </c>
      <c r="C263" s="9" t="s">
        <v>15</v>
      </c>
      <c r="D263" s="9" t="s">
        <v>16</v>
      </c>
      <c r="E263" s="9" t="s">
        <v>552</v>
      </c>
      <c r="F263" s="9" t="s">
        <v>553</v>
      </c>
      <c r="G263" s="3">
        <v>22.536999999999999</v>
      </c>
      <c r="H263" s="3">
        <f>IFERROR(INDEX('Tagging key'!D:D, MATCH(F263,'Tagging key'!C:C,0)),"")</f>
        <v>54.1</v>
      </c>
      <c r="I263" s="3">
        <f>IFERROR(INDEX('Tagging key'!E:E, MATCH(F263,'Tagging key'!C:C,0)),"")</f>
        <v>38.96</v>
      </c>
      <c r="J263" s="3">
        <f>IFERROR(INDEX('Tagging key'!F:F, MATCH(F263,'Tagging key'!C:C,0)),"")</f>
        <v>18.64</v>
      </c>
      <c r="K263" s="3">
        <v>22.495000000000001</v>
      </c>
      <c r="L263" s="3">
        <v>54.33</v>
      </c>
      <c r="M263" s="3">
        <v>38.630000000000003</v>
      </c>
      <c r="N263" s="3">
        <v>18.23</v>
      </c>
      <c r="O263" s="3"/>
      <c r="P263" s="22">
        <v>45886</v>
      </c>
      <c r="Q263" s="22">
        <v>45886</v>
      </c>
      <c r="R263" s="3">
        <v>14.11</v>
      </c>
    </row>
    <row r="264" spans="1:18" x14ac:dyDescent="0.25">
      <c r="A264" s="9">
        <v>8</v>
      </c>
      <c r="B264" s="9">
        <v>3</v>
      </c>
      <c r="C264" s="9" t="s">
        <v>15</v>
      </c>
      <c r="D264" s="9" t="s">
        <v>16</v>
      </c>
      <c r="E264" s="9" t="s">
        <v>554</v>
      </c>
      <c r="F264" s="9" t="s">
        <v>555</v>
      </c>
      <c r="G264" s="3">
        <v>97.855999999999995</v>
      </c>
      <c r="H264" s="3">
        <f>IFERROR(INDEX('Tagging key'!D:D, MATCH(F264,'Tagging key'!C:C,0)),"")</f>
        <v>85.27</v>
      </c>
      <c r="I264" s="3">
        <f>IFERROR(INDEX('Tagging key'!E:E, MATCH(F264,'Tagging key'!C:C,0)),"")</f>
        <v>61.19</v>
      </c>
      <c r="J264" s="3">
        <f>IFERROR(INDEX('Tagging key'!F:F, MATCH(F264,'Tagging key'!C:C,0)),"")</f>
        <v>22.81</v>
      </c>
      <c r="K264" s="3">
        <v>96.944000000000003</v>
      </c>
      <c r="L264" s="3">
        <v>85.89</v>
      </c>
      <c r="M264" s="3">
        <v>58.24</v>
      </c>
      <c r="N264" s="3">
        <v>29.66</v>
      </c>
      <c r="O264" s="3"/>
      <c r="P264" s="22">
        <v>45879</v>
      </c>
      <c r="Q264" s="22">
        <v>45879</v>
      </c>
      <c r="R264" s="3"/>
    </row>
    <row r="265" spans="1:18" x14ac:dyDescent="0.25">
      <c r="A265" s="9">
        <v>8</v>
      </c>
      <c r="B265" s="9">
        <v>3</v>
      </c>
      <c r="C265" s="9" t="s">
        <v>15</v>
      </c>
      <c r="D265" s="9" t="s">
        <v>16</v>
      </c>
      <c r="E265" s="9" t="s">
        <v>556</v>
      </c>
      <c r="F265" s="9" t="s">
        <v>557</v>
      </c>
      <c r="G265" s="3">
        <v>33.481000000000002</v>
      </c>
      <c r="H265" s="3">
        <f>IFERROR(INDEX('Tagging key'!D:D, MATCH(F265,'Tagging key'!C:C,0)),"")</f>
        <v>79.13</v>
      </c>
      <c r="I265" s="3">
        <f>IFERROR(INDEX('Tagging key'!E:E, MATCH(F265,'Tagging key'!C:C,0)),"")</f>
        <v>39.08</v>
      </c>
      <c r="J265" s="3">
        <f>IFERROR(INDEX('Tagging key'!F:F, MATCH(F265,'Tagging key'!C:C,0)),"")</f>
        <v>17.12</v>
      </c>
      <c r="K265" s="3">
        <v>32.438000000000002</v>
      </c>
      <c r="L265" s="3">
        <v>79.14</v>
      </c>
      <c r="M265" s="3">
        <v>40.520000000000003</v>
      </c>
      <c r="N265" s="3">
        <v>18.21</v>
      </c>
      <c r="O265" s="3"/>
      <c r="P265" s="22">
        <v>45882</v>
      </c>
      <c r="Q265" s="22">
        <v>45882</v>
      </c>
      <c r="R265" s="3"/>
    </row>
    <row r="266" spans="1:18" x14ac:dyDescent="0.25">
      <c r="A266" s="13">
        <v>8</v>
      </c>
      <c r="B266" s="13">
        <v>4</v>
      </c>
      <c r="C266" s="13" t="s">
        <v>15</v>
      </c>
      <c r="D266" s="13" t="s">
        <v>72</v>
      </c>
      <c r="E266" s="13" t="s">
        <v>558</v>
      </c>
      <c r="F266" s="13" t="str">
        <f>LEFT(D266,1)&amp;"_"&amp;E266</f>
        <v>S_G40</v>
      </c>
      <c r="G266" s="3">
        <v>67.173000000000002</v>
      </c>
      <c r="H266" s="3">
        <f>IFERROR(INDEX('Tagging key'!D:D, MATCH(F266,'Tagging key'!C:C,0)),"")</f>
        <v>78.7</v>
      </c>
      <c r="I266" s="3">
        <f>IFERROR(INDEX('Tagging key'!E:E, MATCH(F266,'Tagging key'!C:C,0)),"")</f>
        <v>80.680000000000007</v>
      </c>
      <c r="J266" s="3">
        <f>IFERROR(INDEX('Tagging key'!F:F, MATCH(F266,'Tagging key'!C:C,0)),"")</f>
        <v>20.100000000000001</v>
      </c>
      <c r="K266" s="3">
        <v>60.929000000000002</v>
      </c>
      <c r="L266" s="3">
        <v>80.08</v>
      </c>
      <c r="M266" s="3">
        <v>81.88</v>
      </c>
      <c r="N266" s="3">
        <v>21.11</v>
      </c>
      <c r="O266" s="3"/>
      <c r="P266" s="22">
        <v>45882</v>
      </c>
      <c r="Q266" s="22">
        <v>45882</v>
      </c>
      <c r="R266" s="3">
        <v>31.568000000000001</v>
      </c>
    </row>
    <row r="267" spans="1:18" x14ac:dyDescent="0.25">
      <c r="A267" s="13">
        <v>8</v>
      </c>
      <c r="B267" s="13">
        <v>4</v>
      </c>
      <c r="C267" s="13" t="s">
        <v>15</v>
      </c>
      <c r="D267" s="13" t="s">
        <v>72</v>
      </c>
      <c r="E267" s="13" t="s">
        <v>559</v>
      </c>
      <c r="F267" s="13" t="str">
        <f t="shared" ref="F267:F277" si="0">LEFT(D267,1)&amp;"_"&amp;E267</f>
        <v>S_G80</v>
      </c>
      <c r="G267" s="3">
        <v>54.710999999999999</v>
      </c>
      <c r="H267" s="3">
        <f>IFERROR(INDEX('Tagging key'!D:D, MATCH(F267,'Tagging key'!C:C,0)),"")</f>
        <v>73</v>
      </c>
      <c r="I267" s="3">
        <f>IFERROR(INDEX('Tagging key'!E:E, MATCH(F267,'Tagging key'!C:C,0)),"")</f>
        <v>78</v>
      </c>
      <c r="J267" s="3">
        <f>IFERROR(INDEX('Tagging key'!F:F, MATCH(F267,'Tagging key'!C:C,0)),"")</f>
        <v>20</v>
      </c>
      <c r="K267" s="3">
        <v>52.314</v>
      </c>
      <c r="L267" s="3">
        <v>73.83</v>
      </c>
      <c r="M267" s="3">
        <v>79.03</v>
      </c>
      <c r="N267" s="3">
        <v>20.83</v>
      </c>
      <c r="O267" s="3"/>
      <c r="P267" s="22">
        <v>45886</v>
      </c>
      <c r="Q267" s="22">
        <v>45886</v>
      </c>
      <c r="R267" s="3"/>
    </row>
    <row r="268" spans="1:18" x14ac:dyDescent="0.25">
      <c r="A268" s="13">
        <v>8</v>
      </c>
      <c r="B268" s="13">
        <v>4</v>
      </c>
      <c r="C268" s="13" t="s">
        <v>15</v>
      </c>
      <c r="D268" s="13" t="s">
        <v>72</v>
      </c>
      <c r="E268" s="13" t="s">
        <v>560</v>
      </c>
      <c r="F268" s="13" t="str">
        <f t="shared" si="0"/>
        <v>S_Y20</v>
      </c>
      <c r="G268" s="3">
        <v>56.363999999999997</v>
      </c>
      <c r="H268" s="3">
        <f>IFERROR(INDEX('Tagging key'!D:D, MATCH(F268,'Tagging key'!C:C,0)),"")</f>
        <v>71</v>
      </c>
      <c r="I268" s="3">
        <f>IFERROR(INDEX('Tagging key'!E:E, MATCH(F268,'Tagging key'!C:C,0)),"")</f>
        <v>76</v>
      </c>
      <c r="J268" s="3">
        <f>IFERROR(INDEX('Tagging key'!F:F, MATCH(F268,'Tagging key'!C:C,0)),"")</f>
        <v>20</v>
      </c>
      <c r="K268" s="3">
        <v>51.499000000000002</v>
      </c>
      <c r="L268" s="3">
        <v>71.239999999999995</v>
      </c>
      <c r="M268" s="3">
        <v>77.63</v>
      </c>
      <c r="N268" s="3">
        <v>21.09</v>
      </c>
      <c r="O268" s="3"/>
      <c r="P268" s="22">
        <v>45879</v>
      </c>
      <c r="Q268" s="22">
        <v>45879</v>
      </c>
      <c r="R268" s="3"/>
    </row>
    <row r="269" spans="1:18" x14ac:dyDescent="0.25">
      <c r="A269" s="13">
        <v>8</v>
      </c>
      <c r="B269" s="13">
        <v>4</v>
      </c>
      <c r="C269" s="13" t="s">
        <v>15</v>
      </c>
      <c r="D269" s="13" t="s">
        <v>72</v>
      </c>
      <c r="E269" s="13" t="s">
        <v>561</v>
      </c>
      <c r="F269" s="13" t="str">
        <f t="shared" si="0"/>
        <v>S_Y88</v>
      </c>
      <c r="G269" s="3">
        <v>62.44</v>
      </c>
      <c r="H269" s="3">
        <f>IFERROR(INDEX('Tagging key'!D:D, MATCH(F269,'Tagging key'!C:C,0)),"")</f>
        <v>72</v>
      </c>
      <c r="I269" s="3">
        <f>IFERROR(INDEX('Tagging key'!E:E, MATCH(F269,'Tagging key'!C:C,0)),"")</f>
        <v>76</v>
      </c>
      <c r="J269" s="3">
        <f>IFERROR(INDEX('Tagging key'!F:F, MATCH(F269,'Tagging key'!C:C,0)),"")</f>
        <v>18</v>
      </c>
      <c r="K269" s="3">
        <v>57.292999999999999</v>
      </c>
      <c r="L269" s="3">
        <v>73.8</v>
      </c>
      <c r="M269" s="3">
        <v>76.7</v>
      </c>
      <c r="N269" s="3">
        <v>23.04</v>
      </c>
      <c r="O269" s="3"/>
      <c r="P269" s="22">
        <v>45877</v>
      </c>
      <c r="Q269" s="22">
        <v>45877</v>
      </c>
      <c r="R269" s="3"/>
    </row>
    <row r="270" spans="1:18" x14ac:dyDescent="0.25">
      <c r="A270" s="14">
        <v>8</v>
      </c>
      <c r="B270" s="14">
        <v>5</v>
      </c>
      <c r="C270" s="14" t="s">
        <v>15</v>
      </c>
      <c r="D270" s="14" t="s">
        <v>72</v>
      </c>
      <c r="E270" s="14" t="s">
        <v>562</v>
      </c>
      <c r="F270" s="14" t="str">
        <f t="shared" si="0"/>
        <v>S_W54</v>
      </c>
      <c r="G270" s="3">
        <v>51.198999999999998</v>
      </c>
      <c r="H270" s="3">
        <f>IFERROR(INDEX('Tagging key'!D:D, MATCH(F270,'Tagging key'!C:C,0)),"")</f>
        <v>74</v>
      </c>
      <c r="I270" s="3">
        <f>IFERROR(INDEX('Tagging key'!E:E, MATCH(F270,'Tagging key'!C:C,0)),"")</f>
        <v>77</v>
      </c>
      <c r="J270" s="3">
        <f>IFERROR(INDEX('Tagging key'!F:F, MATCH(F270,'Tagging key'!C:C,0)),"")</f>
        <v>19</v>
      </c>
      <c r="K270" s="3">
        <v>49.399000000000001</v>
      </c>
      <c r="L270" s="3">
        <v>73.87</v>
      </c>
      <c r="M270" s="3">
        <v>77.89</v>
      </c>
      <c r="N270" s="3">
        <v>20.66</v>
      </c>
      <c r="O270" s="3"/>
      <c r="P270" s="22">
        <v>45882</v>
      </c>
      <c r="Q270" s="22">
        <v>45882</v>
      </c>
      <c r="R270" s="3"/>
    </row>
    <row r="271" spans="1:18" x14ac:dyDescent="0.25">
      <c r="A271" s="14">
        <v>8</v>
      </c>
      <c r="B271" s="14">
        <v>5</v>
      </c>
      <c r="C271" s="14" t="s">
        <v>15</v>
      </c>
      <c r="D271" s="14" t="s">
        <v>72</v>
      </c>
      <c r="E271" s="14" t="s">
        <v>563</v>
      </c>
      <c r="F271" s="14" t="str">
        <f t="shared" si="0"/>
        <v>S_G96</v>
      </c>
      <c r="G271" s="3">
        <v>43.817</v>
      </c>
      <c r="H271" s="3">
        <f>IFERROR(INDEX('Tagging key'!D:D, MATCH(F271,'Tagging key'!C:C,0)),"")</f>
        <v>68</v>
      </c>
      <c r="I271" s="3">
        <f>IFERROR(INDEX('Tagging key'!E:E, MATCH(F271,'Tagging key'!C:C,0)),"")</f>
        <v>72</v>
      </c>
      <c r="J271" s="3">
        <f>IFERROR(INDEX('Tagging key'!F:F, MATCH(F271,'Tagging key'!C:C,0)),"")</f>
        <v>18</v>
      </c>
      <c r="K271" s="3">
        <v>41.034999999999997</v>
      </c>
      <c r="L271" s="3">
        <v>69.400000000000006</v>
      </c>
      <c r="M271" s="3">
        <v>73.59</v>
      </c>
      <c r="N271" s="3">
        <v>19.59</v>
      </c>
      <c r="O271" s="3"/>
      <c r="P271" s="22">
        <v>45877</v>
      </c>
      <c r="Q271" s="22">
        <v>45877</v>
      </c>
      <c r="R271" s="3"/>
    </row>
    <row r="272" spans="1:18" x14ac:dyDescent="0.25">
      <c r="A272" s="14">
        <v>8</v>
      </c>
      <c r="B272" s="14">
        <v>5</v>
      </c>
      <c r="C272" s="14" t="s">
        <v>15</v>
      </c>
      <c r="D272" s="14" t="s">
        <v>72</v>
      </c>
      <c r="E272" s="14" t="s">
        <v>564</v>
      </c>
      <c r="F272" s="14" t="str">
        <f t="shared" si="0"/>
        <v>S_G41</v>
      </c>
      <c r="G272" s="3">
        <v>49.975999999999999</v>
      </c>
      <c r="H272" s="3">
        <f>IFERROR(INDEX('Tagging key'!D:D, MATCH(F272,'Tagging key'!C:C,0)),"")</f>
        <v>73.84</v>
      </c>
      <c r="I272" s="3">
        <f>IFERROR(INDEX('Tagging key'!E:E, MATCH(F272,'Tagging key'!C:C,0)),"")</f>
        <v>73.260000000000005</v>
      </c>
      <c r="J272" s="3">
        <f>IFERROR(INDEX('Tagging key'!F:F, MATCH(F272,'Tagging key'!C:C,0)),"")</f>
        <v>18.27</v>
      </c>
      <c r="K272" s="3">
        <v>46.542999999999999</v>
      </c>
      <c r="L272" s="3">
        <v>72.760000000000005</v>
      </c>
      <c r="M272" s="3">
        <v>75.62</v>
      </c>
      <c r="N272" s="3">
        <v>20.059999999999999</v>
      </c>
      <c r="O272" s="3"/>
      <c r="P272" s="22">
        <v>45886</v>
      </c>
      <c r="Q272" s="22">
        <v>45886</v>
      </c>
      <c r="R272" s="3"/>
    </row>
    <row r="273" spans="1:18" x14ac:dyDescent="0.25">
      <c r="A273" s="14">
        <v>8</v>
      </c>
      <c r="B273" s="14">
        <v>5</v>
      </c>
      <c r="C273" s="14" t="s">
        <v>15</v>
      </c>
      <c r="D273" s="14" t="s">
        <v>72</v>
      </c>
      <c r="E273" s="14" t="s">
        <v>565</v>
      </c>
      <c r="F273" s="14" t="str">
        <f t="shared" si="0"/>
        <v>S_Y3</v>
      </c>
      <c r="G273" s="3">
        <v>52.408999999999999</v>
      </c>
      <c r="H273" s="3">
        <f>IFERROR(INDEX('Tagging key'!D:D, MATCH(F273,'Tagging key'!C:C,0)),"")</f>
        <v>72</v>
      </c>
      <c r="I273" s="3">
        <f>IFERROR(INDEX('Tagging key'!E:E, MATCH(F273,'Tagging key'!C:C,0)),"")</f>
        <v>75.5</v>
      </c>
      <c r="J273" s="3">
        <f>IFERROR(INDEX('Tagging key'!F:F, MATCH(F273,'Tagging key'!C:C,0)),"")</f>
        <v>21</v>
      </c>
      <c r="K273" s="3">
        <v>50.970999999999997</v>
      </c>
      <c r="L273" s="3">
        <v>74.400000000000006</v>
      </c>
      <c r="M273" s="3">
        <v>78.739999999999995</v>
      </c>
      <c r="N273" s="3">
        <v>20.95</v>
      </c>
      <c r="O273" s="3"/>
      <c r="P273" s="22">
        <v>45879</v>
      </c>
      <c r="Q273" s="22">
        <v>45879</v>
      </c>
      <c r="R273" s="3"/>
    </row>
    <row r="274" spans="1:18" x14ac:dyDescent="0.25">
      <c r="A274" s="13">
        <v>8</v>
      </c>
      <c r="B274" s="13">
        <v>6</v>
      </c>
      <c r="C274" s="13" t="s">
        <v>15</v>
      </c>
      <c r="D274" s="13" t="s">
        <v>72</v>
      </c>
      <c r="E274" s="13" t="s">
        <v>566</v>
      </c>
      <c r="F274" s="13" t="str">
        <f t="shared" si="0"/>
        <v>S_Y39</v>
      </c>
      <c r="G274" s="3">
        <v>56.716999999999999</v>
      </c>
      <c r="H274" s="3">
        <f>IFERROR(INDEX('Tagging key'!D:D, MATCH(F274,'Tagging key'!C:C,0)),"")</f>
        <v>71</v>
      </c>
      <c r="I274" s="3">
        <f>IFERROR(INDEX('Tagging key'!E:E, MATCH(F274,'Tagging key'!C:C,0)),"")</f>
        <v>77</v>
      </c>
      <c r="J274" s="3">
        <f>IFERROR(INDEX('Tagging key'!F:F, MATCH(F274,'Tagging key'!C:C,0)),"")</f>
        <v>19</v>
      </c>
      <c r="K274" s="3">
        <v>54.473999999999997</v>
      </c>
      <c r="L274" s="3">
        <v>73.73</v>
      </c>
      <c r="M274" s="3">
        <v>79.95</v>
      </c>
      <c r="N274" s="3">
        <v>21.46</v>
      </c>
      <c r="O274" s="3"/>
      <c r="P274" s="22">
        <v>45882</v>
      </c>
      <c r="Q274" s="22">
        <v>45882</v>
      </c>
      <c r="R274" s="3">
        <v>24.457999999999998</v>
      </c>
    </row>
    <row r="275" spans="1:18" x14ac:dyDescent="0.25">
      <c r="A275" s="13">
        <v>8</v>
      </c>
      <c r="B275" s="13">
        <v>6</v>
      </c>
      <c r="C275" s="13" t="s">
        <v>15</v>
      </c>
      <c r="D275" s="13" t="s">
        <v>72</v>
      </c>
      <c r="E275" s="13" t="s">
        <v>567</v>
      </c>
      <c r="F275" s="13" t="str">
        <f t="shared" si="0"/>
        <v>S_W81</v>
      </c>
      <c r="G275" s="3">
        <v>71.281999999999996</v>
      </c>
      <c r="H275" s="3">
        <f>IFERROR(INDEX('Tagging key'!D:D, MATCH(F275,'Tagging key'!C:C,0)),"")</f>
        <v>78</v>
      </c>
      <c r="I275" s="3">
        <f>IFERROR(INDEX('Tagging key'!E:E, MATCH(F275,'Tagging key'!C:C,0)),"")</f>
        <v>82</v>
      </c>
      <c r="J275" s="3">
        <f>IFERROR(INDEX('Tagging key'!F:F, MATCH(F275,'Tagging key'!C:C,0)),"")</f>
        <v>24</v>
      </c>
      <c r="K275" s="3">
        <v>68.367000000000004</v>
      </c>
      <c r="L275" s="3">
        <v>77.98</v>
      </c>
      <c r="M275" s="3">
        <v>82.49</v>
      </c>
      <c r="N275" s="3">
        <v>23.57</v>
      </c>
      <c r="O275" s="3"/>
      <c r="P275" s="22">
        <v>45886</v>
      </c>
      <c r="Q275" s="22">
        <v>45886</v>
      </c>
      <c r="R275" s="3">
        <v>36.597000000000001</v>
      </c>
    </row>
    <row r="276" spans="1:18" x14ac:dyDescent="0.25">
      <c r="A276" s="13">
        <v>8</v>
      </c>
      <c r="B276" s="13">
        <v>6</v>
      </c>
      <c r="C276" s="13" t="s">
        <v>15</v>
      </c>
      <c r="D276" s="13" t="s">
        <v>72</v>
      </c>
      <c r="E276" s="13" t="s">
        <v>568</v>
      </c>
      <c r="F276" s="13" t="str">
        <f t="shared" si="0"/>
        <v>S_G2</v>
      </c>
      <c r="G276" s="3">
        <v>66.616</v>
      </c>
      <c r="H276" s="3">
        <f>IFERROR(INDEX('Tagging key'!D:D, MATCH(F276,'Tagging key'!C:C,0)),"")</f>
        <v>78.92</v>
      </c>
      <c r="I276" s="3">
        <f>IFERROR(INDEX('Tagging key'!E:E, MATCH(F276,'Tagging key'!C:C,0)),"")</f>
        <v>82.43</v>
      </c>
      <c r="J276" s="3">
        <f>IFERROR(INDEX('Tagging key'!F:F, MATCH(F276,'Tagging key'!C:C,0)),"")</f>
        <v>22.73</v>
      </c>
      <c r="K276" s="3">
        <v>66.158000000000001</v>
      </c>
      <c r="L276" s="3">
        <v>79.86</v>
      </c>
      <c r="M276" s="3">
        <v>83.61</v>
      </c>
      <c r="N276" s="3">
        <v>23.39</v>
      </c>
      <c r="O276" s="3"/>
      <c r="P276" s="22">
        <v>45877</v>
      </c>
      <c r="Q276" s="22">
        <v>45877</v>
      </c>
      <c r="R276" s="3"/>
    </row>
    <row r="277" spans="1:18" x14ac:dyDescent="0.25">
      <c r="A277" s="13">
        <v>8</v>
      </c>
      <c r="B277" s="13">
        <v>6</v>
      </c>
      <c r="C277" s="13" t="s">
        <v>15</v>
      </c>
      <c r="D277" s="13" t="s">
        <v>72</v>
      </c>
      <c r="E277" s="13" t="s">
        <v>436</v>
      </c>
      <c r="F277" s="13" t="str">
        <f t="shared" si="0"/>
        <v>S_G10</v>
      </c>
      <c r="G277" s="3">
        <v>66.17</v>
      </c>
      <c r="H277" s="3">
        <f>IFERROR(INDEX('Tagging key'!D:D, MATCH(F277,'Tagging key'!C:C,0)),"")</f>
        <v>75.290000000000006</v>
      </c>
      <c r="I277" s="3">
        <f>IFERROR(INDEX('Tagging key'!E:E, MATCH(F277,'Tagging key'!C:C,0)),"")</f>
        <v>79.06</v>
      </c>
      <c r="J277" s="3">
        <f>IFERROR(INDEX('Tagging key'!F:F, MATCH(F277,'Tagging key'!C:C,0)),"")</f>
        <v>21.17</v>
      </c>
      <c r="K277" s="3">
        <v>63.143000000000001</v>
      </c>
      <c r="L277" s="3">
        <v>76.209999999999994</v>
      </c>
      <c r="M277" s="3">
        <v>79.58</v>
      </c>
      <c r="N277" s="3">
        <v>22.84</v>
      </c>
      <c r="O277" s="3"/>
      <c r="P277" s="22">
        <v>45879</v>
      </c>
      <c r="Q277" s="22">
        <v>45879</v>
      </c>
      <c r="R277" s="3"/>
    </row>
    <row r="278" spans="1:18" x14ac:dyDescent="0.25">
      <c r="A278" s="11">
        <v>8</v>
      </c>
      <c r="B278" s="11">
        <v>7</v>
      </c>
      <c r="C278" s="11" t="s">
        <v>15</v>
      </c>
      <c r="D278" s="11" t="s">
        <v>46</v>
      </c>
      <c r="E278" s="11" t="s">
        <v>209</v>
      </c>
      <c r="F278" s="11" t="s">
        <v>569</v>
      </c>
      <c r="G278" s="3">
        <v>56.667999999999999</v>
      </c>
      <c r="H278" s="3">
        <f>IFERROR(INDEX('Tagging key'!D:D, MATCH(F278,'Tagging key'!C:C,0)),"")</f>
        <v>84.89</v>
      </c>
      <c r="I278" s="3">
        <f>IFERROR(INDEX('Tagging key'!E:E, MATCH(F278,'Tagging key'!C:C,0)),"")</f>
        <v>42.79</v>
      </c>
      <c r="J278" s="3">
        <f>IFERROR(INDEX('Tagging key'!F:F, MATCH(F278,'Tagging key'!C:C,0)),"")</f>
        <v>28.77</v>
      </c>
      <c r="K278" s="3">
        <v>57.643999999999998</v>
      </c>
      <c r="L278" s="3">
        <v>85.03</v>
      </c>
      <c r="M278" s="3">
        <v>41.4</v>
      </c>
      <c r="N278" s="3">
        <v>29.91</v>
      </c>
      <c r="O278" s="3"/>
      <c r="P278" s="22">
        <v>45886</v>
      </c>
      <c r="Q278" s="22">
        <v>45886</v>
      </c>
      <c r="R278" s="3"/>
    </row>
    <row r="279" spans="1:18" x14ac:dyDescent="0.25">
      <c r="A279" s="11">
        <v>8</v>
      </c>
      <c r="B279" s="11">
        <v>7</v>
      </c>
      <c r="C279" s="11" t="s">
        <v>15</v>
      </c>
      <c r="D279" s="11" t="s">
        <v>46</v>
      </c>
      <c r="E279" s="11" t="s">
        <v>444</v>
      </c>
      <c r="F279" s="11" t="s">
        <v>570</v>
      </c>
      <c r="G279" s="3">
        <v>36.070999999999998</v>
      </c>
      <c r="H279" s="3">
        <f>IFERROR(INDEX('Tagging key'!D:D, MATCH(F279,'Tagging key'!C:C,0)),"")</f>
        <v>70</v>
      </c>
      <c r="I279" s="3">
        <f>IFERROR(INDEX('Tagging key'!E:E, MATCH(F279,'Tagging key'!C:C,0)),"")</f>
        <v>37</v>
      </c>
      <c r="J279" s="3">
        <f>IFERROR(INDEX('Tagging key'!F:F, MATCH(F279,'Tagging key'!C:C,0)),"")</f>
        <v>45</v>
      </c>
      <c r="K279" s="3">
        <v>36.430999999999997</v>
      </c>
      <c r="L279" s="3">
        <v>69.84</v>
      </c>
      <c r="M279" s="3">
        <v>37.729999999999997</v>
      </c>
      <c r="N279" s="3">
        <v>25.61</v>
      </c>
      <c r="O279" s="3"/>
      <c r="P279" s="22">
        <v>45877</v>
      </c>
      <c r="Q279" s="22">
        <v>45877</v>
      </c>
      <c r="R279" s="3"/>
    </row>
    <row r="280" spans="1:18" x14ac:dyDescent="0.25">
      <c r="A280" s="11">
        <v>8</v>
      </c>
      <c r="B280" s="11">
        <v>7</v>
      </c>
      <c r="C280" s="11" t="s">
        <v>15</v>
      </c>
      <c r="D280" s="11" t="s">
        <v>46</v>
      </c>
      <c r="E280" s="11" t="s">
        <v>571</v>
      </c>
      <c r="F280" s="11" t="s">
        <v>572</v>
      </c>
      <c r="G280" s="3">
        <v>80.546999999999997</v>
      </c>
      <c r="H280" s="3">
        <f>IFERROR(INDEX('Tagging key'!D:D, MATCH(F280,'Tagging key'!C:C,0)),"")</f>
        <v>83</v>
      </c>
      <c r="I280" s="3">
        <f>IFERROR(INDEX('Tagging key'!E:E, MATCH(F280,'Tagging key'!C:C,0)),"")</f>
        <v>42</v>
      </c>
      <c r="J280" s="3">
        <f>IFERROR(INDEX('Tagging key'!F:F, MATCH(F280,'Tagging key'!C:C,0)),"")</f>
        <v>35</v>
      </c>
      <c r="K280" s="3">
        <v>81.153000000000006</v>
      </c>
      <c r="L280" s="3">
        <v>87.43</v>
      </c>
      <c r="M280" s="3">
        <v>42.56</v>
      </c>
      <c r="N280" s="3">
        <v>36.340000000000003</v>
      </c>
      <c r="O280" s="3"/>
      <c r="P280" s="22">
        <v>45879</v>
      </c>
      <c r="Q280" s="22">
        <v>45879</v>
      </c>
      <c r="R280" s="3"/>
    </row>
    <row r="281" spans="1:18" x14ac:dyDescent="0.25">
      <c r="A281" s="11">
        <v>8</v>
      </c>
      <c r="B281" s="11">
        <v>7</v>
      </c>
      <c r="C281" s="11" t="s">
        <v>15</v>
      </c>
      <c r="D281" s="11" t="s">
        <v>46</v>
      </c>
      <c r="E281" s="11" t="s">
        <v>573</v>
      </c>
      <c r="F281" s="11" t="s">
        <v>574</v>
      </c>
      <c r="G281" s="3">
        <v>29.105</v>
      </c>
      <c r="H281" s="3">
        <f>IFERROR(INDEX('Tagging key'!D:D, MATCH(F281,'Tagging key'!C:C,0)),"")</f>
        <v>65.56</v>
      </c>
      <c r="I281" s="3">
        <f>IFERROR(INDEX('Tagging key'!E:E, MATCH(F281,'Tagging key'!C:C,0)),"")</f>
        <v>37.89</v>
      </c>
      <c r="J281" s="3">
        <f>IFERROR(INDEX('Tagging key'!F:F, MATCH(F281,'Tagging key'!C:C,0)),"")</f>
        <v>23.88</v>
      </c>
      <c r="K281" s="3">
        <v>29.893000000000001</v>
      </c>
      <c r="L281" s="3">
        <v>66.11</v>
      </c>
      <c r="M281" s="3">
        <v>35.68</v>
      </c>
      <c r="N281" s="3">
        <v>23.64</v>
      </c>
      <c r="O281" s="3"/>
      <c r="P281" s="22">
        <v>45882</v>
      </c>
      <c r="Q281" s="22">
        <v>45882</v>
      </c>
      <c r="R281" s="3">
        <v>9.7859999999999996</v>
      </c>
    </row>
    <row r="282" spans="1:18" x14ac:dyDescent="0.25">
      <c r="A282" s="12">
        <v>8</v>
      </c>
      <c r="B282" s="12">
        <v>8</v>
      </c>
      <c r="C282" s="12" t="s">
        <v>15</v>
      </c>
      <c r="D282" s="12" t="s">
        <v>46</v>
      </c>
      <c r="E282" s="12" t="s">
        <v>372</v>
      </c>
      <c r="F282" s="12" t="s">
        <v>575</v>
      </c>
      <c r="G282" s="3">
        <v>50.386000000000003</v>
      </c>
      <c r="H282" s="3">
        <f>IFERROR(INDEX('Tagging key'!D:D, MATCH(F282,'Tagging key'!C:C,0)),"")</f>
        <v>80.44</v>
      </c>
      <c r="I282" s="3">
        <f>IFERROR(INDEX('Tagging key'!E:E, MATCH(F282,'Tagging key'!C:C,0)),"")</f>
        <v>40.79</v>
      </c>
      <c r="J282" s="3">
        <f>IFERROR(INDEX('Tagging key'!F:F, MATCH(F282,'Tagging key'!C:C,0)),"")</f>
        <v>29.71</v>
      </c>
      <c r="K282" s="3">
        <v>51.067999999999998</v>
      </c>
      <c r="L282" s="3">
        <v>80.39</v>
      </c>
      <c r="M282" s="3">
        <v>39.130000000000003</v>
      </c>
      <c r="N282" s="3">
        <v>29.78</v>
      </c>
      <c r="O282" s="3"/>
      <c r="P282" s="22">
        <v>45886</v>
      </c>
      <c r="Q282" s="22">
        <v>45886</v>
      </c>
      <c r="R282" s="3"/>
    </row>
    <row r="283" spans="1:18" x14ac:dyDescent="0.25">
      <c r="A283" s="12">
        <v>8</v>
      </c>
      <c r="B283" s="12">
        <v>8</v>
      </c>
      <c r="C283" s="12" t="s">
        <v>15</v>
      </c>
      <c r="D283" s="12" t="s">
        <v>46</v>
      </c>
      <c r="E283" s="12" t="s">
        <v>576</v>
      </c>
      <c r="F283" s="12" t="s">
        <v>577</v>
      </c>
      <c r="G283" s="3">
        <v>44.235999999999997</v>
      </c>
      <c r="H283" s="3">
        <f>IFERROR(INDEX('Tagging key'!D:D, MATCH(F283,'Tagging key'!C:C,0)),"")</f>
        <v>79</v>
      </c>
      <c r="I283" s="3">
        <f>IFERROR(INDEX('Tagging key'!E:E, MATCH(F283,'Tagging key'!C:C,0)),"")</f>
        <v>43</v>
      </c>
      <c r="J283" s="3">
        <f>IFERROR(INDEX('Tagging key'!F:F, MATCH(F283,'Tagging key'!C:C,0)),"")</f>
        <v>25</v>
      </c>
      <c r="K283" s="3">
        <v>44.777000000000001</v>
      </c>
      <c r="L283" s="3">
        <v>79.58</v>
      </c>
      <c r="M283" s="3">
        <v>43.86</v>
      </c>
      <c r="N283" s="3">
        <v>27.6</v>
      </c>
      <c r="O283" s="3"/>
      <c r="P283" s="22">
        <v>45879</v>
      </c>
      <c r="Q283" s="22">
        <v>45879</v>
      </c>
      <c r="R283" s="3"/>
    </row>
    <row r="284" spans="1:18" x14ac:dyDescent="0.25">
      <c r="A284" s="12">
        <v>8</v>
      </c>
      <c r="B284" s="12">
        <v>8</v>
      </c>
      <c r="C284" s="12" t="s">
        <v>15</v>
      </c>
      <c r="D284" s="12" t="s">
        <v>46</v>
      </c>
      <c r="E284" s="12" t="s">
        <v>578</v>
      </c>
      <c r="F284" s="12" t="s">
        <v>579</v>
      </c>
      <c r="G284" s="3">
        <v>60.429000000000002</v>
      </c>
      <c r="H284" s="3">
        <f>IFERROR(INDEX('Tagging key'!D:D, MATCH(F284,'Tagging key'!C:C,0)),"")</f>
        <v>86</v>
      </c>
      <c r="I284" s="3">
        <f>IFERROR(INDEX('Tagging key'!E:E, MATCH(F284,'Tagging key'!C:C,0)),"")</f>
        <v>44</v>
      </c>
      <c r="J284" s="3">
        <f>IFERROR(INDEX('Tagging key'!F:F, MATCH(F284,'Tagging key'!C:C,0)),"")</f>
        <v>30</v>
      </c>
      <c r="K284" s="3">
        <v>61.871000000000002</v>
      </c>
      <c r="L284" s="3">
        <v>86.99</v>
      </c>
      <c r="M284" s="3">
        <v>44.84</v>
      </c>
      <c r="N284" s="3">
        <v>31.37</v>
      </c>
      <c r="O284" s="3"/>
      <c r="P284" s="22">
        <v>45882</v>
      </c>
      <c r="Q284" s="22">
        <v>45882</v>
      </c>
      <c r="R284" s="3">
        <v>18.613</v>
      </c>
    </row>
    <row r="285" spans="1:18" x14ac:dyDescent="0.25">
      <c r="A285" s="12">
        <v>8</v>
      </c>
      <c r="B285" s="12">
        <v>8</v>
      </c>
      <c r="C285" s="12" t="s">
        <v>15</v>
      </c>
      <c r="D285" s="12" t="s">
        <v>46</v>
      </c>
      <c r="E285" s="12" t="s">
        <v>580</v>
      </c>
      <c r="F285" s="12" t="s">
        <v>581</v>
      </c>
      <c r="G285" s="3">
        <v>57.820999999999998</v>
      </c>
      <c r="H285" s="3">
        <f>IFERROR(INDEX('Tagging key'!D:D, MATCH(F285,'Tagging key'!C:C,0)),"")</f>
        <v>85</v>
      </c>
      <c r="I285" s="3">
        <f>IFERROR(INDEX('Tagging key'!E:E, MATCH(F285,'Tagging key'!C:C,0)),"")</f>
        <v>38</v>
      </c>
      <c r="J285" s="3">
        <f>IFERROR(INDEX('Tagging key'!F:F, MATCH(F285,'Tagging key'!C:C,0)),"")</f>
        <v>30</v>
      </c>
      <c r="K285" s="3">
        <v>58.119</v>
      </c>
      <c r="L285" s="3">
        <v>86.63</v>
      </c>
      <c r="M285" s="3">
        <v>39.520000000000003</v>
      </c>
      <c r="N285" s="3">
        <v>29.55</v>
      </c>
      <c r="O285" s="3"/>
      <c r="P285" s="22">
        <v>45877</v>
      </c>
      <c r="Q285" s="22">
        <v>45877</v>
      </c>
      <c r="R285" s="3"/>
    </row>
    <row r="286" spans="1:18" x14ac:dyDescent="0.25">
      <c r="A286" s="11">
        <v>8</v>
      </c>
      <c r="B286" s="11">
        <v>9</v>
      </c>
      <c r="C286" s="11" t="s">
        <v>15</v>
      </c>
      <c r="D286" s="11" t="s">
        <v>46</v>
      </c>
      <c r="E286" s="11" t="s">
        <v>582</v>
      </c>
      <c r="F286" s="11" t="s">
        <v>583</v>
      </c>
      <c r="G286" s="3">
        <v>46.094999999999999</v>
      </c>
      <c r="H286" s="3">
        <f>IFERROR(INDEX('Tagging key'!D:D, MATCH(F286,'Tagging key'!C:C,0)),"")</f>
        <v>78</v>
      </c>
      <c r="I286" s="3">
        <f>IFERROR(INDEX('Tagging key'!E:E, MATCH(F286,'Tagging key'!C:C,0)),"")</f>
        <v>34</v>
      </c>
      <c r="J286" s="3">
        <f>IFERROR(INDEX('Tagging key'!F:F, MATCH(F286,'Tagging key'!C:C,0)),"")</f>
        <v>29</v>
      </c>
      <c r="K286" s="3">
        <v>47.006999999999998</v>
      </c>
      <c r="L286" s="3">
        <v>79.180000000000007</v>
      </c>
      <c r="M286" s="3">
        <v>36.74</v>
      </c>
      <c r="N286" s="3">
        <v>29.93</v>
      </c>
      <c r="O286" s="3"/>
      <c r="P286" s="22">
        <v>45882</v>
      </c>
      <c r="Q286" s="22">
        <v>45882</v>
      </c>
      <c r="R286" s="3">
        <v>7.8639999999999999</v>
      </c>
    </row>
    <row r="287" spans="1:18" x14ac:dyDescent="0.25">
      <c r="A287" s="11">
        <v>8</v>
      </c>
      <c r="B287" s="11">
        <v>9</v>
      </c>
      <c r="C287" s="11" t="s">
        <v>15</v>
      </c>
      <c r="D287" s="11" t="s">
        <v>46</v>
      </c>
      <c r="E287" s="11" t="s">
        <v>584</v>
      </c>
      <c r="F287" s="11" t="s">
        <v>585</v>
      </c>
      <c r="G287" s="3">
        <v>52.642000000000003</v>
      </c>
      <c r="H287" s="3">
        <f>IFERROR(INDEX('Tagging key'!D:D, MATCH(F287,'Tagging key'!C:C,0)),"")</f>
        <v>81.75</v>
      </c>
      <c r="I287" s="3">
        <f>IFERROR(INDEX('Tagging key'!E:E, MATCH(F287,'Tagging key'!C:C,0)),"")</f>
        <v>47.33</v>
      </c>
      <c r="J287" s="3">
        <f>IFERROR(INDEX('Tagging key'!F:F, MATCH(F287,'Tagging key'!C:C,0)),"")</f>
        <v>30.07</v>
      </c>
      <c r="K287" s="3">
        <v>52.869</v>
      </c>
      <c r="L287" s="3">
        <v>81.2</v>
      </c>
      <c r="M287" s="3">
        <v>39.840000000000003</v>
      </c>
      <c r="N287" s="3">
        <v>30.33</v>
      </c>
      <c r="O287" s="3"/>
      <c r="P287" s="22">
        <v>45886</v>
      </c>
      <c r="Q287" s="22">
        <v>45886</v>
      </c>
      <c r="R287" s="3"/>
    </row>
    <row r="288" spans="1:18" x14ac:dyDescent="0.25">
      <c r="A288" s="11">
        <v>8</v>
      </c>
      <c r="B288" s="11">
        <v>9</v>
      </c>
      <c r="C288" s="11" t="s">
        <v>15</v>
      </c>
      <c r="D288" s="11" t="s">
        <v>46</v>
      </c>
      <c r="E288" s="11" t="s">
        <v>90</v>
      </c>
      <c r="F288" s="11" t="s">
        <v>586</v>
      </c>
      <c r="G288" s="3">
        <v>30.716999999999999</v>
      </c>
      <c r="H288" s="3">
        <f>IFERROR(INDEX('Tagging key'!D:D, MATCH(F288,'Tagging key'!C:C,0)),"")</f>
        <v>69</v>
      </c>
      <c r="I288" s="3">
        <f>IFERROR(INDEX('Tagging key'!E:E, MATCH(F288,'Tagging key'!C:C,0)),"")</f>
        <v>32</v>
      </c>
      <c r="J288" s="3">
        <f>IFERROR(INDEX('Tagging key'!F:F, MATCH(F288,'Tagging key'!C:C,0)),"")</f>
        <v>24</v>
      </c>
      <c r="K288" s="3">
        <v>30.96</v>
      </c>
      <c r="L288" s="3">
        <v>68.87</v>
      </c>
      <c r="M288" s="3">
        <v>32.880000000000003</v>
      </c>
      <c r="N288" s="3">
        <v>24.45</v>
      </c>
      <c r="O288" s="3"/>
      <c r="P288" s="22">
        <v>45877</v>
      </c>
      <c r="Q288" s="22">
        <v>45877</v>
      </c>
      <c r="R288" s="3"/>
    </row>
    <row r="289" spans="1:21" x14ac:dyDescent="0.25">
      <c r="A289" s="11">
        <v>8</v>
      </c>
      <c r="B289" s="11">
        <v>9</v>
      </c>
      <c r="C289" s="11" t="s">
        <v>15</v>
      </c>
      <c r="D289" s="11" t="s">
        <v>46</v>
      </c>
      <c r="E289" s="11" t="s">
        <v>587</v>
      </c>
      <c r="F289" s="11" t="s">
        <v>588</v>
      </c>
      <c r="G289" s="3">
        <v>32.851999999999997</v>
      </c>
      <c r="H289" s="3">
        <f>IFERROR(INDEX('Tagging key'!D:D, MATCH(F289,'Tagging key'!C:C,0)),"")</f>
        <v>73.86</v>
      </c>
      <c r="I289" s="3">
        <f>IFERROR(INDEX('Tagging key'!E:E, MATCH(F289,'Tagging key'!C:C,0)),"")</f>
        <v>37.020000000000003</v>
      </c>
      <c r="J289" s="3">
        <f>IFERROR(INDEX('Tagging key'!F:F, MATCH(F289,'Tagging key'!C:C,0)),"")</f>
        <v>24.96</v>
      </c>
      <c r="K289" s="3">
        <v>33.932000000000002</v>
      </c>
      <c r="L289" s="3">
        <v>74.459999999999994</v>
      </c>
      <c r="M289" s="3">
        <v>34.409999999999997</v>
      </c>
      <c r="N289" s="3">
        <v>26.39</v>
      </c>
      <c r="O289" s="3"/>
      <c r="P289" s="22">
        <v>45879</v>
      </c>
      <c r="Q289" s="22">
        <v>45879</v>
      </c>
      <c r="R289" s="3"/>
    </row>
    <row r="290" spans="1:21" x14ac:dyDescent="0.25">
      <c r="A290" s="13">
        <v>9</v>
      </c>
      <c r="B290" s="13">
        <v>1</v>
      </c>
      <c r="C290" s="13" t="s">
        <v>105</v>
      </c>
      <c r="D290" s="13" t="s">
        <v>72</v>
      </c>
      <c r="E290" s="13" t="s">
        <v>32</v>
      </c>
      <c r="F290" s="13" t="str">
        <f>LEFT(D290,1)&amp;"_"&amp;E290</f>
        <v>S_B5</v>
      </c>
      <c r="G290" s="3">
        <v>54.2</v>
      </c>
      <c r="H290" s="3" t="str">
        <f>IFERROR(INDEX('Tagging key'!D:D, MATCH(F290,'Tagging key'!C:C,0)),"")</f>
        <v/>
      </c>
      <c r="I290" s="3" t="str">
        <f>IFERROR(INDEX('Tagging key'!E:E, MATCH(F290,'Tagging key'!C:C,0)),"")</f>
        <v/>
      </c>
      <c r="J290" s="3" t="str">
        <f>IFERROR(INDEX('Tagging key'!F:F, MATCH(F290,'Tagging key'!C:C,0)),"")</f>
        <v/>
      </c>
      <c r="K290" s="3">
        <v>56.279000000000003</v>
      </c>
      <c r="L290" s="3">
        <v>78.38</v>
      </c>
      <c r="M290" s="3">
        <v>75.39</v>
      </c>
      <c r="N290" s="3">
        <v>21.87</v>
      </c>
      <c r="O290" s="3"/>
      <c r="P290" s="22">
        <v>45877</v>
      </c>
      <c r="Q290" s="22">
        <v>45877</v>
      </c>
      <c r="R290" s="3"/>
      <c r="S290" t="s">
        <v>589</v>
      </c>
      <c r="T290" t="s">
        <v>590</v>
      </c>
    </row>
    <row r="291" spans="1:21" x14ac:dyDescent="0.25">
      <c r="A291" s="13">
        <v>9</v>
      </c>
      <c r="B291" s="13">
        <v>1</v>
      </c>
      <c r="C291" s="13" t="s">
        <v>105</v>
      </c>
      <c r="D291" s="13" t="s">
        <v>72</v>
      </c>
      <c r="E291" s="13" t="s">
        <v>118</v>
      </c>
      <c r="F291" s="13" t="str">
        <f t="shared" ref="F291:F301" si="1">LEFT(D291,1)&amp;"_"&amp;E291</f>
        <v>S_B8</v>
      </c>
      <c r="G291" s="3">
        <v>43.15</v>
      </c>
      <c r="H291" s="3" t="str">
        <f>IFERROR(INDEX('Tagging key'!D:D, MATCH(F291,'Tagging key'!C:C,0)),"")</f>
        <v/>
      </c>
      <c r="I291" s="3" t="str">
        <f>IFERROR(INDEX('Tagging key'!E:E, MATCH(F291,'Tagging key'!C:C,0)),"")</f>
        <v/>
      </c>
      <c r="J291" s="3" t="str">
        <f>IFERROR(INDEX('Tagging key'!F:F, MATCH(F291,'Tagging key'!C:C,0)),"")</f>
        <v/>
      </c>
      <c r="K291" s="3">
        <v>54.127000000000002</v>
      </c>
      <c r="L291" s="3">
        <v>75.67</v>
      </c>
      <c r="M291" s="3">
        <v>79.83</v>
      </c>
      <c r="N291" s="3">
        <v>21.44</v>
      </c>
      <c r="O291" s="3"/>
      <c r="P291" s="22">
        <v>45879</v>
      </c>
      <c r="Q291" s="22">
        <v>45879</v>
      </c>
      <c r="R291" s="3"/>
      <c r="S291" t="s">
        <v>591</v>
      </c>
      <c r="T291" t="s">
        <v>592</v>
      </c>
    </row>
    <row r="292" spans="1:21" x14ac:dyDescent="0.25">
      <c r="A292" s="19">
        <v>9</v>
      </c>
      <c r="B292" s="19">
        <v>1</v>
      </c>
      <c r="C292" s="19" t="s">
        <v>105</v>
      </c>
      <c r="D292" s="19" t="s">
        <v>72</v>
      </c>
      <c r="E292" s="19" t="s">
        <v>440</v>
      </c>
      <c r="F292" s="19" t="str">
        <f t="shared" si="1"/>
        <v>S_B6</v>
      </c>
      <c r="G292" s="19">
        <v>57.5</v>
      </c>
      <c r="H292" s="19" t="str">
        <f>IFERROR(INDEX('Tagging key'!D:D, MATCH(F292,'Tagging key'!C:C,0)),"")</f>
        <v/>
      </c>
      <c r="I292" s="19" t="str">
        <f>IFERROR(INDEX('Tagging key'!E:E, MATCH(F292,'Tagging key'!C:C,0)),"")</f>
        <v/>
      </c>
      <c r="J292" s="19" t="str">
        <f>IFERROR(INDEX('Tagging key'!F:F, MATCH(F292,'Tagging key'!C:C,0)),"")</f>
        <v/>
      </c>
      <c r="K292" s="19"/>
      <c r="L292" s="19"/>
      <c r="M292" s="19"/>
      <c r="N292" s="19"/>
      <c r="O292" s="19"/>
      <c r="P292" s="19"/>
      <c r="Q292" s="19"/>
      <c r="R292" s="19"/>
      <c r="S292" t="s">
        <v>593</v>
      </c>
      <c r="T292" t="s">
        <v>594</v>
      </c>
      <c r="U292" t="s">
        <v>519</v>
      </c>
    </row>
    <row r="293" spans="1:21" x14ac:dyDescent="0.25">
      <c r="A293" s="19">
        <v>9</v>
      </c>
      <c r="B293" s="19">
        <v>1</v>
      </c>
      <c r="C293" s="19" t="s">
        <v>105</v>
      </c>
      <c r="D293" s="19" t="s">
        <v>72</v>
      </c>
      <c r="E293" s="19" t="s">
        <v>529</v>
      </c>
      <c r="F293" s="19" t="str">
        <f t="shared" si="1"/>
        <v>S_B7</v>
      </c>
      <c r="G293" s="19">
        <v>61.79</v>
      </c>
      <c r="H293" s="19" t="str">
        <f>IFERROR(INDEX('Tagging key'!D:D, MATCH(F293,'Tagging key'!C:C,0)),"")</f>
        <v/>
      </c>
      <c r="I293" s="19" t="str">
        <f>IFERROR(INDEX('Tagging key'!E:E, MATCH(F293,'Tagging key'!C:C,0)),"")</f>
        <v/>
      </c>
      <c r="J293" s="19" t="str">
        <f>IFERROR(INDEX('Tagging key'!F:F, MATCH(F293,'Tagging key'!C:C,0)),"")</f>
        <v/>
      </c>
      <c r="K293" s="19"/>
      <c r="L293" s="19"/>
      <c r="M293" s="19"/>
      <c r="N293" s="19"/>
      <c r="O293" s="19"/>
      <c r="P293" s="19"/>
      <c r="Q293" s="19"/>
      <c r="R293" s="19"/>
      <c r="S293" t="s">
        <v>595</v>
      </c>
      <c r="T293" t="s">
        <v>596</v>
      </c>
      <c r="U293" t="s">
        <v>383</v>
      </c>
    </row>
    <row r="294" spans="1:21" x14ac:dyDescent="0.25">
      <c r="A294" s="14">
        <v>9</v>
      </c>
      <c r="B294" s="14">
        <v>2</v>
      </c>
      <c r="C294" s="14" t="s">
        <v>105</v>
      </c>
      <c r="D294" s="14" t="s">
        <v>72</v>
      </c>
      <c r="E294" s="14" t="s">
        <v>597</v>
      </c>
      <c r="F294" s="14" t="str">
        <f t="shared" si="1"/>
        <v>S_B9</v>
      </c>
      <c r="G294" s="3"/>
      <c r="H294" s="3" t="str">
        <f>IFERROR(INDEX('Tagging key'!D:D, MATCH(F294,'Tagging key'!C:C,0)),"")</f>
        <v/>
      </c>
      <c r="I294" s="3" t="str">
        <f>IFERROR(INDEX('Tagging key'!E:E, MATCH(F294,'Tagging key'!C:C,0)),"")</f>
        <v/>
      </c>
      <c r="J294" s="3" t="str">
        <f>IFERROR(INDEX('Tagging key'!F:F, MATCH(F294,'Tagging key'!C:C,0)),"")</f>
        <v/>
      </c>
      <c r="K294" s="3">
        <v>61.814</v>
      </c>
      <c r="L294" s="3">
        <v>80.05</v>
      </c>
      <c r="M294" s="3">
        <v>78.239999999999995</v>
      </c>
      <c r="N294" s="3">
        <v>21.8</v>
      </c>
      <c r="O294" s="3"/>
      <c r="P294" s="22">
        <v>45882</v>
      </c>
      <c r="Q294" s="22">
        <v>45882</v>
      </c>
      <c r="R294" s="3">
        <v>31.565999999999999</v>
      </c>
      <c r="S294" t="s">
        <v>598</v>
      </c>
    </row>
    <row r="295" spans="1:21" x14ac:dyDescent="0.25">
      <c r="A295" s="14">
        <v>9</v>
      </c>
      <c r="B295" s="14">
        <v>2</v>
      </c>
      <c r="C295" s="14" t="s">
        <v>105</v>
      </c>
      <c r="D295" s="14" t="s">
        <v>72</v>
      </c>
      <c r="E295" s="14" t="s">
        <v>599</v>
      </c>
      <c r="F295" s="14" t="str">
        <f t="shared" si="1"/>
        <v>S_B11</v>
      </c>
      <c r="G295" s="3"/>
      <c r="H295" s="3" t="str">
        <f>IFERROR(INDEX('Tagging key'!D:D, MATCH(F295,'Tagging key'!C:C,0)),"")</f>
        <v/>
      </c>
      <c r="I295" s="3" t="str">
        <f>IFERROR(INDEX('Tagging key'!E:E, MATCH(F295,'Tagging key'!C:C,0)),"")</f>
        <v/>
      </c>
      <c r="J295" s="3" t="str">
        <f>IFERROR(INDEX('Tagging key'!F:F, MATCH(F295,'Tagging key'!C:C,0)),"")</f>
        <v/>
      </c>
      <c r="K295" s="3">
        <v>69.885000000000005</v>
      </c>
      <c r="L295" s="3">
        <v>79.900000000000006</v>
      </c>
      <c r="M295" s="3">
        <v>83.9</v>
      </c>
      <c r="N295" s="3">
        <v>23.8</v>
      </c>
      <c r="O295" s="3"/>
      <c r="P295" s="22">
        <v>45879</v>
      </c>
      <c r="Q295" s="22">
        <v>45879</v>
      </c>
      <c r="R295" s="3"/>
      <c r="S295" t="s">
        <v>600</v>
      </c>
    </row>
    <row r="296" spans="1:21" x14ac:dyDescent="0.25">
      <c r="A296" s="14">
        <v>9</v>
      </c>
      <c r="B296" s="14">
        <v>2</v>
      </c>
      <c r="C296" s="14" t="s">
        <v>105</v>
      </c>
      <c r="D296" s="14" t="s">
        <v>72</v>
      </c>
      <c r="E296" s="14" t="s">
        <v>374</v>
      </c>
      <c r="F296" s="14" t="str">
        <f>LEFT(D296,1)&amp;"_"&amp;E296</f>
        <v>S_B12</v>
      </c>
      <c r="G296" s="3"/>
      <c r="H296" s="3" t="str">
        <f>IFERROR(INDEX('Tagging key'!D:D, MATCH(F296,'Tagging key'!C:C,0)),"")</f>
        <v/>
      </c>
      <c r="I296" s="3" t="str">
        <f>IFERROR(INDEX('Tagging key'!E:E, MATCH(F296,'Tagging key'!C:C,0)),"")</f>
        <v/>
      </c>
      <c r="J296" s="3" t="str">
        <f>IFERROR(INDEX('Tagging key'!F:F, MATCH(F296,'Tagging key'!C:C,0)),"")</f>
        <v/>
      </c>
      <c r="K296" s="3">
        <v>45.719000000000001</v>
      </c>
      <c r="L296" s="3">
        <v>74.08</v>
      </c>
      <c r="M296" s="3">
        <v>75.56</v>
      </c>
      <c r="N296" s="3">
        <v>18.989999999999998</v>
      </c>
      <c r="O296" s="3"/>
      <c r="P296" s="22">
        <v>45877</v>
      </c>
      <c r="Q296" s="22">
        <v>45877</v>
      </c>
      <c r="R296" s="3"/>
      <c r="S296" t="s">
        <v>601</v>
      </c>
    </row>
    <row r="297" spans="1:21" x14ac:dyDescent="0.25">
      <c r="A297" s="14">
        <v>9</v>
      </c>
      <c r="B297" s="14">
        <v>2</v>
      </c>
      <c r="C297" s="14" t="s">
        <v>105</v>
      </c>
      <c r="D297" s="14" t="s">
        <v>72</v>
      </c>
      <c r="E297" s="14" t="s">
        <v>602</v>
      </c>
      <c r="F297" s="14" t="str">
        <f t="shared" si="1"/>
        <v>S_B10</v>
      </c>
      <c r="G297" s="3"/>
      <c r="H297" s="3" t="str">
        <f>IFERROR(INDEX('Tagging key'!D:D, MATCH(F297,'Tagging key'!C:C,0)),"")</f>
        <v/>
      </c>
      <c r="I297" s="3" t="str">
        <f>IFERROR(INDEX('Tagging key'!E:E, MATCH(F297,'Tagging key'!C:C,0)),"")</f>
        <v/>
      </c>
      <c r="J297" s="3" t="str">
        <f>IFERROR(INDEX('Tagging key'!F:F, MATCH(F297,'Tagging key'!C:C,0)),"")</f>
        <v/>
      </c>
      <c r="K297" s="3">
        <v>42.497</v>
      </c>
      <c r="L297" s="3">
        <v>73.16</v>
      </c>
      <c r="M297" s="3">
        <v>75.39</v>
      </c>
      <c r="N297" s="3">
        <v>20.61</v>
      </c>
      <c r="O297" s="3"/>
      <c r="P297" s="22">
        <v>45886</v>
      </c>
      <c r="Q297" s="22">
        <v>45886</v>
      </c>
      <c r="R297" s="3">
        <v>18.785</v>
      </c>
      <c r="S297" t="s">
        <v>603</v>
      </c>
    </row>
    <row r="298" spans="1:21" x14ac:dyDescent="0.25">
      <c r="A298" s="19">
        <v>9</v>
      </c>
      <c r="B298" s="19">
        <v>3</v>
      </c>
      <c r="C298" s="19" t="s">
        <v>105</v>
      </c>
      <c r="D298" s="19" t="s">
        <v>72</v>
      </c>
      <c r="E298" s="19" t="s">
        <v>604</v>
      </c>
      <c r="F298" s="19" t="str">
        <f t="shared" si="1"/>
        <v>S_Y45</v>
      </c>
      <c r="G298" s="19">
        <v>60.746000000000002</v>
      </c>
      <c r="H298" s="19">
        <f>IFERROR(INDEX('Tagging key'!D:D, MATCH(F298,'Tagging key'!C:C,0)),"")</f>
        <v>74</v>
      </c>
      <c r="I298" s="19">
        <f>IFERROR(INDEX('Tagging key'!E:E, MATCH(F298,'Tagging key'!C:C,0)),"")</f>
        <v>79</v>
      </c>
      <c r="J298" s="19">
        <f>IFERROR(INDEX('Tagging key'!F:F, MATCH(F298,'Tagging key'!C:C,0)),"")</f>
        <v>20</v>
      </c>
      <c r="K298" s="19"/>
      <c r="L298" s="19"/>
      <c r="M298" s="19"/>
      <c r="N298" s="19"/>
      <c r="O298" s="19"/>
      <c r="P298" s="27"/>
      <c r="Q298" s="27"/>
      <c r="R298" s="19"/>
      <c r="S298" t="s">
        <v>605</v>
      </c>
    </row>
    <row r="299" spans="1:21" x14ac:dyDescent="0.25">
      <c r="A299" s="13">
        <v>9</v>
      </c>
      <c r="B299" s="13">
        <v>3</v>
      </c>
      <c r="C299" s="13" t="s">
        <v>105</v>
      </c>
      <c r="D299" s="13" t="s">
        <v>72</v>
      </c>
      <c r="E299" s="13" t="s">
        <v>459</v>
      </c>
      <c r="F299" s="13" t="str">
        <f t="shared" si="1"/>
        <v>S_B13</v>
      </c>
      <c r="G299" s="3"/>
      <c r="H299" s="3" t="str">
        <f>IFERROR(INDEX('Tagging key'!D:D, MATCH(F299,'Tagging key'!C:C,0)),"")</f>
        <v/>
      </c>
      <c r="I299" s="3" t="str">
        <f>IFERROR(INDEX('Tagging key'!E:E, MATCH(F299,'Tagging key'!C:C,0)),"")</f>
        <v/>
      </c>
      <c r="J299" s="3" t="str">
        <f>IFERROR(INDEX('Tagging key'!F:F, MATCH(F299,'Tagging key'!C:C,0)),"")</f>
        <v/>
      </c>
      <c r="K299" s="3">
        <v>44.987000000000002</v>
      </c>
      <c r="L299" s="3">
        <v>70.8</v>
      </c>
      <c r="M299" s="3">
        <v>72.709999999999994</v>
      </c>
      <c r="N299" s="3">
        <v>19.2</v>
      </c>
      <c r="O299" s="3"/>
      <c r="P299" s="22">
        <v>45882</v>
      </c>
      <c r="Q299" s="22">
        <v>45882</v>
      </c>
      <c r="R299" s="3">
        <v>22.928000000000001</v>
      </c>
      <c r="S299" t="s">
        <v>606</v>
      </c>
    </row>
    <row r="300" spans="1:21" x14ac:dyDescent="0.25">
      <c r="A300" s="13">
        <v>9</v>
      </c>
      <c r="B300" s="13">
        <v>3</v>
      </c>
      <c r="C300" s="13" t="s">
        <v>105</v>
      </c>
      <c r="D300" s="13" t="s">
        <v>72</v>
      </c>
      <c r="E300" s="13" t="s">
        <v>174</v>
      </c>
      <c r="F300" s="13" t="str">
        <f t="shared" si="1"/>
        <v>S_B16</v>
      </c>
      <c r="G300" s="3"/>
      <c r="I300" s="3" t="str">
        <f>IFERROR(INDEX('Tagging key'!E:E, MATCH(F300,'Tagging key'!C:C,0)),"")</f>
        <v/>
      </c>
      <c r="J300" s="3" t="str">
        <f>IFERROR(INDEX('Tagging key'!F:F, MATCH(F300,'Tagging key'!C:C,0)),"")</f>
        <v/>
      </c>
      <c r="K300" s="3">
        <v>46.036999999999999</v>
      </c>
      <c r="L300" s="3">
        <v>72.94</v>
      </c>
      <c r="M300" s="3">
        <v>74.099999999999994</v>
      </c>
      <c r="N300" s="3">
        <v>19.920000000000002</v>
      </c>
      <c r="O300" s="3"/>
      <c r="P300" s="22">
        <v>45877</v>
      </c>
      <c r="Q300" s="22">
        <v>45877</v>
      </c>
      <c r="R300" s="3"/>
      <c r="S300" t="s">
        <v>607</v>
      </c>
    </row>
    <row r="301" spans="1:21" x14ac:dyDescent="0.25">
      <c r="A301" s="13">
        <v>9</v>
      </c>
      <c r="B301" s="13">
        <v>3</v>
      </c>
      <c r="C301" s="13" t="s">
        <v>105</v>
      </c>
      <c r="D301" s="13" t="s">
        <v>72</v>
      </c>
      <c r="E301" s="13" t="s">
        <v>608</v>
      </c>
      <c r="F301" s="13" t="str">
        <f t="shared" si="1"/>
        <v>S_B14</v>
      </c>
      <c r="G301" s="3"/>
      <c r="H301" s="3" t="str">
        <f>IFERROR(INDEX('Tagging key'!D:D, MATCH(F301,'Tagging key'!C:C,0)),"")</f>
        <v/>
      </c>
      <c r="I301" s="3" t="str">
        <f>IFERROR(INDEX('Tagging key'!E:E, MATCH(F301,'Tagging key'!C:C,0)),"")</f>
        <v/>
      </c>
      <c r="J301" s="3" t="str">
        <f>IFERROR(INDEX('Tagging key'!F:F, MATCH(F301,'Tagging key'!C:C,0)),"")</f>
        <v/>
      </c>
      <c r="K301" s="3">
        <v>45.654000000000003</v>
      </c>
      <c r="L301" s="3">
        <v>71.62</v>
      </c>
      <c r="M301" s="3">
        <v>72.099999999999994</v>
      </c>
      <c r="N301" s="3">
        <v>19.75</v>
      </c>
      <c r="O301" s="3"/>
      <c r="P301" s="22">
        <v>45879</v>
      </c>
      <c r="Q301" s="22">
        <v>45879</v>
      </c>
      <c r="R301" s="3"/>
      <c r="S301" t="s">
        <v>609</v>
      </c>
    </row>
    <row r="302" spans="1:21" x14ac:dyDescent="0.25">
      <c r="A302" s="8">
        <v>9</v>
      </c>
      <c r="B302" s="8">
        <v>4</v>
      </c>
      <c r="C302" s="8" t="s">
        <v>105</v>
      </c>
      <c r="D302" s="8" t="s">
        <v>16</v>
      </c>
      <c r="E302" s="8" t="s">
        <v>610</v>
      </c>
      <c r="F302" s="8" t="s">
        <v>611</v>
      </c>
      <c r="G302" s="3">
        <v>37.390999999999998</v>
      </c>
      <c r="H302" s="3">
        <f>IFERROR(INDEX('Tagging key'!D:D, MATCH(F302,'Tagging key'!C:C,0)),"")</f>
        <v>71.72</v>
      </c>
      <c r="I302" s="3">
        <f>IFERROR(INDEX('Tagging key'!E:E, MATCH(F302,'Tagging key'!C:C,0)),"")</f>
        <v>47.83</v>
      </c>
      <c r="J302" s="3">
        <f>IFERROR(INDEX('Tagging key'!F:F, MATCH(F302,'Tagging key'!C:C,0)),"")</f>
        <v>19.809999999999999</v>
      </c>
      <c r="K302" s="3">
        <v>37.003</v>
      </c>
      <c r="L302" s="3">
        <v>71.75</v>
      </c>
      <c r="M302" s="3">
        <v>48.61</v>
      </c>
      <c r="N302" s="3">
        <v>21.11</v>
      </c>
      <c r="O302" s="3"/>
      <c r="P302" s="22">
        <v>45882</v>
      </c>
      <c r="Q302" s="22">
        <v>45882</v>
      </c>
      <c r="R302" s="3">
        <v>23.305</v>
      </c>
    </row>
    <row r="303" spans="1:21" x14ac:dyDescent="0.25">
      <c r="A303" s="8">
        <v>9</v>
      </c>
      <c r="B303" s="8">
        <v>4</v>
      </c>
      <c r="C303" s="8" t="s">
        <v>105</v>
      </c>
      <c r="D303" s="8" t="s">
        <v>16</v>
      </c>
      <c r="E303" s="8" t="s">
        <v>612</v>
      </c>
      <c r="F303" s="8" t="s">
        <v>613</v>
      </c>
      <c r="G303" s="3">
        <v>41.468000000000004</v>
      </c>
      <c r="H303" s="3">
        <f>IFERROR(INDEX('Tagging key'!D:D, MATCH(F303,'Tagging key'!C:C,0)),"")</f>
        <v>80.84</v>
      </c>
      <c r="I303" s="3">
        <f>IFERROR(INDEX('Tagging key'!E:E, MATCH(F303,'Tagging key'!C:C,0)),"")</f>
        <v>55.76</v>
      </c>
      <c r="J303" s="3">
        <f>IFERROR(INDEX('Tagging key'!F:F, MATCH(F303,'Tagging key'!C:C,0)),"")</f>
        <v>19.059999999999999</v>
      </c>
      <c r="K303" s="3">
        <v>41.372999999999998</v>
      </c>
      <c r="L303" s="3">
        <v>83.28</v>
      </c>
      <c r="M303" s="3">
        <v>48.64</v>
      </c>
      <c r="N303" s="3">
        <v>19.649999999999999</v>
      </c>
      <c r="O303" s="3"/>
      <c r="P303" s="22">
        <v>45879</v>
      </c>
      <c r="Q303" s="22">
        <v>45879</v>
      </c>
      <c r="R303" s="3"/>
    </row>
    <row r="304" spans="1:21" x14ac:dyDescent="0.25">
      <c r="A304" s="8">
        <v>9</v>
      </c>
      <c r="B304" s="8">
        <v>4</v>
      </c>
      <c r="C304" s="8" t="s">
        <v>105</v>
      </c>
      <c r="D304" s="8" t="s">
        <v>16</v>
      </c>
      <c r="E304" s="8" t="s">
        <v>584</v>
      </c>
      <c r="F304" s="8" t="s">
        <v>614</v>
      </c>
      <c r="G304" s="3">
        <v>37.481000000000002</v>
      </c>
      <c r="H304" s="3">
        <f>IFERROR(INDEX('Tagging key'!D:D, MATCH(F304,'Tagging key'!C:C,0)),"")</f>
        <v>72.739999999999995</v>
      </c>
      <c r="I304" s="3">
        <f>IFERROR(INDEX('Tagging key'!E:E, MATCH(F304,'Tagging key'!C:C,0)),"")</f>
        <v>49.28</v>
      </c>
      <c r="J304" s="3">
        <f>IFERROR(INDEX('Tagging key'!F:F, MATCH(F304,'Tagging key'!C:C,0)),"")</f>
        <v>18.03</v>
      </c>
      <c r="K304" s="3">
        <v>36.959000000000003</v>
      </c>
      <c r="L304" s="3">
        <v>73.23</v>
      </c>
      <c r="M304" s="3">
        <v>48.34</v>
      </c>
      <c r="N304" s="3">
        <v>18.7</v>
      </c>
      <c r="O304" s="3"/>
      <c r="P304" s="22">
        <v>45877</v>
      </c>
      <c r="Q304" s="22">
        <v>45877</v>
      </c>
      <c r="R304" s="3"/>
    </row>
    <row r="305" spans="1:18" x14ac:dyDescent="0.25">
      <c r="A305" s="8">
        <v>9</v>
      </c>
      <c r="B305" s="8">
        <v>4</v>
      </c>
      <c r="C305" s="8" t="s">
        <v>105</v>
      </c>
      <c r="D305" s="8" t="s">
        <v>16</v>
      </c>
      <c r="E305" s="8" t="s">
        <v>380</v>
      </c>
      <c r="F305" s="8" t="s">
        <v>615</v>
      </c>
      <c r="G305" s="3">
        <v>27.699000000000002</v>
      </c>
      <c r="H305" s="3">
        <f>IFERROR(INDEX('Tagging key'!D:D, MATCH(F305,'Tagging key'!C:C,0)),"")</f>
        <v>55.69</v>
      </c>
      <c r="I305" s="3">
        <f>IFERROR(INDEX('Tagging key'!E:E, MATCH(F305,'Tagging key'!C:C,0)),"")</f>
        <v>57.71</v>
      </c>
      <c r="J305" s="3">
        <f>IFERROR(INDEX('Tagging key'!F:F, MATCH(F305,'Tagging key'!C:C,0)),"")</f>
        <v>16.57</v>
      </c>
      <c r="K305" s="3">
        <v>27.478000000000002</v>
      </c>
      <c r="L305" s="3">
        <v>63.81</v>
      </c>
      <c r="M305" s="3">
        <v>43.75</v>
      </c>
      <c r="N305" s="3">
        <v>18.02</v>
      </c>
      <c r="O305" s="3"/>
      <c r="P305" s="22">
        <v>45886</v>
      </c>
      <c r="Q305" s="22">
        <v>45886</v>
      </c>
      <c r="R305" s="3"/>
    </row>
    <row r="306" spans="1:18" x14ac:dyDescent="0.25">
      <c r="A306" s="9">
        <v>9</v>
      </c>
      <c r="B306" s="9">
        <v>5</v>
      </c>
      <c r="C306" s="9" t="s">
        <v>105</v>
      </c>
      <c r="D306" s="9" t="s">
        <v>16</v>
      </c>
      <c r="E306" s="9" t="s">
        <v>616</v>
      </c>
      <c r="F306" s="9" t="s">
        <v>617</v>
      </c>
      <c r="G306" s="3">
        <v>46.917999999999999</v>
      </c>
      <c r="H306" s="3">
        <f>IFERROR(INDEX('Tagging key'!D:D, MATCH(F306,'Tagging key'!C:C,0)),"")</f>
        <v>66.34</v>
      </c>
      <c r="I306" s="3">
        <f>IFERROR(INDEX('Tagging key'!E:E, MATCH(F306,'Tagging key'!C:C,0)),"")</f>
        <v>55.4</v>
      </c>
      <c r="J306" s="3">
        <f>IFERROR(INDEX('Tagging key'!F:F, MATCH(F306,'Tagging key'!C:C,0)),"")</f>
        <v>19.25</v>
      </c>
      <c r="K306" s="3">
        <v>46.265999999999998</v>
      </c>
      <c r="L306" s="3">
        <v>70.23</v>
      </c>
      <c r="M306" s="3">
        <v>51.52</v>
      </c>
      <c r="N306" s="3">
        <v>26.48</v>
      </c>
      <c r="O306" s="3"/>
      <c r="P306" s="22">
        <v>45886</v>
      </c>
      <c r="Q306" s="22">
        <v>45886</v>
      </c>
      <c r="R306" s="3">
        <v>30.013000000000002</v>
      </c>
    </row>
    <row r="307" spans="1:18" x14ac:dyDescent="0.25">
      <c r="A307" s="9">
        <v>9</v>
      </c>
      <c r="B307" s="9">
        <v>5</v>
      </c>
      <c r="C307" s="9" t="s">
        <v>105</v>
      </c>
      <c r="D307" s="9" t="s">
        <v>16</v>
      </c>
      <c r="E307" s="9" t="s">
        <v>618</v>
      </c>
      <c r="F307" s="9" t="s">
        <v>619</v>
      </c>
      <c r="G307" s="3">
        <v>27.571999999999999</v>
      </c>
      <c r="H307" s="3">
        <f>IFERROR(INDEX('Tagging key'!D:D, MATCH(F307,'Tagging key'!C:C,0)),"")</f>
        <v>57.3</v>
      </c>
      <c r="I307" s="3">
        <f>IFERROR(INDEX('Tagging key'!E:E, MATCH(F307,'Tagging key'!C:C,0)),"")</f>
        <v>43.72</v>
      </c>
      <c r="J307" s="3">
        <f>IFERROR(INDEX('Tagging key'!F:F, MATCH(F307,'Tagging key'!C:C,0)),"")</f>
        <v>16.12</v>
      </c>
      <c r="K307" s="3">
        <v>27.196000000000002</v>
      </c>
      <c r="L307" s="3">
        <v>57.81</v>
      </c>
      <c r="M307" s="3">
        <v>43.95</v>
      </c>
      <c r="N307" s="3">
        <v>17.32</v>
      </c>
      <c r="O307" s="3"/>
      <c r="P307" s="22">
        <v>45877</v>
      </c>
      <c r="Q307" s="22">
        <v>45877</v>
      </c>
      <c r="R307" s="3"/>
    </row>
    <row r="308" spans="1:18" x14ac:dyDescent="0.25">
      <c r="A308" s="9">
        <v>9</v>
      </c>
      <c r="B308" s="9">
        <v>5</v>
      </c>
      <c r="C308" s="9" t="s">
        <v>105</v>
      </c>
      <c r="D308" s="9" t="s">
        <v>16</v>
      </c>
      <c r="E308" s="9" t="s">
        <v>620</v>
      </c>
      <c r="F308" s="9" t="s">
        <v>621</v>
      </c>
      <c r="G308" s="3">
        <v>26.664999999999999</v>
      </c>
      <c r="H308" s="3">
        <f>IFERROR(INDEX('Tagging key'!D:D, MATCH(F308,'Tagging key'!C:C,0)),"")</f>
        <v>56.83</v>
      </c>
      <c r="I308" s="3">
        <f>IFERROR(INDEX('Tagging key'!E:E, MATCH(F308,'Tagging key'!C:C,0)),"")</f>
        <v>48.25</v>
      </c>
      <c r="J308" s="3">
        <f>IFERROR(INDEX('Tagging key'!F:F, MATCH(F308,'Tagging key'!C:C,0)),"")</f>
        <v>17.47</v>
      </c>
      <c r="K308" s="3">
        <v>26.288</v>
      </c>
      <c r="L308" s="3">
        <v>59.12</v>
      </c>
      <c r="M308" s="3">
        <v>45.14</v>
      </c>
      <c r="N308" s="3">
        <v>23.64</v>
      </c>
      <c r="O308" s="3"/>
      <c r="P308" s="22">
        <v>45879</v>
      </c>
      <c r="Q308" s="22">
        <v>45879</v>
      </c>
      <c r="R308" s="3"/>
    </row>
    <row r="309" spans="1:18" x14ac:dyDescent="0.25">
      <c r="A309" s="9">
        <v>9</v>
      </c>
      <c r="B309" s="9">
        <v>5</v>
      </c>
      <c r="C309" s="9" t="s">
        <v>105</v>
      </c>
      <c r="D309" s="9" t="s">
        <v>16</v>
      </c>
      <c r="E309" s="9" t="s">
        <v>622</v>
      </c>
      <c r="F309" s="9" t="s">
        <v>623</v>
      </c>
      <c r="G309" s="3">
        <v>37.146999999999998</v>
      </c>
      <c r="H309" s="3">
        <f>IFERROR(INDEX('Tagging key'!D:D, MATCH(F309,'Tagging key'!C:C,0)),"")</f>
        <v>67.5</v>
      </c>
      <c r="I309" s="3">
        <f>IFERROR(INDEX('Tagging key'!E:E, MATCH(F309,'Tagging key'!C:C,0)),"")</f>
        <v>54.58</v>
      </c>
      <c r="J309" s="3">
        <f>IFERROR(INDEX('Tagging key'!F:F, MATCH(F309,'Tagging key'!C:C,0)),"")</f>
        <v>20.440000000000001</v>
      </c>
      <c r="K309" s="3">
        <v>36.651000000000003</v>
      </c>
      <c r="L309" s="3">
        <v>68.11</v>
      </c>
      <c r="M309" s="3">
        <v>54.62</v>
      </c>
      <c r="N309" s="3">
        <v>19.170000000000002</v>
      </c>
      <c r="O309" s="3"/>
      <c r="P309" s="22">
        <v>45882</v>
      </c>
      <c r="Q309" s="22">
        <v>45882</v>
      </c>
      <c r="R309" s="3">
        <v>23.574999999999999</v>
      </c>
    </row>
    <row r="310" spans="1:18" x14ac:dyDescent="0.25">
      <c r="A310" s="8">
        <v>9</v>
      </c>
      <c r="B310" s="8">
        <v>6</v>
      </c>
      <c r="C310" s="8" t="s">
        <v>105</v>
      </c>
      <c r="D310" s="8" t="s">
        <v>16</v>
      </c>
      <c r="E310" s="8" t="s">
        <v>624</v>
      </c>
      <c r="F310" s="8" t="s">
        <v>625</v>
      </c>
      <c r="G310" s="3">
        <v>25.731999999999999</v>
      </c>
      <c r="H310" s="3">
        <f>IFERROR(INDEX('Tagging key'!D:D, MATCH(F310,'Tagging key'!C:C,0)),"")</f>
        <v>70.430000000000007</v>
      </c>
      <c r="I310" s="3">
        <f>IFERROR(INDEX('Tagging key'!E:E, MATCH(F310,'Tagging key'!C:C,0)),"")</f>
        <v>45.56</v>
      </c>
      <c r="J310" s="3">
        <f>IFERROR(INDEX('Tagging key'!F:F, MATCH(F310,'Tagging key'!C:C,0)),"")</f>
        <v>13.72</v>
      </c>
      <c r="K310" s="3">
        <v>25.516999999999999</v>
      </c>
      <c r="L310" s="3">
        <v>70.28</v>
      </c>
      <c r="M310" s="3">
        <v>44.77</v>
      </c>
      <c r="N310" s="3">
        <v>15.25</v>
      </c>
      <c r="O310" s="3"/>
      <c r="P310" s="22">
        <v>45882</v>
      </c>
      <c r="Q310" s="22">
        <v>45882</v>
      </c>
      <c r="R310" s="3">
        <v>16.474</v>
      </c>
    </row>
    <row r="311" spans="1:18" x14ac:dyDescent="0.25">
      <c r="A311" s="8">
        <v>9</v>
      </c>
      <c r="B311" s="8">
        <v>6</v>
      </c>
      <c r="C311" s="8" t="s">
        <v>105</v>
      </c>
      <c r="D311" s="8" t="s">
        <v>16</v>
      </c>
      <c r="E311" s="8" t="s">
        <v>626</v>
      </c>
      <c r="F311" s="8" t="s">
        <v>627</v>
      </c>
      <c r="G311" s="3">
        <v>22.327000000000002</v>
      </c>
      <c r="H311" s="3">
        <f>IFERROR(INDEX('Tagging key'!D:D, MATCH(F311,'Tagging key'!C:C,0)),"")</f>
        <v>59.54</v>
      </c>
      <c r="I311" s="3">
        <f>IFERROR(INDEX('Tagging key'!E:E, MATCH(F311,'Tagging key'!C:C,0)),"")</f>
        <v>42.86</v>
      </c>
      <c r="J311" s="3">
        <f>IFERROR(INDEX('Tagging key'!F:F, MATCH(F311,'Tagging key'!C:C,0)),"")</f>
        <v>15.87</v>
      </c>
      <c r="K311" s="3">
        <v>22.114999999999998</v>
      </c>
      <c r="L311" s="3">
        <v>60.52</v>
      </c>
      <c r="M311" s="3">
        <v>40.14</v>
      </c>
      <c r="N311" s="3">
        <v>16.46</v>
      </c>
      <c r="O311" s="3"/>
      <c r="P311" s="22">
        <v>45886</v>
      </c>
      <c r="Q311" s="22">
        <v>45886</v>
      </c>
      <c r="R311" s="3"/>
    </row>
    <row r="312" spans="1:18" x14ac:dyDescent="0.25">
      <c r="A312" s="8">
        <v>9</v>
      </c>
      <c r="B312" s="8">
        <v>6</v>
      </c>
      <c r="C312" s="8" t="s">
        <v>105</v>
      </c>
      <c r="D312" s="8" t="s">
        <v>16</v>
      </c>
      <c r="E312" s="8" t="s">
        <v>628</v>
      </c>
      <c r="F312" s="8" t="s">
        <v>629</v>
      </c>
      <c r="G312" s="3">
        <v>39.051000000000002</v>
      </c>
      <c r="H312" s="3">
        <f>IFERROR(INDEX('Tagging key'!D:D, MATCH(F312,'Tagging key'!C:C,0)),"")</f>
        <v>67.09</v>
      </c>
      <c r="I312" s="3">
        <f>IFERROR(INDEX('Tagging key'!E:E, MATCH(F312,'Tagging key'!C:C,0)),"")</f>
        <v>46.43</v>
      </c>
      <c r="J312" s="3">
        <f>IFERROR(INDEX('Tagging key'!F:F, MATCH(F312,'Tagging key'!C:C,0)),"")</f>
        <v>17.45</v>
      </c>
      <c r="K312" s="3">
        <v>38.904000000000003</v>
      </c>
      <c r="L312" s="3">
        <v>67.98</v>
      </c>
      <c r="M312" s="3">
        <v>45.37</v>
      </c>
      <c r="N312" s="3">
        <v>19.100000000000001</v>
      </c>
      <c r="O312" s="3"/>
      <c r="P312" s="22">
        <v>45879</v>
      </c>
      <c r="Q312" s="22">
        <v>45879</v>
      </c>
      <c r="R312" s="3"/>
    </row>
    <row r="313" spans="1:18" x14ac:dyDescent="0.25">
      <c r="A313" s="8">
        <v>9</v>
      </c>
      <c r="B313" s="8">
        <v>6</v>
      </c>
      <c r="C313" s="8" t="s">
        <v>105</v>
      </c>
      <c r="D313" s="8" t="s">
        <v>16</v>
      </c>
      <c r="E313" s="8" t="s">
        <v>429</v>
      </c>
      <c r="F313" s="8" t="s">
        <v>630</v>
      </c>
      <c r="G313" s="3">
        <v>26.646000000000001</v>
      </c>
      <c r="H313" s="3">
        <f>IFERROR(INDEX('Tagging key'!D:D, MATCH(F313,'Tagging key'!C:C,0)),"")</f>
        <v>67.97</v>
      </c>
      <c r="I313" s="3">
        <f>IFERROR(INDEX('Tagging key'!E:E, MATCH(F313,'Tagging key'!C:C,0)),"")</f>
        <v>44.12</v>
      </c>
      <c r="J313" s="3">
        <f>IFERROR(INDEX('Tagging key'!F:F, MATCH(F313,'Tagging key'!C:C,0)),"")</f>
        <v>19.170000000000002</v>
      </c>
      <c r="K313" s="3">
        <v>26.207000000000001</v>
      </c>
      <c r="L313" s="3">
        <v>67.849999999999994</v>
      </c>
      <c r="M313" s="3">
        <v>43.4</v>
      </c>
      <c r="N313" s="3">
        <v>18.86</v>
      </c>
      <c r="O313" s="3"/>
      <c r="P313" s="22">
        <v>45877</v>
      </c>
      <c r="Q313" s="22">
        <v>45877</v>
      </c>
      <c r="R313" s="3"/>
    </row>
    <row r="314" spans="1:18" x14ac:dyDescent="0.25">
      <c r="A314" s="11">
        <v>9</v>
      </c>
      <c r="B314" s="11">
        <v>7</v>
      </c>
      <c r="C314" s="11" t="s">
        <v>105</v>
      </c>
      <c r="D314" s="11" t="s">
        <v>46</v>
      </c>
      <c r="E314" s="11" t="s">
        <v>536</v>
      </c>
      <c r="F314" s="11" t="s">
        <v>631</v>
      </c>
      <c r="G314" s="3">
        <v>28.905000000000001</v>
      </c>
      <c r="H314" s="3">
        <f>IFERROR(INDEX('Tagging key'!D:D, MATCH(F314,'Tagging key'!C:C,0)),"")</f>
        <v>66</v>
      </c>
      <c r="I314" s="3">
        <f>IFERROR(INDEX('Tagging key'!E:E, MATCH(F314,'Tagging key'!C:C,0)),"")</f>
        <v>33</v>
      </c>
      <c r="J314" s="3">
        <f>IFERROR(INDEX('Tagging key'!F:F, MATCH(F314,'Tagging key'!C:C,0)),"")</f>
        <v>24</v>
      </c>
      <c r="K314" s="3">
        <v>29.36</v>
      </c>
      <c r="L314" s="3">
        <v>67.790000000000006</v>
      </c>
      <c r="M314" s="3">
        <v>33.31</v>
      </c>
      <c r="N314" s="3">
        <v>24.9</v>
      </c>
      <c r="O314" s="3"/>
      <c r="P314" s="22">
        <v>45879</v>
      </c>
      <c r="Q314" s="22">
        <v>45879</v>
      </c>
      <c r="R314" s="3"/>
    </row>
    <row r="315" spans="1:18" x14ac:dyDescent="0.25">
      <c r="A315" s="11">
        <v>9</v>
      </c>
      <c r="B315" s="11">
        <v>7</v>
      </c>
      <c r="C315" s="11" t="s">
        <v>105</v>
      </c>
      <c r="D315" s="11" t="s">
        <v>46</v>
      </c>
      <c r="E315" s="11" t="s">
        <v>632</v>
      </c>
      <c r="F315" s="11" t="s">
        <v>633</v>
      </c>
      <c r="G315" s="24">
        <v>63.938000000000002</v>
      </c>
      <c r="H315" s="3">
        <f>IFERROR(INDEX('Tagging key'!D:D, MATCH(F315,'Tagging key'!C:C,0)),"")</f>
        <v>84</v>
      </c>
      <c r="I315" s="3">
        <f>IFERROR(INDEX('Tagging key'!E:E, MATCH(F315,'Tagging key'!C:C,0)),"")</f>
        <v>41</v>
      </c>
      <c r="J315" s="3">
        <f>IFERROR(INDEX('Tagging key'!F:F, MATCH(F315,'Tagging key'!C:C,0)),"")</f>
        <v>33</v>
      </c>
      <c r="K315" s="3">
        <v>64.911000000000001</v>
      </c>
      <c r="L315" s="3">
        <v>87.36</v>
      </c>
      <c r="M315" s="3">
        <v>41.8</v>
      </c>
      <c r="N315" s="3">
        <v>34.549999999999997</v>
      </c>
      <c r="O315" s="3"/>
      <c r="P315" s="22">
        <v>45882</v>
      </c>
      <c r="Q315" s="22">
        <v>45882</v>
      </c>
      <c r="R315" s="3">
        <v>20.001000000000001</v>
      </c>
    </row>
    <row r="316" spans="1:18" x14ac:dyDescent="0.25">
      <c r="A316" s="11">
        <v>9</v>
      </c>
      <c r="B316" s="11">
        <v>7</v>
      </c>
      <c r="C316" s="11" t="s">
        <v>105</v>
      </c>
      <c r="D316" s="11" t="s">
        <v>46</v>
      </c>
      <c r="E316" s="11" t="s">
        <v>520</v>
      </c>
      <c r="F316" s="11" t="s">
        <v>634</v>
      </c>
      <c r="G316" s="3">
        <v>53.905000000000001</v>
      </c>
      <c r="H316" s="3">
        <f>IFERROR(INDEX('Tagging key'!D:D, MATCH(F316,'Tagging key'!C:C,0)),"")</f>
        <v>80.3</v>
      </c>
      <c r="I316" s="3">
        <f>IFERROR(INDEX('Tagging key'!E:E, MATCH(F316,'Tagging key'!C:C,0)),"")</f>
        <v>45.61</v>
      </c>
      <c r="J316" s="3">
        <f>IFERROR(INDEX('Tagging key'!F:F, MATCH(F316,'Tagging key'!C:C,0)),"")</f>
        <v>30.32</v>
      </c>
      <c r="K316" s="3">
        <v>54.475999999999999</v>
      </c>
      <c r="L316" s="3">
        <v>80.56</v>
      </c>
      <c r="M316" s="3">
        <v>41.16</v>
      </c>
      <c r="N316" s="3">
        <v>29.91</v>
      </c>
      <c r="O316" s="3"/>
      <c r="P316" s="22">
        <v>45886</v>
      </c>
      <c r="Q316" s="22">
        <v>45886</v>
      </c>
      <c r="R316" s="3"/>
    </row>
    <row r="317" spans="1:18" x14ac:dyDescent="0.25">
      <c r="A317" s="11">
        <v>9</v>
      </c>
      <c r="B317" s="11">
        <v>7</v>
      </c>
      <c r="C317" s="11" t="s">
        <v>105</v>
      </c>
      <c r="D317" s="11" t="s">
        <v>46</v>
      </c>
      <c r="E317" s="11" t="s">
        <v>312</v>
      </c>
      <c r="F317" s="11" t="s">
        <v>635</v>
      </c>
      <c r="G317" s="3">
        <v>36.896000000000001</v>
      </c>
      <c r="H317" s="3">
        <f>IFERROR(INDEX('Tagging key'!D:D, MATCH(F317,'Tagging key'!C:C,0)),"")</f>
        <v>71</v>
      </c>
      <c r="I317" s="3">
        <f>IFERROR(INDEX('Tagging key'!E:E, MATCH(F317,'Tagging key'!C:C,0)),"")</f>
        <v>38</v>
      </c>
      <c r="J317" s="3">
        <f>IFERROR(INDEX('Tagging key'!F:F, MATCH(F317,'Tagging key'!C:C,0)),"")</f>
        <v>27</v>
      </c>
      <c r="K317" s="3">
        <v>37.670999999999999</v>
      </c>
      <c r="L317" s="3">
        <v>71.13</v>
      </c>
      <c r="M317" s="3">
        <v>39.33</v>
      </c>
      <c r="N317" s="3">
        <v>28.22</v>
      </c>
      <c r="O317" s="3"/>
      <c r="P317" s="22">
        <v>45877</v>
      </c>
      <c r="Q317" s="22">
        <v>45877</v>
      </c>
      <c r="R317" s="3"/>
    </row>
    <row r="318" spans="1:18" x14ac:dyDescent="0.25">
      <c r="A318" s="12">
        <v>9</v>
      </c>
      <c r="B318" s="12">
        <v>8</v>
      </c>
      <c r="C318" s="12" t="s">
        <v>105</v>
      </c>
      <c r="D318" s="12" t="s">
        <v>46</v>
      </c>
      <c r="E318" s="12" t="s">
        <v>636</v>
      </c>
      <c r="F318" s="12" t="s">
        <v>637</v>
      </c>
      <c r="G318" s="3">
        <v>54.722000000000001</v>
      </c>
      <c r="H318" s="3">
        <f>IFERROR(INDEX('Tagging key'!D:D, MATCH(F318,'Tagging key'!C:C,0)),"")</f>
        <v>83.03</v>
      </c>
      <c r="I318" s="3">
        <f>IFERROR(INDEX('Tagging key'!E:E, MATCH(F318,'Tagging key'!C:C,0)),"")</f>
        <v>45.64</v>
      </c>
      <c r="J318" s="3">
        <f>IFERROR(INDEX('Tagging key'!F:F, MATCH(F318,'Tagging key'!C:C,0)),"")</f>
        <v>30.02</v>
      </c>
      <c r="K318" s="3">
        <v>54.62</v>
      </c>
      <c r="L318" s="3">
        <v>82.99</v>
      </c>
      <c r="M318" s="3">
        <v>41.57</v>
      </c>
      <c r="N318" s="3">
        <v>30.1</v>
      </c>
      <c r="O318" s="3"/>
      <c r="P318" s="22">
        <v>45877</v>
      </c>
      <c r="Q318" s="22">
        <v>45877</v>
      </c>
      <c r="R318" s="3"/>
    </row>
    <row r="319" spans="1:18" x14ac:dyDescent="0.25">
      <c r="A319" s="12">
        <v>9</v>
      </c>
      <c r="B319" s="12">
        <v>8</v>
      </c>
      <c r="C319" s="12" t="s">
        <v>105</v>
      </c>
      <c r="D319" s="12" t="s">
        <v>46</v>
      </c>
      <c r="E319" s="12" t="s">
        <v>638</v>
      </c>
      <c r="F319" s="12" t="s">
        <v>639</v>
      </c>
      <c r="G319" s="3">
        <v>49.627000000000002</v>
      </c>
      <c r="H319" s="3">
        <f>IFERROR(INDEX('Tagging key'!D:D, MATCH(F319,'Tagging key'!C:C,0)),"")</f>
        <v>79.599999999999994</v>
      </c>
      <c r="I319" s="3">
        <f>IFERROR(INDEX('Tagging key'!E:E, MATCH(F319,'Tagging key'!C:C,0)),"")</f>
        <v>45.04</v>
      </c>
      <c r="J319" s="3">
        <f>IFERROR(INDEX('Tagging key'!F:F, MATCH(F319,'Tagging key'!C:C,0)),"")</f>
        <v>29.52</v>
      </c>
      <c r="K319" s="3">
        <v>50.085000000000001</v>
      </c>
      <c r="L319" s="3">
        <v>79.180000000000007</v>
      </c>
      <c r="M319" s="3">
        <v>40.42</v>
      </c>
      <c r="N319" s="3">
        <v>29.57</v>
      </c>
      <c r="O319" s="3"/>
      <c r="P319" s="22">
        <v>45882</v>
      </c>
      <c r="Q319" s="22">
        <v>45882</v>
      </c>
      <c r="R319" s="3">
        <v>18.029</v>
      </c>
    </row>
    <row r="320" spans="1:18" x14ac:dyDescent="0.25">
      <c r="A320" s="12">
        <v>9</v>
      </c>
      <c r="B320" s="12">
        <v>8</v>
      </c>
      <c r="C320" s="12" t="s">
        <v>105</v>
      </c>
      <c r="D320" s="12" t="s">
        <v>46</v>
      </c>
      <c r="E320" s="12" t="s">
        <v>640</v>
      </c>
      <c r="F320" s="12" t="s">
        <v>641</v>
      </c>
      <c r="G320" s="3">
        <v>71.852000000000004</v>
      </c>
      <c r="H320" s="3">
        <f>IFERROR(INDEX('Tagging key'!D:D, MATCH(F320,'Tagging key'!C:C,0)),"")</f>
        <v>92.44</v>
      </c>
      <c r="I320" s="3">
        <f>IFERROR(INDEX('Tagging key'!E:E, MATCH(F320,'Tagging key'!C:C,0)),"")</f>
        <v>45.97</v>
      </c>
      <c r="J320" s="3">
        <f>IFERROR(INDEX('Tagging key'!F:F, MATCH(F320,'Tagging key'!C:C,0)),"")</f>
        <v>33.61</v>
      </c>
      <c r="K320" s="3">
        <v>72.185000000000002</v>
      </c>
      <c r="L320" s="3">
        <v>91.87</v>
      </c>
      <c r="M320" s="3">
        <v>44.21</v>
      </c>
      <c r="N320" s="3">
        <v>33.799999999999997</v>
      </c>
      <c r="O320" s="3"/>
      <c r="P320" s="22">
        <v>45886</v>
      </c>
      <c r="Q320" s="22">
        <v>45886</v>
      </c>
      <c r="R320" s="3"/>
    </row>
    <row r="321" spans="1:19" x14ac:dyDescent="0.25">
      <c r="A321" s="12">
        <v>9</v>
      </c>
      <c r="B321" s="12">
        <v>8</v>
      </c>
      <c r="C321" s="12" t="s">
        <v>105</v>
      </c>
      <c r="D321" s="12" t="s">
        <v>46</v>
      </c>
      <c r="E321" s="12" t="s">
        <v>366</v>
      </c>
      <c r="F321" s="12" t="s">
        <v>642</v>
      </c>
      <c r="G321" s="3">
        <v>31.241</v>
      </c>
      <c r="H321" s="3">
        <f>IFERROR(INDEX('Tagging key'!D:D, MATCH(F321,'Tagging key'!C:C,0)),"")</f>
        <v>68.459999999999994</v>
      </c>
      <c r="I321" s="3">
        <f>IFERROR(INDEX('Tagging key'!E:E, MATCH(F321,'Tagging key'!C:C,0)),"")</f>
        <v>38.31</v>
      </c>
      <c r="J321" s="3">
        <f>IFERROR(INDEX('Tagging key'!F:F, MATCH(F321,'Tagging key'!C:C,0)),"")</f>
        <v>24.27</v>
      </c>
      <c r="K321">
        <v>31.463000000000001</v>
      </c>
      <c r="L321" s="3">
        <v>68.58</v>
      </c>
      <c r="M321" s="3">
        <v>35.33</v>
      </c>
      <c r="N321" s="3">
        <v>24.53</v>
      </c>
      <c r="O321" s="3"/>
      <c r="P321" s="22">
        <v>45879</v>
      </c>
      <c r="Q321" s="22">
        <v>45879</v>
      </c>
      <c r="R321" s="3"/>
    </row>
    <row r="322" spans="1:19" x14ac:dyDescent="0.25">
      <c r="A322" s="11">
        <v>9</v>
      </c>
      <c r="B322" s="11">
        <v>9</v>
      </c>
      <c r="C322" s="11" t="s">
        <v>105</v>
      </c>
      <c r="D322" s="11" t="s">
        <v>46</v>
      </c>
      <c r="E322" s="11" t="s">
        <v>643</v>
      </c>
      <c r="F322" s="11" t="s">
        <v>644</v>
      </c>
      <c r="G322" s="3">
        <v>50.975000000000001</v>
      </c>
      <c r="H322" s="3">
        <f>IFERROR(INDEX('Tagging key'!D:D, MATCH(F322,'Tagging key'!C:C,0)),"")</f>
        <v>81</v>
      </c>
      <c r="I322" s="3">
        <f>IFERROR(INDEX('Tagging key'!E:E, MATCH(F322,'Tagging key'!C:C,0)),"")</f>
        <v>37</v>
      </c>
      <c r="J322" s="3">
        <f>IFERROR(INDEX('Tagging key'!F:F, MATCH(F322,'Tagging key'!C:C,0)),"")</f>
        <v>30</v>
      </c>
      <c r="K322" s="3">
        <v>51.323999999999998</v>
      </c>
      <c r="L322" s="3">
        <v>83.78</v>
      </c>
      <c r="M322" s="3">
        <v>37.83</v>
      </c>
      <c r="N322" s="3">
        <v>29.68</v>
      </c>
      <c r="O322" s="3"/>
      <c r="P322" s="22">
        <v>45879</v>
      </c>
      <c r="Q322" s="22">
        <v>45879</v>
      </c>
      <c r="R322" s="3"/>
    </row>
    <row r="323" spans="1:19" x14ac:dyDescent="0.25">
      <c r="A323" s="11">
        <v>9</v>
      </c>
      <c r="B323" s="11">
        <v>9</v>
      </c>
      <c r="C323" s="11" t="s">
        <v>105</v>
      </c>
      <c r="D323" s="11" t="s">
        <v>46</v>
      </c>
      <c r="E323" s="11" t="s">
        <v>462</v>
      </c>
      <c r="F323" s="11" t="s">
        <v>645</v>
      </c>
      <c r="G323" s="3">
        <v>48.731999999999999</v>
      </c>
      <c r="H323" s="3">
        <f>IFERROR(INDEX('Tagging key'!D:D, MATCH(F323,'Tagging key'!C:C,0)),"")</f>
        <v>81</v>
      </c>
      <c r="I323" s="3">
        <f>IFERROR(INDEX('Tagging key'!E:E, MATCH(F323,'Tagging key'!C:C,0)),"")</f>
        <v>40</v>
      </c>
      <c r="J323" s="3">
        <f>IFERROR(INDEX('Tagging key'!F:F, MATCH(F323,'Tagging key'!C:C,0)),"")</f>
        <v>28</v>
      </c>
      <c r="K323" s="3">
        <v>49.274999999999999</v>
      </c>
      <c r="L323" s="3">
        <v>82.43</v>
      </c>
      <c r="M323" s="3">
        <v>39.14</v>
      </c>
      <c r="N323" s="3">
        <v>28.4</v>
      </c>
      <c r="O323" s="3"/>
      <c r="P323" s="22">
        <v>45882</v>
      </c>
      <c r="Q323" s="22">
        <v>45882</v>
      </c>
      <c r="R323" s="3">
        <v>17.568999999999999</v>
      </c>
    </row>
    <row r="324" spans="1:19" x14ac:dyDescent="0.25">
      <c r="A324" s="11">
        <v>9</v>
      </c>
      <c r="B324" s="11">
        <v>9</v>
      </c>
      <c r="C324" s="11" t="s">
        <v>105</v>
      </c>
      <c r="D324" s="11" t="s">
        <v>46</v>
      </c>
      <c r="E324" s="11" t="s">
        <v>646</v>
      </c>
      <c r="F324" s="11" t="s">
        <v>647</v>
      </c>
      <c r="G324" s="3">
        <v>67.664000000000001</v>
      </c>
      <c r="H324" s="3">
        <f>IFERROR(INDEX('Tagging key'!D:D, MATCH(F324,'Tagging key'!C:C,0)),"")</f>
        <v>87</v>
      </c>
      <c r="I324" s="3">
        <f>IFERROR(INDEX('Tagging key'!E:E, MATCH(F324,'Tagging key'!C:C,0)),"")</f>
        <v>43</v>
      </c>
      <c r="J324" s="3">
        <f>IFERROR(INDEX('Tagging key'!F:F, MATCH(F324,'Tagging key'!C:C,0)),"")</f>
        <v>32</v>
      </c>
      <c r="K324" s="3">
        <v>68.558000000000007</v>
      </c>
      <c r="L324" s="3">
        <v>88.99</v>
      </c>
      <c r="M324" s="3">
        <v>43.27</v>
      </c>
      <c r="N324" s="3">
        <v>33.01</v>
      </c>
      <c r="O324" s="3"/>
      <c r="P324" s="22">
        <v>45886</v>
      </c>
      <c r="Q324" s="22">
        <v>45886</v>
      </c>
      <c r="R324" s="3">
        <v>22.954999999999998</v>
      </c>
    </row>
    <row r="325" spans="1:19" x14ac:dyDescent="0.25">
      <c r="A325" s="11">
        <v>9</v>
      </c>
      <c r="B325" s="11">
        <v>9</v>
      </c>
      <c r="C325" s="11" t="s">
        <v>105</v>
      </c>
      <c r="D325" s="11" t="s">
        <v>46</v>
      </c>
      <c r="E325" s="11" t="s">
        <v>505</v>
      </c>
      <c r="F325" s="11" t="s">
        <v>648</v>
      </c>
      <c r="G325" s="3">
        <v>32.402999999999999</v>
      </c>
      <c r="H325" s="3">
        <f>IFERROR(INDEX('Tagging key'!D:D, MATCH(F325,'Tagging key'!C:C,0)),"")</f>
        <v>69</v>
      </c>
      <c r="I325" s="3">
        <f>IFERROR(INDEX('Tagging key'!E:E, MATCH(F325,'Tagging key'!C:C,0)),"")</f>
        <v>35</v>
      </c>
      <c r="J325" s="3">
        <f>IFERROR(INDEX('Tagging key'!F:F, MATCH(F325,'Tagging key'!C:C,0)),"")</f>
        <v>26</v>
      </c>
      <c r="K325" s="3">
        <v>32.688000000000002</v>
      </c>
      <c r="L325" s="3">
        <v>69.989999999999995</v>
      </c>
      <c r="M325" s="3">
        <v>36.31</v>
      </c>
      <c r="N325" s="3">
        <v>27.5</v>
      </c>
      <c r="O325" s="3"/>
      <c r="P325" s="22">
        <v>45877</v>
      </c>
      <c r="Q325" s="22">
        <v>45877</v>
      </c>
      <c r="R325" s="3"/>
    </row>
    <row r="326" spans="1:19" x14ac:dyDescent="0.25">
      <c r="A326" s="12">
        <v>10</v>
      </c>
      <c r="B326" s="12">
        <v>1</v>
      </c>
      <c r="C326" s="12" t="s">
        <v>15</v>
      </c>
      <c r="D326" s="12" t="s">
        <v>46</v>
      </c>
      <c r="E326" s="12" t="s">
        <v>649</v>
      </c>
      <c r="F326" s="12" t="s">
        <v>650</v>
      </c>
      <c r="G326" s="3">
        <v>21.736999999999998</v>
      </c>
      <c r="H326" s="3">
        <f>IFERROR(INDEX('Tagging key'!D:D, MATCH(F326,'Tagging key'!C:C,0)),"")</f>
        <v>61.69</v>
      </c>
      <c r="I326" s="3">
        <f>IFERROR(INDEX('Tagging key'!E:E, MATCH(F326,'Tagging key'!C:C,0)),"")</f>
        <v>36.15</v>
      </c>
      <c r="J326" s="3">
        <f>IFERROR(INDEX('Tagging key'!F:F, MATCH(F326,'Tagging key'!C:C,0)),"")</f>
        <v>20.97</v>
      </c>
      <c r="K326" s="3">
        <v>22.765999999999998</v>
      </c>
      <c r="L326" s="3">
        <v>62.07</v>
      </c>
      <c r="M326" s="3">
        <v>34.74</v>
      </c>
      <c r="N326" s="3">
        <v>21.79</v>
      </c>
      <c r="O326" s="3"/>
      <c r="P326" s="22">
        <v>45886</v>
      </c>
      <c r="Q326" s="22">
        <v>45886</v>
      </c>
      <c r="R326" s="3"/>
    </row>
    <row r="327" spans="1:19" x14ac:dyDescent="0.25">
      <c r="A327" s="12">
        <v>10</v>
      </c>
      <c r="B327" s="12">
        <v>1</v>
      </c>
      <c r="C327" s="12" t="s">
        <v>15</v>
      </c>
      <c r="D327" s="12" t="s">
        <v>46</v>
      </c>
      <c r="E327" s="12" t="s">
        <v>94</v>
      </c>
      <c r="F327" s="12" t="s">
        <v>651</v>
      </c>
      <c r="G327" s="3">
        <v>29.454000000000001</v>
      </c>
      <c r="H327" s="3">
        <f>IFERROR(INDEX('Tagging key'!D:D, MATCH(F327,'Tagging key'!C:C,0)),"")</f>
        <v>68</v>
      </c>
      <c r="I327" s="3">
        <f>IFERROR(INDEX('Tagging key'!E:E, MATCH(F327,'Tagging key'!C:C,0)),"")</f>
        <v>32</v>
      </c>
      <c r="J327" s="3">
        <f>IFERROR(INDEX('Tagging key'!F:F, MATCH(F327,'Tagging key'!C:C,0)),"")</f>
        <v>23</v>
      </c>
      <c r="K327" s="3">
        <v>29.710999999999999</v>
      </c>
      <c r="L327" s="3">
        <v>68.73</v>
      </c>
      <c r="M327" s="3">
        <v>33.28</v>
      </c>
      <c r="N327" s="3">
        <v>23.71</v>
      </c>
      <c r="O327" s="3"/>
      <c r="P327" s="22">
        <v>45882</v>
      </c>
      <c r="Q327" s="22">
        <v>45882</v>
      </c>
      <c r="R327" s="3">
        <v>10.135999999999999</v>
      </c>
    </row>
    <row r="328" spans="1:19" x14ac:dyDescent="0.25">
      <c r="A328" s="12">
        <v>10</v>
      </c>
      <c r="B328" s="12">
        <v>1</v>
      </c>
      <c r="C328" s="12" t="s">
        <v>15</v>
      </c>
      <c r="D328" s="12" t="s">
        <v>46</v>
      </c>
      <c r="E328" s="12" t="s">
        <v>652</v>
      </c>
      <c r="F328" s="12" t="s">
        <v>653</v>
      </c>
      <c r="G328" s="3">
        <v>28.306000000000001</v>
      </c>
      <c r="H328" s="3">
        <f>IFERROR(INDEX('Tagging key'!D:D, MATCH(F328,'Tagging key'!C:C,0)),"")</f>
        <v>66.88</v>
      </c>
      <c r="I328" s="3">
        <f>IFERROR(INDEX('Tagging key'!E:E, MATCH(F328,'Tagging key'!C:C,0)),"")</f>
        <v>39.020000000000003</v>
      </c>
      <c r="J328" s="3">
        <f>IFERROR(INDEX('Tagging key'!F:F, MATCH(F328,'Tagging key'!C:C,0)),"")</f>
        <v>23.81</v>
      </c>
      <c r="K328" s="3">
        <v>29.657</v>
      </c>
      <c r="L328" s="3">
        <v>68.650000000000006</v>
      </c>
      <c r="M328" s="3">
        <v>37.72</v>
      </c>
      <c r="N328" s="3">
        <v>24.88</v>
      </c>
      <c r="O328" s="3"/>
      <c r="P328" s="22">
        <v>45879</v>
      </c>
      <c r="Q328" s="22">
        <v>45879</v>
      </c>
      <c r="R328" s="3"/>
    </row>
    <row r="329" spans="1:19" x14ac:dyDescent="0.25">
      <c r="A329" s="12">
        <v>10</v>
      </c>
      <c r="B329" s="12">
        <v>1</v>
      </c>
      <c r="C329" s="12" t="s">
        <v>15</v>
      </c>
      <c r="D329" s="12" t="s">
        <v>46</v>
      </c>
      <c r="E329" s="12" t="s">
        <v>654</v>
      </c>
      <c r="F329" s="12" t="s">
        <v>655</v>
      </c>
      <c r="G329" s="3">
        <v>72.212000000000003</v>
      </c>
      <c r="H329" s="3">
        <f>IFERROR(INDEX('Tagging key'!D:D, MATCH(F329,'Tagging key'!C:C,0)),"")</f>
        <v>89</v>
      </c>
      <c r="I329" s="3">
        <f>IFERROR(INDEX('Tagging key'!E:E, MATCH(F329,'Tagging key'!C:C,0)),"")</f>
        <v>43</v>
      </c>
      <c r="J329" s="3">
        <f>IFERROR(INDEX('Tagging key'!F:F, MATCH(F329,'Tagging key'!C:C,0)),"")</f>
        <v>34</v>
      </c>
      <c r="K329" s="3">
        <v>72.843999999999994</v>
      </c>
      <c r="L329" s="3">
        <v>90.74</v>
      </c>
      <c r="M329" s="3">
        <v>43.55</v>
      </c>
      <c r="N329" s="3">
        <v>34.44</v>
      </c>
      <c r="O329" s="3"/>
      <c r="P329" s="22">
        <v>45877</v>
      </c>
      <c r="Q329" s="22">
        <v>45877</v>
      </c>
      <c r="R329" s="3"/>
      <c r="S329" t="s">
        <v>656</v>
      </c>
    </row>
    <row r="330" spans="1:19" x14ac:dyDescent="0.25">
      <c r="A330" s="11">
        <v>10</v>
      </c>
      <c r="B330" s="11">
        <v>2</v>
      </c>
      <c r="C330" s="11" t="s">
        <v>15</v>
      </c>
      <c r="D330" s="11" t="s">
        <v>46</v>
      </c>
      <c r="E330" s="11" t="s">
        <v>657</v>
      </c>
      <c r="F330" s="11" t="s">
        <v>658</v>
      </c>
      <c r="G330" s="3">
        <v>33.252000000000002</v>
      </c>
      <c r="H330" s="3">
        <f>IFERROR(INDEX('Tagging key'!D:D, MATCH(F330,'Tagging key'!C:C,0)),"")</f>
        <v>72.73</v>
      </c>
      <c r="I330" s="3">
        <f>IFERROR(INDEX('Tagging key'!E:E, MATCH(F330,'Tagging key'!C:C,0)),"")</f>
        <v>39.020000000000003</v>
      </c>
      <c r="J330" s="3">
        <f>IFERROR(INDEX('Tagging key'!F:F, MATCH(F330,'Tagging key'!C:C,0)),"")</f>
        <v>25.51</v>
      </c>
      <c r="K330" s="3">
        <v>34.082000000000001</v>
      </c>
      <c r="L330" s="3">
        <v>73.63</v>
      </c>
      <c r="M330" s="3">
        <v>34.729999999999997</v>
      </c>
      <c r="N330" s="3">
        <v>26.35</v>
      </c>
      <c r="O330" s="3"/>
      <c r="P330" s="22">
        <v>45877</v>
      </c>
      <c r="Q330" s="22">
        <v>45877</v>
      </c>
      <c r="R330" s="3"/>
    </row>
    <row r="331" spans="1:19" x14ac:dyDescent="0.25">
      <c r="A331" s="11">
        <v>10</v>
      </c>
      <c r="B331" s="11">
        <v>2</v>
      </c>
      <c r="C331" s="11" t="s">
        <v>15</v>
      </c>
      <c r="D331" s="11" t="s">
        <v>46</v>
      </c>
      <c r="E331" s="11" t="s">
        <v>27</v>
      </c>
      <c r="F331" s="11" t="s">
        <v>659</v>
      </c>
      <c r="G331" s="3">
        <v>25.937000000000001</v>
      </c>
      <c r="H331" s="3">
        <f>IFERROR(INDEX('Tagging key'!D:D, MATCH(F331,'Tagging key'!C:C,0)),"")</f>
        <v>66.87</v>
      </c>
      <c r="I331" s="3">
        <f>IFERROR(INDEX('Tagging key'!E:E, MATCH(F331,'Tagging key'!C:C,0)),"")</f>
        <v>35.46</v>
      </c>
      <c r="J331" s="3">
        <f>IFERROR(INDEX('Tagging key'!F:F, MATCH(F331,'Tagging key'!C:C,0)),"")</f>
        <v>24.22</v>
      </c>
      <c r="K331" s="3">
        <v>26.423999999999999</v>
      </c>
      <c r="L331" s="3">
        <v>66.959999999999994</v>
      </c>
      <c r="M331" s="3">
        <v>32.69</v>
      </c>
      <c r="N331" s="3">
        <v>23.57</v>
      </c>
      <c r="O331" s="3"/>
      <c r="P331" s="22">
        <v>45882</v>
      </c>
      <c r="Q331" s="22">
        <v>45882</v>
      </c>
      <c r="R331" s="3">
        <v>24.268000000000001</v>
      </c>
    </row>
    <row r="332" spans="1:19" x14ac:dyDescent="0.25">
      <c r="A332" s="11">
        <v>10</v>
      </c>
      <c r="B332" s="11">
        <v>2</v>
      </c>
      <c r="C332" s="11" t="s">
        <v>15</v>
      </c>
      <c r="D332" s="11" t="s">
        <v>46</v>
      </c>
      <c r="E332" s="11" t="s">
        <v>660</v>
      </c>
      <c r="F332" s="11" t="s">
        <v>661</v>
      </c>
      <c r="G332" s="3">
        <v>45.357999999999997</v>
      </c>
      <c r="H332" s="3">
        <f>IFERROR(INDEX('Tagging key'!D:D, MATCH(F332,'Tagging key'!C:C,0)),"")</f>
        <v>80.33</v>
      </c>
      <c r="I332" s="3">
        <f>IFERROR(INDEX('Tagging key'!E:E, MATCH(F332,'Tagging key'!C:C,0)),"")</f>
        <v>38</v>
      </c>
      <c r="J332" s="3">
        <f>IFERROR(INDEX('Tagging key'!F:F, MATCH(F332,'Tagging key'!C:C,0)),"")</f>
        <v>28.94</v>
      </c>
      <c r="K332" s="3">
        <v>46.389000000000003</v>
      </c>
      <c r="L332" s="3">
        <v>80.260000000000005</v>
      </c>
      <c r="M332" s="3">
        <v>37.18</v>
      </c>
      <c r="N332" s="3">
        <v>28.79</v>
      </c>
      <c r="O332" s="3"/>
      <c r="P332" s="22">
        <v>45886</v>
      </c>
      <c r="Q332" s="22">
        <v>45886</v>
      </c>
      <c r="R332" s="3">
        <v>14.327</v>
      </c>
    </row>
    <row r="333" spans="1:19" x14ac:dyDescent="0.25">
      <c r="A333" s="11">
        <v>10</v>
      </c>
      <c r="B333" s="11">
        <v>2</v>
      </c>
      <c r="C333" s="11" t="s">
        <v>15</v>
      </c>
      <c r="D333" s="11" t="s">
        <v>46</v>
      </c>
      <c r="E333" s="11" t="s">
        <v>662</v>
      </c>
      <c r="F333" s="11" t="s">
        <v>663</v>
      </c>
      <c r="G333" s="3">
        <v>32.265000000000001</v>
      </c>
      <c r="H333" s="3">
        <f>IFERROR(INDEX('Tagging key'!D:D, MATCH(F333,'Tagging key'!C:C,0)),"")</f>
        <v>68.91</v>
      </c>
      <c r="I333" s="3">
        <f>IFERROR(INDEX('Tagging key'!E:E, MATCH(F333,'Tagging key'!C:C,0)),"")</f>
        <v>35.36</v>
      </c>
      <c r="J333" s="3">
        <f>IFERROR(INDEX('Tagging key'!F:F, MATCH(F333,'Tagging key'!C:C,0)),"")</f>
        <v>24.96</v>
      </c>
      <c r="K333" s="3">
        <v>33.334000000000003</v>
      </c>
      <c r="L333" s="3">
        <v>69.790000000000006</v>
      </c>
      <c r="M333" s="3">
        <v>34.93</v>
      </c>
      <c r="N333" s="3">
        <v>26.4</v>
      </c>
      <c r="O333" s="3"/>
      <c r="P333" s="22">
        <v>45879</v>
      </c>
      <c r="Q333" s="22">
        <v>45879</v>
      </c>
      <c r="R333" s="3"/>
    </row>
    <row r="334" spans="1:19" x14ac:dyDescent="0.25">
      <c r="A334" s="12">
        <v>10</v>
      </c>
      <c r="B334" s="12">
        <v>3</v>
      </c>
      <c r="C334" s="12" t="s">
        <v>15</v>
      </c>
      <c r="D334" s="12" t="s">
        <v>46</v>
      </c>
      <c r="E334" s="12" t="s">
        <v>664</v>
      </c>
      <c r="F334" s="12" t="s">
        <v>665</v>
      </c>
      <c r="G334" s="3">
        <v>28.975999999999999</v>
      </c>
      <c r="H334" s="3">
        <f>IFERROR(INDEX('Tagging key'!D:D, MATCH(F334,'Tagging key'!C:C,0)),"")</f>
        <v>65</v>
      </c>
      <c r="I334" s="3">
        <f>IFERROR(INDEX('Tagging key'!E:E, MATCH(F334,'Tagging key'!C:C,0)),"")</f>
        <v>34</v>
      </c>
      <c r="J334" s="3">
        <f>IFERROR(INDEX('Tagging key'!F:F, MATCH(F334,'Tagging key'!C:C,0)),"")</f>
        <v>23</v>
      </c>
      <c r="K334" s="3">
        <v>27.308</v>
      </c>
      <c r="L334" s="3">
        <v>65.95</v>
      </c>
      <c r="M334" s="3">
        <v>35.020000000000003</v>
      </c>
      <c r="N334" s="3">
        <v>23.54</v>
      </c>
      <c r="O334" s="3"/>
      <c r="P334" s="22">
        <v>45886</v>
      </c>
      <c r="Q334" s="22">
        <v>45886</v>
      </c>
      <c r="R334" s="3"/>
    </row>
    <row r="335" spans="1:19" x14ac:dyDescent="0.25">
      <c r="A335" s="12">
        <v>10</v>
      </c>
      <c r="B335" s="12">
        <v>3</v>
      </c>
      <c r="C335" s="12" t="s">
        <v>15</v>
      </c>
      <c r="D335" s="12" t="s">
        <v>46</v>
      </c>
      <c r="E335" s="12" t="s">
        <v>349</v>
      </c>
      <c r="F335" s="12" t="s">
        <v>666</v>
      </c>
      <c r="G335" s="3">
        <v>62.018999999999998</v>
      </c>
      <c r="H335" s="3">
        <f>IFERROR(INDEX('Tagging key'!D:D, MATCH(F335,'Tagging key'!C:C,0)),"")</f>
        <v>86</v>
      </c>
      <c r="I335" s="3">
        <f>IFERROR(INDEX('Tagging key'!E:E, MATCH(F335,'Tagging key'!C:C,0)),"")</f>
        <v>38</v>
      </c>
      <c r="J335" s="3">
        <f>IFERROR(INDEX('Tagging key'!F:F, MATCH(F335,'Tagging key'!C:C,0)),"")</f>
        <v>29</v>
      </c>
      <c r="K335" s="3">
        <v>62.628999999999998</v>
      </c>
      <c r="L335" s="3">
        <v>85.26</v>
      </c>
      <c r="M335" s="3">
        <v>38.72</v>
      </c>
      <c r="N335" s="3">
        <v>32.409999999999997</v>
      </c>
      <c r="O335" s="3"/>
      <c r="P335" s="22">
        <v>45882</v>
      </c>
      <c r="Q335" s="22">
        <v>45882</v>
      </c>
      <c r="R335" s="3">
        <v>24.187000000000001</v>
      </c>
    </row>
    <row r="336" spans="1:19" x14ac:dyDescent="0.25">
      <c r="A336" s="12">
        <v>10</v>
      </c>
      <c r="B336" s="12">
        <v>3</v>
      </c>
      <c r="C336" s="12" t="s">
        <v>15</v>
      </c>
      <c r="D336" s="12" t="s">
        <v>46</v>
      </c>
      <c r="E336" s="12" t="s">
        <v>493</v>
      </c>
      <c r="F336" s="12" t="s">
        <v>667</v>
      </c>
      <c r="G336" s="3">
        <v>31.385000000000002</v>
      </c>
      <c r="H336" s="3">
        <f>IFERROR(INDEX('Tagging key'!D:D, MATCH(F336,'Tagging key'!C:C,0)),"")</f>
        <v>69</v>
      </c>
      <c r="I336" s="3">
        <f>IFERROR(INDEX('Tagging key'!E:E, MATCH(F336,'Tagging key'!C:C,0)),"")</f>
        <v>36</v>
      </c>
      <c r="J336" s="3">
        <f>IFERROR(INDEX('Tagging key'!F:F, MATCH(F336,'Tagging key'!C:C,0)),"")</f>
        <v>24</v>
      </c>
      <c r="K336" s="3">
        <v>31.83</v>
      </c>
      <c r="L336" s="3">
        <v>70.33</v>
      </c>
      <c r="M336" s="3">
        <v>36.71</v>
      </c>
      <c r="N336" s="3">
        <v>25.2</v>
      </c>
      <c r="O336" s="3"/>
      <c r="P336" s="22">
        <v>45877</v>
      </c>
      <c r="Q336" s="22">
        <v>45877</v>
      </c>
      <c r="R336" s="3"/>
    </row>
    <row r="337" spans="1:19" x14ac:dyDescent="0.25">
      <c r="A337" s="12">
        <v>10</v>
      </c>
      <c r="B337" s="12">
        <v>3</v>
      </c>
      <c r="C337" s="12" t="s">
        <v>15</v>
      </c>
      <c r="D337" s="12" t="s">
        <v>46</v>
      </c>
      <c r="E337" s="12" t="s">
        <v>116</v>
      </c>
      <c r="F337" s="12" t="s">
        <v>668</v>
      </c>
      <c r="G337" s="3">
        <v>25.385999999999999</v>
      </c>
      <c r="H337" s="3">
        <f>IFERROR(INDEX('Tagging key'!D:D, MATCH(F337,'Tagging key'!C:C,0)),"")</f>
        <v>63.59</v>
      </c>
      <c r="I337" s="3">
        <f>IFERROR(INDEX('Tagging key'!E:E, MATCH(F337,'Tagging key'!C:C,0)),"")</f>
        <v>35.83</v>
      </c>
      <c r="J337" s="3">
        <f>IFERROR(INDEX('Tagging key'!F:F, MATCH(F337,'Tagging key'!C:C,0)),"")</f>
        <v>23.73</v>
      </c>
      <c r="K337" s="3">
        <v>25.78</v>
      </c>
      <c r="L337" s="3">
        <v>64.09</v>
      </c>
      <c r="M337" s="3">
        <v>35.03</v>
      </c>
      <c r="N337" s="3">
        <v>24.23</v>
      </c>
      <c r="O337" s="3"/>
      <c r="P337" s="22">
        <v>45879</v>
      </c>
      <c r="Q337" s="22">
        <v>45879</v>
      </c>
      <c r="R337" s="3"/>
    </row>
    <row r="338" spans="1:19" x14ac:dyDescent="0.25">
      <c r="A338" s="8">
        <v>10</v>
      </c>
      <c r="B338" s="8">
        <v>4</v>
      </c>
      <c r="C338" s="8" t="s">
        <v>15</v>
      </c>
      <c r="D338" s="8" t="s">
        <v>16</v>
      </c>
      <c r="E338" s="8" t="s">
        <v>188</v>
      </c>
      <c r="F338" s="8" t="s">
        <v>669</v>
      </c>
      <c r="G338" s="3">
        <v>30.524000000000001</v>
      </c>
      <c r="H338" s="3">
        <f>IFERROR(INDEX('Tagging key'!D:D, MATCH(F338,'Tagging key'!C:C,0)),"")</f>
        <v>75.58</v>
      </c>
      <c r="I338" s="3">
        <f>IFERROR(INDEX('Tagging key'!E:E, MATCH(F338,'Tagging key'!C:C,0)),"")</f>
        <v>48.31</v>
      </c>
      <c r="J338" s="3">
        <f>IFERROR(INDEX('Tagging key'!F:F, MATCH(F338,'Tagging key'!C:C,0)),"")</f>
        <v>19.899999999999999</v>
      </c>
      <c r="K338" s="3">
        <v>30.440999999999999</v>
      </c>
      <c r="L338" s="3">
        <v>76.430000000000007</v>
      </c>
      <c r="M338" s="3">
        <v>45.33</v>
      </c>
      <c r="N338" s="3">
        <v>17.91</v>
      </c>
      <c r="O338" s="3"/>
      <c r="P338" s="22">
        <v>45882</v>
      </c>
      <c r="Q338" s="22">
        <v>45882</v>
      </c>
      <c r="R338" s="3">
        <v>16.503</v>
      </c>
    </row>
    <row r="339" spans="1:19" x14ac:dyDescent="0.25">
      <c r="A339" s="8">
        <v>10</v>
      </c>
      <c r="B339" s="8">
        <v>4</v>
      </c>
      <c r="C339" s="8" t="s">
        <v>15</v>
      </c>
      <c r="D339" s="8" t="s">
        <v>16</v>
      </c>
      <c r="E339" s="8" t="s">
        <v>670</v>
      </c>
      <c r="F339" s="8" t="s">
        <v>671</v>
      </c>
      <c r="G339" s="3">
        <v>24.064</v>
      </c>
      <c r="H339" s="3">
        <f>IFERROR(INDEX('Tagging key'!D:D, MATCH(F339,'Tagging key'!C:C,0)),"")</f>
        <v>56.77</v>
      </c>
      <c r="I339" s="3">
        <f>IFERROR(INDEX('Tagging key'!E:E, MATCH(F339,'Tagging key'!C:C,0)),"")</f>
        <v>47.77</v>
      </c>
      <c r="J339" s="3">
        <f>IFERROR(INDEX('Tagging key'!F:F, MATCH(F339,'Tagging key'!C:C,0)),"")</f>
        <v>15.5</v>
      </c>
      <c r="K339" s="3">
        <v>23.931999999999999</v>
      </c>
      <c r="L339" s="3">
        <v>57.03</v>
      </c>
      <c r="M339" s="3">
        <v>43.06</v>
      </c>
      <c r="N339" s="3">
        <v>15.77</v>
      </c>
      <c r="O339" s="3"/>
      <c r="P339" s="22">
        <v>45886</v>
      </c>
      <c r="Q339" s="22">
        <v>45886</v>
      </c>
      <c r="R339" s="3">
        <v>15.752000000000001</v>
      </c>
    </row>
    <row r="340" spans="1:19" x14ac:dyDescent="0.25">
      <c r="A340" s="8">
        <v>10</v>
      </c>
      <c r="B340" s="8">
        <v>4</v>
      </c>
      <c r="C340" s="8" t="s">
        <v>15</v>
      </c>
      <c r="D340" s="8" t="s">
        <v>16</v>
      </c>
      <c r="E340" s="8" t="s">
        <v>672</v>
      </c>
      <c r="F340" s="8" t="s">
        <v>673</v>
      </c>
      <c r="G340" s="3">
        <v>17.408000000000001</v>
      </c>
      <c r="H340" s="3">
        <f>IFERROR(INDEX('Tagging key'!D:D, MATCH(F340,'Tagging key'!C:C,0)),"")</f>
        <v>73.319999999999993</v>
      </c>
      <c r="I340" s="3">
        <f>IFERROR(INDEX('Tagging key'!E:E, MATCH(F340,'Tagging key'!C:C,0)),"")</f>
        <v>35.659999999999997</v>
      </c>
      <c r="J340" s="3">
        <f>IFERROR(INDEX('Tagging key'!F:F, MATCH(F340,'Tagging key'!C:C,0)),"")</f>
        <v>11.67</v>
      </c>
      <c r="K340" s="3">
        <v>17.350000000000001</v>
      </c>
      <c r="L340" s="3">
        <v>73.510000000000005</v>
      </c>
      <c r="M340" s="3">
        <v>36.43</v>
      </c>
      <c r="N340" s="3">
        <v>13.96</v>
      </c>
      <c r="O340" s="3"/>
      <c r="P340" s="22">
        <v>45879</v>
      </c>
      <c r="Q340" s="22">
        <v>45879</v>
      </c>
      <c r="R340" s="3"/>
    </row>
    <row r="341" spans="1:19" x14ac:dyDescent="0.25">
      <c r="A341" s="8">
        <v>10</v>
      </c>
      <c r="B341" s="8">
        <v>4</v>
      </c>
      <c r="C341" s="8" t="s">
        <v>15</v>
      </c>
      <c r="D341" s="8" t="s">
        <v>16</v>
      </c>
      <c r="E341" s="8" t="s">
        <v>674</v>
      </c>
      <c r="F341" s="8" t="s">
        <v>675</v>
      </c>
      <c r="G341" s="3">
        <v>30.55</v>
      </c>
      <c r="H341" s="3">
        <f>IFERROR(INDEX('Tagging key'!D:D, MATCH(F341,'Tagging key'!C:C,0)),"")</f>
        <v>64.989999999999995</v>
      </c>
      <c r="I341" s="3">
        <f>IFERROR(INDEX('Tagging key'!E:E, MATCH(F341,'Tagging key'!C:C,0)),"")</f>
        <v>47.26</v>
      </c>
      <c r="J341" s="3">
        <f>IFERROR(INDEX('Tagging key'!F:F, MATCH(F341,'Tagging key'!C:C,0)),"")</f>
        <v>17.97</v>
      </c>
      <c r="K341" s="3">
        <v>30.273</v>
      </c>
      <c r="L341" s="3">
        <v>64.92</v>
      </c>
      <c r="M341" s="3">
        <v>48.85</v>
      </c>
      <c r="N341" s="3">
        <v>19.21</v>
      </c>
      <c r="O341" s="3"/>
      <c r="P341" s="22">
        <v>45877</v>
      </c>
      <c r="Q341" s="22">
        <v>45877</v>
      </c>
      <c r="R341" s="3"/>
    </row>
    <row r="342" spans="1:19" x14ac:dyDescent="0.25">
      <c r="A342" s="9">
        <v>10</v>
      </c>
      <c r="B342" s="9">
        <v>5</v>
      </c>
      <c r="C342" s="9" t="s">
        <v>15</v>
      </c>
      <c r="D342" s="9" t="s">
        <v>16</v>
      </c>
      <c r="E342" s="9" t="s">
        <v>636</v>
      </c>
      <c r="F342" s="9" t="s">
        <v>676</v>
      </c>
      <c r="G342" s="3">
        <v>30.559000000000001</v>
      </c>
      <c r="H342" s="3">
        <f>IFERROR(INDEX('Tagging key'!D:D, MATCH(F342,'Tagging key'!C:C,0)),"")</f>
        <v>68.34</v>
      </c>
      <c r="I342" s="3">
        <f>IFERROR(INDEX('Tagging key'!E:E, MATCH(F342,'Tagging key'!C:C,0)),"")</f>
        <v>44.08</v>
      </c>
      <c r="J342" s="3">
        <f>IFERROR(INDEX('Tagging key'!F:F, MATCH(F342,'Tagging key'!C:C,0)),"")</f>
        <v>17.2</v>
      </c>
      <c r="K342" s="3">
        <v>30.190999999999999</v>
      </c>
      <c r="L342" s="3">
        <v>68.84</v>
      </c>
      <c r="M342" s="3">
        <v>44.4</v>
      </c>
      <c r="N342" s="3">
        <v>18.25</v>
      </c>
      <c r="O342" s="3"/>
      <c r="P342" s="22">
        <v>45879</v>
      </c>
      <c r="Q342" s="22">
        <v>45879</v>
      </c>
      <c r="R342" s="3"/>
    </row>
    <row r="343" spans="1:19" x14ac:dyDescent="0.25">
      <c r="A343" s="9">
        <v>10</v>
      </c>
      <c r="B343" s="9">
        <v>5</v>
      </c>
      <c r="C343" s="9" t="s">
        <v>15</v>
      </c>
      <c r="D343" s="9" t="s">
        <v>16</v>
      </c>
      <c r="E343" s="9" t="s">
        <v>677</v>
      </c>
      <c r="F343" s="9" t="s">
        <v>678</v>
      </c>
      <c r="G343" s="3">
        <v>43.137</v>
      </c>
      <c r="H343" s="3">
        <f>IFERROR(INDEX('Tagging key'!D:D, MATCH(F343,'Tagging key'!C:C,0)),"")</f>
        <v>73.81</v>
      </c>
      <c r="I343" s="3">
        <f>IFERROR(INDEX('Tagging key'!E:E, MATCH(F343,'Tagging key'!C:C,0)),"")</f>
        <v>48.78</v>
      </c>
      <c r="J343" s="3">
        <f>IFERROR(INDEX('Tagging key'!F:F, MATCH(F343,'Tagging key'!C:C,0)),"")</f>
        <v>18.920000000000002</v>
      </c>
      <c r="K343" s="3">
        <v>42.677999999999997</v>
      </c>
      <c r="L343" s="3">
        <v>73.73</v>
      </c>
      <c r="M343" s="3">
        <v>47.5</v>
      </c>
      <c r="N343" s="3">
        <v>21.59</v>
      </c>
      <c r="O343" s="3"/>
      <c r="P343" s="22">
        <v>45882</v>
      </c>
      <c r="Q343" s="22">
        <v>45882</v>
      </c>
      <c r="R343" s="3">
        <v>26.245000000000001</v>
      </c>
    </row>
    <row r="344" spans="1:19" x14ac:dyDescent="0.25">
      <c r="A344" s="9">
        <v>10</v>
      </c>
      <c r="B344" s="9">
        <v>5</v>
      </c>
      <c r="C344" s="9" t="s">
        <v>15</v>
      </c>
      <c r="D344" s="9" t="s">
        <v>16</v>
      </c>
      <c r="E344" s="9" t="s">
        <v>679</v>
      </c>
      <c r="F344" s="9" t="s">
        <v>680</v>
      </c>
      <c r="G344" s="3">
        <v>28.52</v>
      </c>
      <c r="H344" s="3">
        <f>IFERROR(INDEX('Tagging key'!D:D, MATCH(F344,'Tagging key'!C:C,0)),"")</f>
        <v>64.510000000000005</v>
      </c>
      <c r="I344" s="3">
        <f>IFERROR(INDEX('Tagging key'!E:E, MATCH(F344,'Tagging key'!C:C,0)),"")</f>
        <v>40.29</v>
      </c>
      <c r="J344" s="3">
        <f>IFERROR(INDEX('Tagging key'!F:F, MATCH(F344,'Tagging key'!C:C,0)),"")</f>
        <v>16.57</v>
      </c>
      <c r="K344" s="3">
        <v>28.053000000000001</v>
      </c>
      <c r="L344">
        <v>67.37</v>
      </c>
      <c r="M344" s="3">
        <v>38.89</v>
      </c>
      <c r="N344" s="3">
        <v>19.170000000000002</v>
      </c>
      <c r="O344" s="3"/>
      <c r="P344" s="22">
        <v>45877</v>
      </c>
      <c r="Q344" s="22">
        <v>45877</v>
      </c>
      <c r="R344" s="3"/>
    </row>
    <row r="345" spans="1:19" x14ac:dyDescent="0.25">
      <c r="A345" s="9">
        <v>10</v>
      </c>
      <c r="B345" s="9">
        <v>5</v>
      </c>
      <c r="C345" s="9" t="s">
        <v>15</v>
      </c>
      <c r="D345" s="9" t="s">
        <v>16</v>
      </c>
      <c r="E345" s="9" t="s">
        <v>471</v>
      </c>
      <c r="F345" s="9" t="s">
        <v>681</v>
      </c>
      <c r="G345" s="3">
        <v>30.34</v>
      </c>
      <c r="H345" s="3">
        <f>IFERROR(INDEX('Tagging key'!D:D, MATCH(F345,'Tagging key'!C:C,0)),"")</f>
        <v>62.03</v>
      </c>
      <c r="I345" s="3">
        <f>IFERROR(INDEX('Tagging key'!E:E, MATCH(F345,'Tagging key'!C:C,0)),"")</f>
        <v>54.57</v>
      </c>
      <c r="J345" s="3">
        <f>IFERROR(INDEX('Tagging key'!F:F, MATCH(F345,'Tagging key'!C:C,0)),"")</f>
        <v>18.260000000000002</v>
      </c>
      <c r="K345" s="3">
        <v>29.943999999999999</v>
      </c>
      <c r="L345" s="3">
        <v>66.34</v>
      </c>
      <c r="M345" s="3">
        <v>43.74</v>
      </c>
      <c r="N345" s="3">
        <v>18.149999999999999</v>
      </c>
      <c r="O345" s="3"/>
      <c r="P345" s="22">
        <v>45886</v>
      </c>
      <c r="Q345" s="22">
        <v>45886</v>
      </c>
      <c r="R345" s="3">
        <v>18.081</v>
      </c>
    </row>
    <row r="346" spans="1:19" x14ac:dyDescent="0.25">
      <c r="A346" s="8">
        <v>10</v>
      </c>
      <c r="B346" s="8">
        <v>6</v>
      </c>
      <c r="C346" s="8" t="s">
        <v>15</v>
      </c>
      <c r="D346" s="8" t="s">
        <v>16</v>
      </c>
      <c r="E346" s="8" t="s">
        <v>682</v>
      </c>
      <c r="F346" s="8" t="s">
        <v>683</v>
      </c>
      <c r="G346" s="3">
        <v>29.91</v>
      </c>
      <c r="H346" s="3">
        <f>IFERROR(INDEX('Tagging key'!D:D, MATCH(F346,'Tagging key'!C:C,0)),"")</f>
        <v>65.95</v>
      </c>
      <c r="I346" s="3">
        <f>IFERROR(INDEX('Tagging key'!E:E, MATCH(F346,'Tagging key'!C:C,0)),"")</f>
        <v>43.64</v>
      </c>
      <c r="J346" s="3">
        <f>IFERROR(INDEX('Tagging key'!F:F, MATCH(F346,'Tagging key'!C:C,0)),"")</f>
        <v>16.13</v>
      </c>
      <c r="K346" s="3">
        <v>29.815999999999999</v>
      </c>
      <c r="L346" s="3">
        <v>66.8</v>
      </c>
      <c r="M346" s="3">
        <v>44.29</v>
      </c>
      <c r="N346" s="3">
        <v>17.309999999999999</v>
      </c>
      <c r="O346" s="3"/>
      <c r="P346" s="22">
        <v>45879</v>
      </c>
      <c r="Q346" s="22">
        <v>45879</v>
      </c>
      <c r="R346" s="3"/>
    </row>
    <row r="347" spans="1:19" x14ac:dyDescent="0.25">
      <c r="A347" s="8">
        <v>10</v>
      </c>
      <c r="B347" s="8">
        <v>6</v>
      </c>
      <c r="C347" s="8" t="s">
        <v>15</v>
      </c>
      <c r="D347" s="8" t="s">
        <v>16</v>
      </c>
      <c r="E347" s="8" t="s">
        <v>172</v>
      </c>
      <c r="F347" s="8" t="s">
        <v>684</v>
      </c>
      <c r="G347" s="3">
        <v>29.54</v>
      </c>
      <c r="H347" s="3">
        <f>IFERROR(INDEX('Tagging key'!D:D, MATCH(F347,'Tagging key'!C:C,0)),"")</f>
        <v>65.2</v>
      </c>
      <c r="I347" s="3">
        <f>IFERROR(INDEX('Tagging key'!E:E, MATCH(F347,'Tagging key'!C:C,0)),"")</f>
        <v>43.67</v>
      </c>
      <c r="J347" s="3">
        <f>IFERROR(INDEX('Tagging key'!F:F, MATCH(F347,'Tagging key'!C:C,0)),"")</f>
        <v>17.82</v>
      </c>
      <c r="K347" s="3">
        <v>29.463999999999999</v>
      </c>
      <c r="L347" s="3">
        <v>66.3</v>
      </c>
      <c r="M347" s="3">
        <v>43.72</v>
      </c>
      <c r="N347" s="3">
        <v>19.309999999999999</v>
      </c>
      <c r="O347" s="3"/>
      <c r="P347" s="22">
        <v>45882</v>
      </c>
      <c r="Q347" s="22">
        <v>45882</v>
      </c>
      <c r="R347" s="3">
        <v>19.722999999999999</v>
      </c>
    </row>
    <row r="348" spans="1:19" x14ac:dyDescent="0.25">
      <c r="A348" s="8">
        <v>10</v>
      </c>
      <c r="B348" s="8">
        <v>6</v>
      </c>
      <c r="C348" s="8" t="s">
        <v>15</v>
      </c>
      <c r="D348" s="8" t="s">
        <v>16</v>
      </c>
      <c r="E348" s="8" t="s">
        <v>685</v>
      </c>
      <c r="F348" s="8" t="s">
        <v>686</v>
      </c>
      <c r="G348" s="3">
        <v>27.093</v>
      </c>
      <c r="H348" s="3">
        <f>IFERROR(INDEX('Tagging key'!D:D, MATCH(F348,'Tagging key'!C:C,0)),"")</f>
        <v>74.739999999999995</v>
      </c>
      <c r="I348" s="3">
        <f>IFERROR(INDEX('Tagging key'!E:E, MATCH(F348,'Tagging key'!C:C,0)),"")</f>
        <v>45.17</v>
      </c>
      <c r="J348" s="3">
        <f>IFERROR(INDEX('Tagging key'!F:F, MATCH(F348,'Tagging key'!C:C,0)),"")</f>
        <v>13.85</v>
      </c>
      <c r="K348" s="3">
        <v>26.864999999999998</v>
      </c>
      <c r="L348" s="3">
        <v>73.8</v>
      </c>
      <c r="M348" s="3">
        <v>43.27</v>
      </c>
      <c r="N348" s="3">
        <v>16.489999999999998</v>
      </c>
      <c r="O348" s="3"/>
      <c r="P348" s="22">
        <v>45886</v>
      </c>
      <c r="Q348" s="22">
        <v>45886</v>
      </c>
      <c r="R348" s="3"/>
    </row>
    <row r="349" spans="1:19" x14ac:dyDescent="0.25">
      <c r="A349" s="8">
        <v>10</v>
      </c>
      <c r="B349" s="8">
        <v>6</v>
      </c>
      <c r="C349" s="8" t="s">
        <v>15</v>
      </c>
      <c r="D349" s="8" t="s">
        <v>16</v>
      </c>
      <c r="E349" s="8" t="s">
        <v>687</v>
      </c>
      <c r="F349" s="8" t="s">
        <v>688</v>
      </c>
      <c r="G349" s="3">
        <v>54.055999999999997</v>
      </c>
      <c r="H349" s="3">
        <f>IFERROR(INDEX('Tagging key'!D:D, MATCH(F349,'Tagging key'!C:C,0)),"")</f>
        <v>83.4</v>
      </c>
      <c r="I349" s="3">
        <f>IFERROR(INDEX('Tagging key'!E:E, MATCH(F349,'Tagging key'!C:C,0)),"")</f>
        <v>52.05</v>
      </c>
      <c r="J349" s="3">
        <f>IFERROR(INDEX('Tagging key'!F:F, MATCH(F349,'Tagging key'!C:C,0)),"")</f>
        <v>19.739999999999998</v>
      </c>
      <c r="K349" s="3">
        <v>53.780999999999999</v>
      </c>
      <c r="L349" s="3">
        <v>85.09</v>
      </c>
      <c r="M349" s="3">
        <v>49.67</v>
      </c>
      <c r="N349" s="3">
        <v>24.52</v>
      </c>
      <c r="O349" s="3"/>
      <c r="P349" s="22">
        <v>45877</v>
      </c>
      <c r="Q349" s="22">
        <v>45877</v>
      </c>
      <c r="R349" s="3"/>
    </row>
    <row r="350" spans="1:19" x14ac:dyDescent="0.25">
      <c r="A350" s="13">
        <v>10</v>
      </c>
      <c r="B350" s="13">
        <v>7</v>
      </c>
      <c r="C350" s="13" t="s">
        <v>15</v>
      </c>
      <c r="D350" s="13" t="s">
        <v>72</v>
      </c>
      <c r="E350" s="13" t="s">
        <v>689</v>
      </c>
      <c r="F350" s="13" t="str">
        <f>LEFT(D350,1)&amp;"_"&amp;E350</f>
        <v>S_G53B</v>
      </c>
      <c r="G350" s="3">
        <v>54.52</v>
      </c>
      <c r="H350" s="3">
        <f>IFERROR(INDEX('Tagging key'!D:D, MATCH(F350,'Tagging key'!C:C,0)),"")</f>
        <v>73.099999999999994</v>
      </c>
      <c r="I350" s="3">
        <f>IFERROR(INDEX('Tagging key'!E:E, MATCH(F350,'Tagging key'!C:C,0)),"")</f>
        <v>77.099999999999994</v>
      </c>
      <c r="J350" s="3">
        <f>IFERROR(INDEX('Tagging key'!F:F, MATCH(F350,'Tagging key'!C:C,0)),"")</f>
        <v>19.2</v>
      </c>
      <c r="K350" s="3">
        <v>50.978999999999999</v>
      </c>
      <c r="L350" s="3">
        <v>75.06</v>
      </c>
      <c r="M350" s="3">
        <v>77.989999999999995</v>
      </c>
      <c r="N350" s="3">
        <v>20.82</v>
      </c>
      <c r="O350" s="3"/>
      <c r="P350" s="22">
        <v>45879</v>
      </c>
      <c r="Q350" s="22">
        <v>45879</v>
      </c>
      <c r="R350" s="3"/>
      <c r="S350" t="s">
        <v>690</v>
      </c>
    </row>
    <row r="351" spans="1:19" x14ac:dyDescent="0.25">
      <c r="A351" s="19">
        <v>10</v>
      </c>
      <c r="B351" s="19">
        <v>7</v>
      </c>
      <c r="C351" s="19" t="s">
        <v>15</v>
      </c>
      <c r="D351" s="19" t="s">
        <v>72</v>
      </c>
      <c r="E351" s="19" t="s">
        <v>691</v>
      </c>
      <c r="F351" s="19" t="str">
        <f t="shared" ref="F351:F373" si="2">LEFT(D351,1)&amp;"_"&amp;E351</f>
        <v>S_Y6</v>
      </c>
      <c r="G351" s="19">
        <v>42.939</v>
      </c>
      <c r="H351" s="19">
        <f>IFERROR(INDEX('Tagging key'!D:D, MATCH(F351,'Tagging key'!C:C,0)),"")</f>
        <v>70</v>
      </c>
      <c r="I351" s="19">
        <f>IFERROR(INDEX('Tagging key'!E:E, MATCH(F351,'Tagging key'!C:C,0)),"")</f>
        <v>75</v>
      </c>
      <c r="J351" s="19">
        <f>IFERROR(INDEX('Tagging key'!F:F, MATCH(F351,'Tagging key'!C:C,0)),"")</f>
        <v>17</v>
      </c>
      <c r="K351" s="19"/>
      <c r="L351" s="19"/>
      <c r="M351" s="19"/>
      <c r="N351" s="19"/>
      <c r="O351" s="19"/>
      <c r="P351" s="19"/>
      <c r="Q351" s="19"/>
      <c r="R351" s="19"/>
      <c r="S351" s="20" t="s">
        <v>692</v>
      </c>
    </row>
    <row r="352" spans="1:19" x14ac:dyDescent="0.25">
      <c r="A352" s="13">
        <v>10</v>
      </c>
      <c r="B352" s="13">
        <v>7</v>
      </c>
      <c r="C352" s="13" t="s">
        <v>15</v>
      </c>
      <c r="D352" s="13" t="s">
        <v>72</v>
      </c>
      <c r="E352" s="13" t="s">
        <v>693</v>
      </c>
      <c r="F352" s="13" t="str">
        <f t="shared" si="2"/>
        <v>S_G56B</v>
      </c>
      <c r="G352" s="3">
        <v>45.12</v>
      </c>
      <c r="H352" s="3">
        <f>IFERROR(INDEX('Tagging key'!D:D, MATCH(F352,'Tagging key'!C:C,0)),"")</f>
        <v>69.099999999999994</v>
      </c>
      <c r="I352" s="3">
        <f>IFERROR(INDEX('Tagging key'!E:E, MATCH(F352,'Tagging key'!C:C,0)),"")</f>
        <v>70.7</v>
      </c>
      <c r="J352" s="3">
        <f>IFERROR(INDEX('Tagging key'!F:F, MATCH(F352,'Tagging key'!C:C,0)),"")</f>
        <v>17.100000000000001</v>
      </c>
      <c r="K352" s="3">
        <v>45.875999999999998</v>
      </c>
      <c r="L352" s="3">
        <v>71.569999999999993</v>
      </c>
      <c r="M352" s="3">
        <v>71.7</v>
      </c>
      <c r="N352" s="3">
        <v>19.559999999999999</v>
      </c>
      <c r="O352" s="3"/>
      <c r="P352" s="22">
        <v>45882</v>
      </c>
      <c r="Q352" s="22">
        <v>45882</v>
      </c>
      <c r="R352" s="3">
        <v>22.963999999999999</v>
      </c>
      <c r="S352" t="s">
        <v>694</v>
      </c>
    </row>
    <row r="353" spans="1:19" x14ac:dyDescent="0.25">
      <c r="A353" s="13">
        <v>10</v>
      </c>
      <c r="B353" s="13">
        <v>7</v>
      </c>
      <c r="C353" s="13" t="s">
        <v>15</v>
      </c>
      <c r="D353" s="13" t="s">
        <v>72</v>
      </c>
      <c r="E353" s="13" t="s">
        <v>695</v>
      </c>
      <c r="F353" s="13" t="str">
        <f t="shared" si="2"/>
        <v>S_G57B</v>
      </c>
      <c r="G353" s="3">
        <v>39.32</v>
      </c>
      <c r="H353" s="3">
        <f>IFERROR(INDEX('Tagging key'!D:D, MATCH(F353,'Tagging key'!C:C,0)),"")</f>
        <v>64.099999999999994</v>
      </c>
      <c r="I353" s="3">
        <f>IFERROR(INDEX('Tagging key'!E:E, MATCH(F353,'Tagging key'!C:C,0)),"")</f>
        <v>66.900000000000006</v>
      </c>
      <c r="J353" s="3">
        <f>IFERROR(INDEX('Tagging key'!F:F, MATCH(F353,'Tagging key'!C:C,0)),"")</f>
        <v>18</v>
      </c>
      <c r="K353" s="3">
        <v>35.734000000000002</v>
      </c>
      <c r="L353" s="3">
        <v>65.66</v>
      </c>
      <c r="M353" s="3">
        <v>68.739999999999995</v>
      </c>
      <c r="N353" s="3">
        <v>19.329999999999998</v>
      </c>
      <c r="O353" s="3"/>
      <c r="P353" s="22">
        <v>45877</v>
      </c>
      <c r="Q353" s="22">
        <v>45877</v>
      </c>
      <c r="R353" s="3"/>
      <c r="S353" t="s">
        <v>696</v>
      </c>
    </row>
    <row r="354" spans="1:19" x14ac:dyDescent="0.25">
      <c r="A354" s="14">
        <v>10</v>
      </c>
      <c r="B354" s="14">
        <v>8</v>
      </c>
      <c r="C354" s="14" t="s">
        <v>15</v>
      </c>
      <c r="D354" s="14" t="s">
        <v>72</v>
      </c>
      <c r="E354" s="14" t="s">
        <v>697</v>
      </c>
      <c r="F354" s="14" t="str">
        <f t="shared" si="2"/>
        <v>S_Y78</v>
      </c>
      <c r="G354" s="3">
        <v>41.902999999999999</v>
      </c>
      <c r="H354" s="3">
        <f>IFERROR(INDEX('Tagging key'!D:D, MATCH(F354,'Tagging key'!C:C,0)),"")</f>
        <v>68</v>
      </c>
      <c r="I354" s="3">
        <f>IFERROR(INDEX('Tagging key'!E:E, MATCH(F354,'Tagging key'!C:C,0)),"")</f>
        <v>72</v>
      </c>
      <c r="J354" s="3">
        <f>IFERROR(INDEX('Tagging key'!F:F, MATCH(F354,'Tagging key'!C:C,0)),"")</f>
        <v>16</v>
      </c>
      <c r="K354" s="3">
        <v>38.720999999999997</v>
      </c>
      <c r="L354" s="3">
        <v>68.08</v>
      </c>
      <c r="M354" s="3">
        <v>73.650000000000006</v>
      </c>
      <c r="N354" s="3">
        <v>18.84</v>
      </c>
      <c r="O354" s="3"/>
      <c r="P354" s="22">
        <v>45877</v>
      </c>
      <c r="Q354" s="22">
        <v>45877</v>
      </c>
      <c r="R354" s="3"/>
    </row>
    <row r="355" spans="1:19" x14ac:dyDescent="0.25">
      <c r="A355" s="14">
        <v>10</v>
      </c>
      <c r="B355" s="14">
        <v>8</v>
      </c>
      <c r="C355" s="14" t="s">
        <v>15</v>
      </c>
      <c r="D355" s="14" t="s">
        <v>72</v>
      </c>
      <c r="E355" s="14" t="s">
        <v>698</v>
      </c>
      <c r="F355" s="14" t="str">
        <f t="shared" si="2"/>
        <v>S_W95</v>
      </c>
      <c r="G355" s="3">
        <v>40.805</v>
      </c>
      <c r="H355" s="3">
        <f>IFERROR(INDEX('Tagging key'!D:D, MATCH(F355,'Tagging key'!C:C,0)),"")</f>
        <v>68</v>
      </c>
      <c r="I355" s="3">
        <f>IFERROR(INDEX('Tagging key'!E:E, MATCH(F355,'Tagging key'!C:C,0)),"")</f>
        <v>69</v>
      </c>
      <c r="J355" s="3">
        <f>IFERROR(INDEX('Tagging key'!F:F, MATCH(F355,'Tagging key'!C:C,0)),"")</f>
        <v>20</v>
      </c>
      <c r="K355" s="3">
        <v>38.109000000000002</v>
      </c>
      <c r="L355" s="3">
        <v>69.23</v>
      </c>
      <c r="M355" s="3">
        <v>70.209999999999994</v>
      </c>
      <c r="N355" s="3">
        <v>19</v>
      </c>
      <c r="O355" s="3"/>
      <c r="P355" s="22">
        <v>45882</v>
      </c>
      <c r="Q355" s="22">
        <v>45882</v>
      </c>
      <c r="R355" s="3">
        <v>18.794</v>
      </c>
    </row>
    <row r="356" spans="1:19" x14ac:dyDescent="0.25">
      <c r="A356" s="14">
        <v>10</v>
      </c>
      <c r="B356" s="14">
        <v>8</v>
      </c>
      <c r="C356" s="14" t="s">
        <v>15</v>
      </c>
      <c r="D356" s="14" t="s">
        <v>72</v>
      </c>
      <c r="E356" s="14" t="s">
        <v>699</v>
      </c>
      <c r="F356" s="14" t="str">
        <f t="shared" si="2"/>
        <v>S_Y59</v>
      </c>
      <c r="G356" s="3">
        <v>58.713999999999999</v>
      </c>
      <c r="H356" s="3">
        <f>IFERROR(INDEX('Tagging key'!D:D, MATCH(F356,'Tagging key'!C:C,0)),"")</f>
        <v>71</v>
      </c>
      <c r="I356" s="3">
        <f>IFERROR(INDEX('Tagging key'!E:E, MATCH(F356,'Tagging key'!C:C,0)),"")</f>
        <v>74</v>
      </c>
      <c r="J356" s="3">
        <f>IFERROR(INDEX('Tagging key'!F:F, MATCH(F356,'Tagging key'!C:C,0)),"")</f>
        <v>20</v>
      </c>
      <c r="K356" s="3">
        <v>53.192999999999998</v>
      </c>
      <c r="L356" s="3">
        <v>72.95</v>
      </c>
      <c r="M356" s="3">
        <v>73.11</v>
      </c>
      <c r="N356" s="3">
        <v>23.28</v>
      </c>
      <c r="O356" s="3"/>
      <c r="P356" s="22">
        <v>45886</v>
      </c>
      <c r="Q356" s="22">
        <v>45886</v>
      </c>
      <c r="R356" s="3"/>
    </row>
    <row r="357" spans="1:19" x14ac:dyDescent="0.25">
      <c r="A357" s="14">
        <v>10</v>
      </c>
      <c r="B357" s="14">
        <v>8</v>
      </c>
      <c r="C357" s="14" t="s">
        <v>15</v>
      </c>
      <c r="D357" s="14" t="s">
        <v>72</v>
      </c>
      <c r="E357" s="14" t="s">
        <v>700</v>
      </c>
      <c r="F357" s="14" t="str">
        <f t="shared" si="2"/>
        <v>S_Y28</v>
      </c>
      <c r="G357" s="3">
        <v>50.448</v>
      </c>
      <c r="H357" s="3">
        <f>IFERROR(INDEX('Tagging key'!D:D, MATCH(F357,'Tagging key'!C:C,0)),"")</f>
        <v>70.5</v>
      </c>
      <c r="I357" s="3">
        <f>IFERROR(INDEX('Tagging key'!E:E, MATCH(F357,'Tagging key'!C:C,0)),"")</f>
        <v>78.5</v>
      </c>
      <c r="J357" s="3">
        <f>IFERROR(INDEX('Tagging key'!F:F, MATCH(F357,'Tagging key'!C:C,0)),"")</f>
        <v>19</v>
      </c>
      <c r="K357" s="3">
        <v>47.512999999999998</v>
      </c>
      <c r="L357" s="3">
        <v>72.930000000000007</v>
      </c>
      <c r="M357" s="3">
        <v>79.790000000000006</v>
      </c>
      <c r="N357" s="3">
        <v>22.82</v>
      </c>
      <c r="O357" s="3"/>
      <c r="P357" s="22">
        <v>45879</v>
      </c>
      <c r="Q357" s="22">
        <v>45879</v>
      </c>
      <c r="R357" s="3"/>
    </row>
    <row r="358" spans="1:19" x14ac:dyDescent="0.25">
      <c r="A358" s="13">
        <v>10</v>
      </c>
      <c r="B358" s="13">
        <v>9</v>
      </c>
      <c r="C358" s="13" t="s">
        <v>15</v>
      </c>
      <c r="D358" s="13" t="s">
        <v>72</v>
      </c>
      <c r="E358" s="13" t="s">
        <v>701</v>
      </c>
      <c r="F358" s="13" t="str">
        <f t="shared" si="2"/>
        <v>S_Y65</v>
      </c>
      <c r="G358" s="3">
        <v>64.658000000000001</v>
      </c>
      <c r="H358" s="3">
        <f>IFERROR(INDEX('Tagging key'!D:D, MATCH(F358,'Tagging key'!C:C,0)),"")</f>
        <v>75</v>
      </c>
      <c r="I358" s="3">
        <f>IFERROR(INDEX('Tagging key'!E:E, MATCH(F358,'Tagging key'!C:C,0)),"")</f>
        <v>80</v>
      </c>
      <c r="J358" s="3">
        <f>IFERROR(INDEX('Tagging key'!F:F, MATCH(F358,'Tagging key'!C:C,0)),"")</f>
        <v>21</v>
      </c>
      <c r="K358" s="3">
        <v>59.418999999999997</v>
      </c>
      <c r="L358" s="3">
        <v>75.41</v>
      </c>
      <c r="M358" s="3">
        <v>81.5</v>
      </c>
      <c r="N358" s="3">
        <v>22.94</v>
      </c>
      <c r="O358" s="3"/>
      <c r="P358" s="22">
        <v>45877</v>
      </c>
      <c r="Q358" s="22">
        <v>45877</v>
      </c>
      <c r="R358" s="3"/>
    </row>
    <row r="359" spans="1:19" x14ac:dyDescent="0.25">
      <c r="A359" s="13">
        <v>10</v>
      </c>
      <c r="B359" s="13">
        <v>9</v>
      </c>
      <c r="C359" s="13" t="s">
        <v>15</v>
      </c>
      <c r="D359" s="13" t="s">
        <v>72</v>
      </c>
      <c r="E359" s="13" t="s">
        <v>702</v>
      </c>
      <c r="F359" s="13" t="str">
        <f t="shared" si="2"/>
        <v>S_G58</v>
      </c>
      <c r="G359" s="3">
        <v>50.351999999999997</v>
      </c>
      <c r="H359" s="3">
        <f>IFERROR(INDEX('Tagging key'!D:D, MATCH(F359,'Tagging key'!C:C,0)),"")</f>
        <v>70</v>
      </c>
      <c r="I359" s="3">
        <f>IFERROR(INDEX('Tagging key'!E:E, MATCH(F359,'Tagging key'!C:C,0)),"")</f>
        <v>74</v>
      </c>
      <c r="J359" s="3">
        <f>IFERROR(INDEX('Tagging key'!F:F, MATCH(F359,'Tagging key'!C:C,0)),"")</f>
        <v>19</v>
      </c>
      <c r="K359" s="3">
        <v>47.027999999999999</v>
      </c>
      <c r="L359" s="3">
        <v>71.040000000000006</v>
      </c>
      <c r="M359" s="3">
        <v>75.12</v>
      </c>
      <c r="N359" s="3">
        <v>20.61</v>
      </c>
      <c r="O359" s="3"/>
      <c r="P359" s="22">
        <v>45882</v>
      </c>
      <c r="Q359" s="22">
        <v>45882</v>
      </c>
      <c r="R359" s="3">
        <v>22.187000000000001</v>
      </c>
    </row>
    <row r="360" spans="1:19" x14ac:dyDescent="0.25">
      <c r="A360" s="13">
        <v>10</v>
      </c>
      <c r="B360" s="13">
        <v>9</v>
      </c>
      <c r="C360" s="13" t="s">
        <v>15</v>
      </c>
      <c r="D360" s="13" t="s">
        <v>72</v>
      </c>
      <c r="E360" s="13" t="s">
        <v>703</v>
      </c>
      <c r="F360" s="13" t="str">
        <f t="shared" si="2"/>
        <v>S_W71</v>
      </c>
      <c r="G360" s="3">
        <v>45.493000000000002</v>
      </c>
      <c r="H360" s="3">
        <f>IFERROR(INDEX('Tagging key'!D:D, MATCH(F360,'Tagging key'!C:C,0)),"")</f>
        <v>70</v>
      </c>
      <c r="I360" s="3">
        <f>IFERROR(INDEX('Tagging key'!E:E, MATCH(F360,'Tagging key'!C:C,0)),"")</f>
        <v>73</v>
      </c>
      <c r="J360" s="3">
        <f>IFERROR(INDEX('Tagging key'!F:F, MATCH(F360,'Tagging key'!C:C,0)),"")</f>
        <v>18</v>
      </c>
      <c r="K360" s="3">
        <v>41.453000000000003</v>
      </c>
      <c r="L360" s="3">
        <v>70.28</v>
      </c>
      <c r="M360" s="3">
        <v>73.55</v>
      </c>
      <c r="N360" s="3">
        <v>19.48</v>
      </c>
      <c r="O360" s="3"/>
      <c r="P360" s="22">
        <v>45879</v>
      </c>
      <c r="Q360" s="22">
        <v>45879</v>
      </c>
      <c r="R360" s="3"/>
    </row>
    <row r="361" spans="1:19" x14ac:dyDescent="0.25">
      <c r="A361" s="13">
        <v>10</v>
      </c>
      <c r="B361" s="13">
        <v>9</v>
      </c>
      <c r="C361" s="13" t="s">
        <v>15</v>
      </c>
      <c r="D361" s="13" t="s">
        <v>72</v>
      </c>
      <c r="E361" s="13" t="s">
        <v>266</v>
      </c>
      <c r="F361" s="13" t="str">
        <f t="shared" si="2"/>
        <v>S_G36</v>
      </c>
      <c r="G361" s="3">
        <v>60.405999999999999</v>
      </c>
      <c r="H361" s="3">
        <f>IFERROR(INDEX('Tagging key'!D:D, MATCH(F361,'Tagging key'!C:C,0)),"")</f>
        <v>67.290000000000006</v>
      </c>
      <c r="I361" s="3">
        <f>IFERROR(INDEX('Tagging key'!E:E, MATCH(F361,'Tagging key'!C:C,0)),"")</f>
        <v>74.010000000000005</v>
      </c>
      <c r="J361" s="3">
        <f>IFERROR(INDEX('Tagging key'!F:F, MATCH(F361,'Tagging key'!C:C,0)),"")</f>
        <v>20.89</v>
      </c>
      <c r="K361" s="3">
        <v>55.905000000000001</v>
      </c>
      <c r="L361" s="3">
        <v>68.09</v>
      </c>
      <c r="M361" s="3">
        <v>76.64</v>
      </c>
      <c r="N361" s="3">
        <v>22.07</v>
      </c>
      <c r="O361" s="3"/>
      <c r="P361" s="22">
        <v>45886</v>
      </c>
      <c r="Q361" s="22">
        <v>45886</v>
      </c>
      <c r="R361" s="3"/>
    </row>
    <row r="362" spans="1:19" x14ac:dyDescent="0.25">
      <c r="A362" s="14">
        <v>11</v>
      </c>
      <c r="B362" s="14">
        <v>1</v>
      </c>
      <c r="C362" s="14" t="s">
        <v>248</v>
      </c>
      <c r="D362" s="14" t="s">
        <v>72</v>
      </c>
      <c r="E362" s="14" t="s">
        <v>88</v>
      </c>
      <c r="F362" s="14" t="str">
        <f t="shared" si="2"/>
        <v>S_G50</v>
      </c>
      <c r="G362" s="3">
        <v>45.994999999999997</v>
      </c>
      <c r="H362" s="3">
        <f>IFERROR(INDEX('Tagging key'!D:D, MATCH(F362,'Tagging key'!C:C,0)),"")</f>
        <v>76</v>
      </c>
      <c r="I362" s="3">
        <f>IFERROR(INDEX('Tagging key'!E:E, MATCH(F362,'Tagging key'!C:C,0)),"")</f>
        <v>74</v>
      </c>
      <c r="J362" s="3">
        <f>IFERROR(INDEX('Tagging key'!F:F, MATCH(F362,'Tagging key'!C:C,0)),"")</f>
        <v>16.54</v>
      </c>
      <c r="K362" s="3">
        <v>42.01</v>
      </c>
      <c r="L362" s="3">
        <v>75.5</v>
      </c>
      <c r="M362" s="3">
        <v>76.930000000000007</v>
      </c>
      <c r="N362" s="3">
        <v>17.66</v>
      </c>
      <c r="O362" s="3"/>
      <c r="P362" s="22">
        <v>45882</v>
      </c>
      <c r="Q362" s="22">
        <v>45882</v>
      </c>
      <c r="R362" s="3">
        <v>18.5</v>
      </c>
    </row>
    <row r="363" spans="1:19" x14ac:dyDescent="0.25">
      <c r="A363" s="14">
        <v>11</v>
      </c>
      <c r="B363" s="14">
        <v>1</v>
      </c>
      <c r="C363" s="14" t="s">
        <v>248</v>
      </c>
      <c r="D363" s="14" t="s">
        <v>72</v>
      </c>
      <c r="E363" s="14" t="s">
        <v>704</v>
      </c>
      <c r="F363" s="14" t="str">
        <f t="shared" si="2"/>
        <v>S_Y58</v>
      </c>
      <c r="G363" s="3">
        <v>58.204000000000001</v>
      </c>
      <c r="H363" s="3">
        <f>IFERROR(INDEX('Tagging key'!D:D, MATCH(F363,'Tagging key'!C:C,0)),"")</f>
        <v>68</v>
      </c>
      <c r="I363" s="3">
        <f>IFERROR(INDEX('Tagging key'!E:E, MATCH(F363,'Tagging key'!C:C,0)),"")</f>
        <v>77</v>
      </c>
      <c r="J363" s="3">
        <f>IFERROR(INDEX('Tagging key'!F:F, MATCH(F363,'Tagging key'!C:C,0)),"")</f>
        <v>22</v>
      </c>
      <c r="K363" s="3">
        <v>50.814</v>
      </c>
      <c r="L363" s="3">
        <v>65.739999999999995</v>
      </c>
      <c r="M363" s="3">
        <v>74.319999999999993</v>
      </c>
      <c r="N363" s="3">
        <v>18.04</v>
      </c>
      <c r="O363" s="3"/>
      <c r="P363" s="22">
        <v>45879</v>
      </c>
      <c r="Q363" s="22">
        <v>45879</v>
      </c>
      <c r="R363" s="3"/>
    </row>
    <row r="364" spans="1:19" x14ac:dyDescent="0.25">
      <c r="A364" s="14">
        <v>11</v>
      </c>
      <c r="B364" s="14">
        <v>1</v>
      </c>
      <c r="C364" s="14" t="s">
        <v>248</v>
      </c>
      <c r="D364" s="14" t="s">
        <v>72</v>
      </c>
      <c r="E364" s="14" t="s">
        <v>705</v>
      </c>
      <c r="F364" s="14" t="str">
        <f>LEFT(D364,1)&amp;"_"&amp;E364</f>
        <v>S_G68B</v>
      </c>
      <c r="G364" s="3">
        <v>45.335999999999999</v>
      </c>
      <c r="H364" s="3">
        <f>IFERROR(INDEX('Tagging key'!D:D, MATCH(F364,'Tagging key'!C:C,0)),"")</f>
        <v>73</v>
      </c>
      <c r="I364" s="3">
        <f>IFERROR(INDEX('Tagging key'!E:E, MATCH(F364,'Tagging key'!C:C,0)),"")</f>
        <v>72</v>
      </c>
      <c r="J364" s="3">
        <f>IFERROR(INDEX('Tagging key'!F:F, MATCH(F364,'Tagging key'!C:C,0)),"")</f>
        <v>19</v>
      </c>
      <c r="K364" s="3">
        <v>41.036000000000001</v>
      </c>
      <c r="L364" s="3">
        <v>74.290000000000006</v>
      </c>
      <c r="M364" s="3">
        <v>75.19</v>
      </c>
      <c r="N364" s="3">
        <v>18.97</v>
      </c>
      <c r="O364" s="3"/>
      <c r="P364" s="22">
        <v>45877</v>
      </c>
      <c r="Q364" s="22">
        <v>45877</v>
      </c>
      <c r="R364" s="3"/>
    </row>
    <row r="365" spans="1:19" x14ac:dyDescent="0.25">
      <c r="A365" s="14">
        <v>11</v>
      </c>
      <c r="B365" s="14">
        <v>1</v>
      </c>
      <c r="C365" s="14" t="s">
        <v>248</v>
      </c>
      <c r="D365" s="14" t="s">
        <v>72</v>
      </c>
      <c r="E365" s="14" t="s">
        <v>706</v>
      </c>
      <c r="F365" s="14" t="str">
        <f t="shared" si="2"/>
        <v>S_W78</v>
      </c>
      <c r="G365" s="3">
        <v>49.368000000000002</v>
      </c>
      <c r="H365" s="3">
        <f>IFERROR(INDEX('Tagging key'!D:D, MATCH(F365,'Tagging key'!C:C,0)),"")</f>
        <v>73</v>
      </c>
      <c r="I365" s="3">
        <f>IFERROR(INDEX('Tagging key'!E:E, MATCH(F365,'Tagging key'!C:C,0)),"")</f>
        <v>75</v>
      </c>
      <c r="J365" s="3">
        <f>IFERROR(INDEX('Tagging key'!F:F, MATCH(F365,'Tagging key'!C:C,0)),"")</f>
        <v>19</v>
      </c>
      <c r="K365" s="3">
        <v>43.786000000000001</v>
      </c>
      <c r="L365" s="3">
        <v>72.44</v>
      </c>
      <c r="M365" s="3">
        <v>75.489999999999995</v>
      </c>
      <c r="N365" s="3">
        <v>19.64</v>
      </c>
      <c r="O365" s="3"/>
      <c r="P365" s="22">
        <v>45886</v>
      </c>
      <c r="Q365" s="22">
        <v>45886</v>
      </c>
      <c r="R365" s="3">
        <v>20.611999999999998</v>
      </c>
      <c r="S365" s="3">
        <v>20.696000000000002</v>
      </c>
    </row>
    <row r="366" spans="1:19" x14ac:dyDescent="0.25">
      <c r="A366" s="13">
        <v>11</v>
      </c>
      <c r="B366" s="13">
        <v>2</v>
      </c>
      <c r="C366" s="13" t="s">
        <v>248</v>
      </c>
      <c r="D366" s="13" t="s">
        <v>72</v>
      </c>
      <c r="E366" s="13" t="s">
        <v>707</v>
      </c>
      <c r="F366" s="13" t="str">
        <f t="shared" si="2"/>
        <v>S_G48</v>
      </c>
      <c r="G366" s="3">
        <v>68.605000000000004</v>
      </c>
      <c r="H366" s="3">
        <f>IFERROR(INDEX('Tagging key'!D:D, MATCH(F366,'Tagging key'!C:C,0)),"")</f>
        <v>78</v>
      </c>
      <c r="I366" s="3">
        <f>IFERROR(INDEX('Tagging key'!E:E, MATCH(F366,'Tagging key'!C:C,0)),"")</f>
        <v>79</v>
      </c>
      <c r="J366" s="3">
        <f>IFERROR(INDEX('Tagging key'!F:F, MATCH(F366,'Tagging key'!C:C,0)),"")</f>
        <v>19</v>
      </c>
      <c r="K366" s="3">
        <v>56.859000000000002</v>
      </c>
      <c r="L366" s="3">
        <v>77.98</v>
      </c>
      <c r="M366" s="3">
        <v>79.260000000000005</v>
      </c>
      <c r="N366" s="3">
        <v>21.65</v>
      </c>
      <c r="O366" s="3"/>
      <c r="P366" s="22">
        <v>45886</v>
      </c>
      <c r="Q366" s="22">
        <v>45886</v>
      </c>
      <c r="R366" s="3"/>
    </row>
    <row r="367" spans="1:19" x14ac:dyDescent="0.25">
      <c r="A367" s="13">
        <v>11</v>
      </c>
      <c r="B367" s="13">
        <v>2</v>
      </c>
      <c r="C367" s="13" t="s">
        <v>248</v>
      </c>
      <c r="D367" s="13" t="s">
        <v>72</v>
      </c>
      <c r="E367" s="13" t="s">
        <v>708</v>
      </c>
      <c r="F367" s="13" t="str">
        <f t="shared" si="2"/>
        <v>S_G6</v>
      </c>
      <c r="G367" s="3">
        <v>47.136000000000003</v>
      </c>
      <c r="H367" s="3">
        <f>IFERROR(INDEX('Tagging key'!D:D, MATCH(F367,'Tagging key'!C:C,0)),"")</f>
        <v>68.34</v>
      </c>
      <c r="I367" s="3">
        <f>IFERROR(INDEX('Tagging key'!E:E, MATCH(F367,'Tagging key'!C:C,0)),"")</f>
        <v>73.459999999999994</v>
      </c>
      <c r="J367" s="3">
        <f>IFERROR(INDEX('Tagging key'!F:F, MATCH(F367,'Tagging key'!C:C,0)),"")</f>
        <v>24.09</v>
      </c>
      <c r="K367" s="3">
        <v>44.261000000000003</v>
      </c>
      <c r="L367" s="3">
        <v>68.87</v>
      </c>
      <c r="M367" s="3">
        <v>74.39</v>
      </c>
      <c r="N367" s="3">
        <v>21.14</v>
      </c>
      <c r="O367" s="3"/>
      <c r="P367" s="22">
        <v>45877</v>
      </c>
      <c r="Q367" s="22">
        <v>45877</v>
      </c>
      <c r="R367" s="3"/>
    </row>
    <row r="368" spans="1:19" x14ac:dyDescent="0.25">
      <c r="A368" s="13">
        <v>11</v>
      </c>
      <c r="B368" s="13">
        <v>2</v>
      </c>
      <c r="C368" s="13" t="s">
        <v>248</v>
      </c>
      <c r="D368" s="13" t="s">
        <v>72</v>
      </c>
      <c r="E368" s="13" t="s">
        <v>709</v>
      </c>
      <c r="F368" s="13" t="str">
        <f t="shared" si="2"/>
        <v>S_W83</v>
      </c>
      <c r="G368" s="3">
        <v>55.182000000000002</v>
      </c>
      <c r="H368" s="3">
        <f>IFERROR(INDEX('Tagging key'!D:D, MATCH(F368,'Tagging key'!C:C,0)),"")</f>
        <v>75</v>
      </c>
      <c r="I368" s="3">
        <f>IFERROR(INDEX('Tagging key'!E:E, MATCH(F368,'Tagging key'!C:C,0)),"")</f>
        <v>78</v>
      </c>
      <c r="J368" s="3">
        <f>IFERROR(INDEX('Tagging key'!F:F, MATCH(F368,'Tagging key'!C:C,0)),"")</f>
        <v>22</v>
      </c>
      <c r="K368" s="3">
        <v>52.723999999999997</v>
      </c>
      <c r="L368" s="3">
        <v>75.040000000000006</v>
      </c>
      <c r="M368" s="3">
        <v>78.63</v>
      </c>
      <c r="N368" s="3">
        <v>22.69</v>
      </c>
      <c r="O368" s="3"/>
      <c r="P368" s="22">
        <v>45882</v>
      </c>
      <c r="Q368" s="22">
        <v>45882</v>
      </c>
      <c r="R368" s="3">
        <v>23.262</v>
      </c>
    </row>
    <row r="369" spans="1:19" x14ac:dyDescent="0.25">
      <c r="A369" s="13">
        <v>11</v>
      </c>
      <c r="B369" s="13">
        <v>2</v>
      </c>
      <c r="C369" s="13" t="s">
        <v>248</v>
      </c>
      <c r="D369" s="13" t="s">
        <v>72</v>
      </c>
      <c r="E369" s="13" t="s">
        <v>710</v>
      </c>
      <c r="F369" s="13" t="str">
        <f t="shared" si="2"/>
        <v>S_Y21</v>
      </c>
      <c r="G369" s="3">
        <v>68.784999999999997</v>
      </c>
      <c r="H369" s="3">
        <f>IFERROR(INDEX('Tagging key'!D:D, MATCH(F369,'Tagging key'!C:C,0)),"")</f>
        <v>80</v>
      </c>
      <c r="I369" s="3">
        <f>IFERROR(INDEX('Tagging key'!E:E, MATCH(F369,'Tagging key'!C:C,0)),"")</f>
        <v>81</v>
      </c>
      <c r="J369" s="3">
        <f>IFERROR(INDEX('Tagging key'!F:F, MATCH(F369,'Tagging key'!C:C,0)),"")</f>
        <v>20</v>
      </c>
      <c r="K369" s="3">
        <v>61.932000000000002</v>
      </c>
      <c r="L369" s="3">
        <v>76.09</v>
      </c>
      <c r="M369" s="3">
        <v>76.930000000000007</v>
      </c>
      <c r="N369" s="3">
        <v>17.100000000000001</v>
      </c>
      <c r="O369" s="3"/>
      <c r="P369" s="22">
        <v>45879</v>
      </c>
      <c r="Q369" s="22">
        <v>45879</v>
      </c>
      <c r="R369" s="3"/>
    </row>
    <row r="370" spans="1:19" x14ac:dyDescent="0.25">
      <c r="A370" s="14">
        <v>11</v>
      </c>
      <c r="B370" s="14">
        <v>3</v>
      </c>
      <c r="C370" s="14" t="s">
        <v>248</v>
      </c>
      <c r="D370" s="14" t="s">
        <v>72</v>
      </c>
      <c r="E370" s="14" t="s">
        <v>646</v>
      </c>
      <c r="F370" s="14" t="str">
        <f t="shared" si="2"/>
        <v>S_G38</v>
      </c>
      <c r="G370" s="3">
        <v>68.766999999999996</v>
      </c>
      <c r="H370" s="3">
        <f>IFERROR(INDEX('Tagging key'!D:D, MATCH(F370,'Tagging key'!C:C,0)),"")</f>
        <v>77.010000000000005</v>
      </c>
      <c r="I370" s="3">
        <f>IFERROR(INDEX('Tagging key'!E:E, MATCH(F370,'Tagging key'!C:C,0)),"")</f>
        <v>83.7</v>
      </c>
      <c r="J370" s="3">
        <f>IFERROR(INDEX('Tagging key'!F:F, MATCH(F370,'Tagging key'!C:C,0)),"")</f>
        <v>20.78</v>
      </c>
      <c r="K370" s="3">
        <v>65.067999999999998</v>
      </c>
      <c r="L370" s="3">
        <v>78.44</v>
      </c>
      <c r="M370" s="3">
        <v>86.1</v>
      </c>
      <c r="N370" s="3">
        <v>23.27</v>
      </c>
      <c r="O370" s="3"/>
      <c r="P370" s="22">
        <v>45877</v>
      </c>
      <c r="Q370" s="22">
        <v>45877</v>
      </c>
      <c r="R370" s="3"/>
    </row>
    <row r="371" spans="1:19" x14ac:dyDescent="0.25">
      <c r="A371" s="14">
        <v>11</v>
      </c>
      <c r="B371" s="14">
        <v>3</v>
      </c>
      <c r="C371" s="14" t="s">
        <v>248</v>
      </c>
      <c r="D371" s="14" t="s">
        <v>72</v>
      </c>
      <c r="E371" s="14" t="s">
        <v>711</v>
      </c>
      <c r="F371" s="14" t="str">
        <f t="shared" si="2"/>
        <v>S_Y4</v>
      </c>
      <c r="G371" s="3">
        <v>61.329000000000001</v>
      </c>
      <c r="H371" s="3">
        <f>IFERROR(INDEX('Tagging key'!D:D, MATCH(F371,'Tagging key'!C:C,0)),"")</f>
        <v>73.5</v>
      </c>
      <c r="I371" s="3">
        <f>IFERROR(INDEX('Tagging key'!E:E, MATCH(F371,'Tagging key'!C:C,0)),"")</f>
        <v>78</v>
      </c>
      <c r="J371" s="3">
        <f>IFERROR(INDEX('Tagging key'!F:F, MATCH(F371,'Tagging key'!C:C,0)),"")</f>
        <v>23</v>
      </c>
      <c r="K371" s="3">
        <v>59.087000000000003</v>
      </c>
      <c r="L371" s="3">
        <v>76.75</v>
      </c>
      <c r="M371" s="3">
        <v>79.650000000000006</v>
      </c>
      <c r="N371" s="3">
        <v>17.54</v>
      </c>
      <c r="O371" s="3"/>
      <c r="P371" s="22">
        <v>45879</v>
      </c>
      <c r="Q371" s="22">
        <v>45879</v>
      </c>
      <c r="R371" s="3"/>
    </row>
    <row r="372" spans="1:19" x14ac:dyDescent="0.25">
      <c r="A372" s="14">
        <v>11</v>
      </c>
      <c r="B372" s="14">
        <v>3</v>
      </c>
      <c r="C372" s="14" t="s">
        <v>248</v>
      </c>
      <c r="D372" s="14" t="s">
        <v>72</v>
      </c>
      <c r="E372" s="14" t="s">
        <v>632</v>
      </c>
      <c r="F372" s="14" t="str">
        <f t="shared" si="2"/>
        <v>S_G28</v>
      </c>
      <c r="G372" s="3">
        <v>53.067</v>
      </c>
      <c r="H372" s="3">
        <f>IFERROR(INDEX('Tagging key'!D:D, MATCH(F372,'Tagging key'!C:C,0)),"")</f>
        <v>72.06</v>
      </c>
      <c r="I372" s="3">
        <f>IFERROR(INDEX('Tagging key'!E:E, MATCH(F372,'Tagging key'!C:C,0)),"")</f>
        <v>75.62</v>
      </c>
      <c r="J372" s="3">
        <f>IFERROR(INDEX('Tagging key'!F:F, MATCH(F372,'Tagging key'!C:C,0)),"")</f>
        <v>18.22</v>
      </c>
      <c r="K372" s="3">
        <v>44.121000000000002</v>
      </c>
      <c r="L372" s="3">
        <v>72.98</v>
      </c>
      <c r="M372" s="3">
        <v>77.959999999999994</v>
      </c>
      <c r="N372" s="3">
        <v>20.55</v>
      </c>
      <c r="O372" s="3"/>
      <c r="P372" s="22">
        <v>45886</v>
      </c>
      <c r="Q372" s="22">
        <v>45886</v>
      </c>
      <c r="R372" s="3">
        <v>22.6</v>
      </c>
    </row>
    <row r="373" spans="1:19" x14ac:dyDescent="0.25">
      <c r="A373" s="14">
        <v>11</v>
      </c>
      <c r="B373" s="14">
        <v>3</v>
      </c>
      <c r="C373" s="14" t="s">
        <v>248</v>
      </c>
      <c r="D373" s="14" t="s">
        <v>72</v>
      </c>
      <c r="E373" s="14" t="s">
        <v>580</v>
      </c>
      <c r="F373" s="14" t="str">
        <f t="shared" si="2"/>
        <v>S_G7</v>
      </c>
      <c r="G373" s="3">
        <v>63.747999999999998</v>
      </c>
      <c r="H373" s="3">
        <f>IFERROR(INDEX('Tagging key'!D:D, MATCH(F373,'Tagging key'!C:C,0)),"")</f>
        <v>77.39</v>
      </c>
      <c r="I373" s="3">
        <f>IFERROR(INDEX('Tagging key'!E:E, MATCH(F373,'Tagging key'!C:C,0)),"")</f>
        <v>81.28</v>
      </c>
      <c r="J373" s="3">
        <f>IFERROR(INDEX('Tagging key'!F:F, MATCH(F373,'Tagging key'!C:C,0)),"")</f>
        <v>23.37</v>
      </c>
      <c r="K373" s="3">
        <v>57.655999999999999</v>
      </c>
      <c r="L373" s="3">
        <v>80.73</v>
      </c>
      <c r="M373" s="3">
        <v>82.24</v>
      </c>
      <c r="N373" s="3">
        <v>20.14</v>
      </c>
      <c r="O373" s="3"/>
      <c r="P373" s="22">
        <v>45882</v>
      </c>
      <c r="Q373" s="22">
        <v>45882</v>
      </c>
      <c r="R373" s="3">
        <v>24.283999999999999</v>
      </c>
    </row>
    <row r="374" spans="1:19" x14ac:dyDescent="0.25">
      <c r="A374" s="11">
        <v>11</v>
      </c>
      <c r="B374" s="11">
        <v>4</v>
      </c>
      <c r="C374" s="11" t="s">
        <v>248</v>
      </c>
      <c r="D374" s="11" t="s">
        <v>46</v>
      </c>
      <c r="E374" s="11" t="s">
        <v>544</v>
      </c>
      <c r="F374" s="11" t="s">
        <v>712</v>
      </c>
      <c r="G374" s="3">
        <v>42.048999999999999</v>
      </c>
      <c r="H374" s="3">
        <f>IFERROR(INDEX('Tagging key'!D:D, MATCH(F374,'Tagging key'!C:C,0)),"")</f>
        <v>74.010000000000005</v>
      </c>
      <c r="I374" s="3">
        <f>IFERROR(INDEX('Tagging key'!E:E, MATCH(F374,'Tagging key'!C:C,0)),"")</f>
        <v>37.299999999999997</v>
      </c>
      <c r="J374" s="3">
        <f>IFERROR(INDEX('Tagging key'!F:F, MATCH(F374,'Tagging key'!C:C,0)),"")</f>
        <v>26.48</v>
      </c>
      <c r="K374" s="3">
        <v>42.223999999999997</v>
      </c>
      <c r="L374" s="3">
        <v>72.97</v>
      </c>
      <c r="M374" s="3">
        <v>36.409999999999997</v>
      </c>
      <c r="N374" s="3">
        <v>27.03</v>
      </c>
      <c r="O374" s="3"/>
      <c r="P374" s="22">
        <v>45882</v>
      </c>
      <c r="Q374" s="22">
        <v>45882</v>
      </c>
      <c r="R374" s="3">
        <v>19.561</v>
      </c>
    </row>
    <row r="375" spans="1:19" x14ac:dyDescent="0.25">
      <c r="A375" s="11">
        <v>11</v>
      </c>
      <c r="B375" s="11">
        <v>4</v>
      </c>
      <c r="C375" s="11" t="s">
        <v>248</v>
      </c>
      <c r="D375" s="11" t="s">
        <v>46</v>
      </c>
      <c r="E375" s="11" t="s">
        <v>713</v>
      </c>
      <c r="F375" s="11" t="s">
        <v>714</v>
      </c>
      <c r="G375" s="3">
        <v>48.884</v>
      </c>
      <c r="H375" s="3">
        <f>IFERROR(INDEX('Tagging key'!D:D, MATCH(F375,'Tagging key'!C:C,0)),"")</f>
        <v>82.12</v>
      </c>
      <c r="I375" s="3">
        <f>IFERROR(INDEX('Tagging key'!E:E, MATCH(F375,'Tagging key'!C:C,0)),"")</f>
        <v>42.35</v>
      </c>
      <c r="J375" s="3">
        <f>IFERROR(INDEX('Tagging key'!F:F, MATCH(F375,'Tagging key'!C:C,0)),"")</f>
        <v>30.29</v>
      </c>
      <c r="K375" s="3">
        <v>49.222999999999999</v>
      </c>
      <c r="L375" s="3">
        <v>83</v>
      </c>
      <c r="M375" s="3">
        <v>37.83</v>
      </c>
      <c r="N375" s="3">
        <v>30.13</v>
      </c>
      <c r="O375" s="3"/>
      <c r="P375" s="22">
        <v>45877</v>
      </c>
      <c r="Q375" s="22">
        <v>45877</v>
      </c>
      <c r="R375" s="3"/>
    </row>
    <row r="376" spans="1:19" x14ac:dyDescent="0.25">
      <c r="A376" s="11">
        <v>11</v>
      </c>
      <c r="B376" s="11">
        <v>4</v>
      </c>
      <c r="C376" s="11" t="s">
        <v>248</v>
      </c>
      <c r="D376" s="11" t="s">
        <v>46</v>
      </c>
      <c r="E376" s="11" t="s">
        <v>715</v>
      </c>
      <c r="F376" s="11" t="s">
        <v>716</v>
      </c>
      <c r="G376" s="3">
        <v>25.257000000000001</v>
      </c>
      <c r="H376" s="3">
        <f>IFERROR(INDEX('Tagging key'!D:D, MATCH(F376,'Tagging key'!C:C,0)),"")</f>
        <v>63.98</v>
      </c>
      <c r="I376" s="3">
        <f>IFERROR(INDEX('Tagging key'!E:E, MATCH(F376,'Tagging key'!C:C,0)),"")</f>
        <v>32.6</v>
      </c>
      <c r="J376" s="3">
        <f>IFERROR(INDEX('Tagging key'!F:F, MATCH(F376,'Tagging key'!C:C,0)),"")</f>
        <v>23.39</v>
      </c>
      <c r="K376" s="3">
        <v>25.736999999999998</v>
      </c>
      <c r="L376" s="3">
        <v>64.3</v>
      </c>
      <c r="M376" s="3">
        <v>32.5</v>
      </c>
      <c r="N376" s="3">
        <v>24.84</v>
      </c>
      <c r="O376" s="3"/>
      <c r="P376" s="22">
        <v>45879</v>
      </c>
      <c r="Q376" s="22">
        <v>45879</v>
      </c>
      <c r="R376" s="3"/>
    </row>
    <row r="377" spans="1:19" x14ac:dyDescent="0.25">
      <c r="A377" s="11">
        <v>11</v>
      </c>
      <c r="B377" s="11">
        <v>4</v>
      </c>
      <c r="C377" s="11" t="s">
        <v>248</v>
      </c>
      <c r="D377" s="11" t="s">
        <v>46</v>
      </c>
      <c r="E377" s="11" t="s">
        <v>355</v>
      </c>
      <c r="F377" s="11" t="s">
        <v>717</v>
      </c>
      <c r="G377" s="3">
        <v>38.506999999999998</v>
      </c>
      <c r="H377" s="3">
        <f>IFERROR(INDEX('Tagging key'!D:D, MATCH(F377,'Tagging key'!C:C,0)),"")</f>
        <v>71</v>
      </c>
      <c r="I377" s="3">
        <f>IFERROR(INDEX('Tagging key'!E:E, MATCH(F377,'Tagging key'!C:C,0)),"")</f>
        <v>38</v>
      </c>
      <c r="J377" s="3">
        <f>IFERROR(INDEX('Tagging key'!F:F, MATCH(F377,'Tagging key'!C:C,0)),"")</f>
        <v>24</v>
      </c>
      <c r="K377" s="3">
        <v>37.649000000000001</v>
      </c>
      <c r="L377" s="3">
        <v>71.61</v>
      </c>
      <c r="M377" s="3">
        <v>37.549999999999997</v>
      </c>
      <c r="N377" s="3">
        <v>24.98</v>
      </c>
      <c r="O377" s="3"/>
      <c r="P377" s="22">
        <v>45886</v>
      </c>
      <c r="Q377" s="22">
        <v>45886</v>
      </c>
      <c r="R377" s="3"/>
      <c r="S377" t="s">
        <v>718</v>
      </c>
    </row>
    <row r="378" spans="1:19" x14ac:dyDescent="0.25">
      <c r="A378" s="12">
        <v>11</v>
      </c>
      <c r="B378" s="12">
        <v>5</v>
      </c>
      <c r="C378" s="12" t="s">
        <v>248</v>
      </c>
      <c r="D378" s="12" t="s">
        <v>46</v>
      </c>
      <c r="E378" s="12" t="s">
        <v>546</v>
      </c>
      <c r="F378" s="12" t="s">
        <v>719</v>
      </c>
      <c r="G378" s="3">
        <v>37.491</v>
      </c>
      <c r="H378" s="3">
        <f>IFERROR(INDEX('Tagging key'!D:D, MATCH(F378,'Tagging key'!C:C,0)),"")</f>
        <v>72.34</v>
      </c>
      <c r="I378" s="3">
        <f>IFERROR(INDEX('Tagging key'!E:E, MATCH(F378,'Tagging key'!C:C,0)),"")</f>
        <v>45.01</v>
      </c>
      <c r="J378" s="3">
        <f>IFERROR(INDEX('Tagging key'!F:F, MATCH(F378,'Tagging key'!C:C,0)),"")</f>
        <v>26.78</v>
      </c>
      <c r="K378" s="3">
        <v>38.015000000000001</v>
      </c>
      <c r="L378" s="3">
        <v>73.02</v>
      </c>
      <c r="M378" s="3">
        <v>39.700000000000003</v>
      </c>
      <c r="N378" s="3">
        <v>27.59</v>
      </c>
      <c r="O378" s="3"/>
      <c r="P378" s="22">
        <v>45882</v>
      </c>
      <c r="Q378" s="22">
        <v>45882</v>
      </c>
      <c r="R378" s="3"/>
    </row>
    <row r="379" spans="1:19" x14ac:dyDescent="0.25">
      <c r="A379" s="12">
        <v>11</v>
      </c>
      <c r="B379" s="12">
        <v>5</v>
      </c>
      <c r="C379" s="12" t="s">
        <v>248</v>
      </c>
      <c r="D379" s="12" t="s">
        <v>46</v>
      </c>
      <c r="E379" s="12" t="s">
        <v>720</v>
      </c>
      <c r="F379" s="12" t="s">
        <v>721</v>
      </c>
      <c r="G379" s="3">
        <v>35.203000000000003</v>
      </c>
      <c r="H379" s="3">
        <f>IFERROR(INDEX('Tagging key'!D:D, MATCH(F379,'Tagging key'!C:C,0)),"")</f>
        <v>73.41</v>
      </c>
      <c r="I379" s="3">
        <f>IFERROR(INDEX('Tagging key'!E:E, MATCH(F379,'Tagging key'!C:C,0)),"")</f>
        <v>38.25</v>
      </c>
      <c r="J379" s="3">
        <f>IFERROR(INDEX('Tagging key'!F:F, MATCH(F379,'Tagging key'!C:C,0)),"")</f>
        <v>28.91</v>
      </c>
      <c r="K379" s="3">
        <v>35.380000000000003</v>
      </c>
      <c r="L379" s="3">
        <v>73.72</v>
      </c>
      <c r="M379" s="3">
        <v>33.79</v>
      </c>
      <c r="N379" s="3">
        <v>29.65</v>
      </c>
      <c r="O379" s="3"/>
      <c r="P379" s="22">
        <v>45877</v>
      </c>
      <c r="Q379" s="22">
        <v>45877</v>
      </c>
      <c r="R379" s="3"/>
    </row>
    <row r="380" spans="1:19" x14ac:dyDescent="0.25">
      <c r="A380" s="19">
        <v>11</v>
      </c>
      <c r="B380" s="19">
        <v>5</v>
      </c>
      <c r="C380" s="19" t="s">
        <v>248</v>
      </c>
      <c r="D380" s="19" t="s">
        <v>46</v>
      </c>
      <c r="E380" s="19" t="s">
        <v>722</v>
      </c>
      <c r="F380" s="19" t="s">
        <v>723</v>
      </c>
      <c r="G380" s="19">
        <v>28.233000000000001</v>
      </c>
      <c r="H380" s="19">
        <f>IFERROR(INDEX('Tagging key'!D:D, MATCH(F380,'Tagging key'!C:C,0)),"")</f>
        <v>64.3</v>
      </c>
      <c r="I380" s="19">
        <f>IFERROR(INDEX('Tagging key'!E:E, MATCH(F380,'Tagging key'!C:C,0)),"")</f>
        <v>39.22</v>
      </c>
      <c r="J380" s="19">
        <f>IFERROR(INDEX('Tagging key'!F:F, MATCH(F380,'Tagging key'!C:C,0)),"")</f>
        <v>23.43</v>
      </c>
      <c r="K380" s="19"/>
      <c r="L380" s="19"/>
      <c r="M380" s="19"/>
      <c r="N380" s="19"/>
      <c r="O380" s="19"/>
      <c r="P380" s="19"/>
      <c r="Q380" s="19"/>
      <c r="R380" s="19"/>
      <c r="S380" t="s">
        <v>412</v>
      </c>
    </row>
    <row r="381" spans="1:19" x14ac:dyDescent="0.25">
      <c r="A381" s="12">
        <v>11</v>
      </c>
      <c r="B381" s="12">
        <v>5</v>
      </c>
      <c r="C381" s="12" t="s">
        <v>248</v>
      </c>
      <c r="D381" s="12" t="s">
        <v>46</v>
      </c>
      <c r="E381" s="12" t="s">
        <v>533</v>
      </c>
      <c r="F381" s="12" t="s">
        <v>724</v>
      </c>
      <c r="G381" s="3">
        <v>22.402999999999999</v>
      </c>
      <c r="H381" s="3">
        <f>IFERROR(INDEX('Tagging key'!D:D, MATCH(F381,'Tagging key'!C:C,0)),"")</f>
        <v>63.23</v>
      </c>
      <c r="I381" s="3">
        <f>IFERROR(INDEX('Tagging key'!E:E, MATCH(F381,'Tagging key'!C:C,0)),"")</f>
        <v>34.32</v>
      </c>
      <c r="J381" s="3">
        <f>IFERROR(INDEX('Tagging key'!F:F, MATCH(F381,'Tagging key'!C:C,0)),"")</f>
        <v>22.43</v>
      </c>
      <c r="K381" s="3">
        <v>22.869</v>
      </c>
      <c r="L381" s="3">
        <v>62.55</v>
      </c>
      <c r="M381" s="3">
        <v>31.57</v>
      </c>
      <c r="N381" s="3">
        <v>22.34</v>
      </c>
      <c r="O381" s="3"/>
      <c r="P381" s="22">
        <v>45879</v>
      </c>
      <c r="Q381" s="22">
        <v>45879</v>
      </c>
      <c r="R381" s="3"/>
    </row>
    <row r="382" spans="1:19" x14ac:dyDescent="0.25">
      <c r="A382" s="11">
        <v>11</v>
      </c>
      <c r="B382" s="11">
        <v>6</v>
      </c>
      <c r="C382" s="11" t="s">
        <v>248</v>
      </c>
      <c r="D382" s="11" t="s">
        <v>46</v>
      </c>
      <c r="E382" s="11" t="s">
        <v>725</v>
      </c>
      <c r="F382" s="11" t="s">
        <v>726</v>
      </c>
      <c r="G382" s="3">
        <v>22.827000000000002</v>
      </c>
      <c r="H382" s="3">
        <f>IFERROR(INDEX('Tagging key'!D:D, MATCH(F382,'Tagging key'!C:C,0)),"")</f>
        <v>60.95</v>
      </c>
      <c r="I382" s="3">
        <f>IFERROR(INDEX('Tagging key'!E:E, MATCH(F382,'Tagging key'!C:C,0)),"")</f>
        <v>35.32</v>
      </c>
      <c r="J382" s="3">
        <f>IFERROR(INDEX('Tagging key'!F:F, MATCH(F382,'Tagging key'!C:C,0)),"")</f>
        <v>22.89</v>
      </c>
      <c r="K382" s="3">
        <v>23.562000000000001</v>
      </c>
      <c r="L382" s="3">
        <v>61.1</v>
      </c>
      <c r="M382" s="3">
        <v>32.770000000000003</v>
      </c>
      <c r="N382" s="3">
        <v>23.62</v>
      </c>
      <c r="O382" s="3"/>
      <c r="P382" s="22">
        <v>45879</v>
      </c>
      <c r="Q382" s="22">
        <v>45879</v>
      </c>
      <c r="R382" s="3"/>
    </row>
    <row r="383" spans="1:19" x14ac:dyDescent="0.25">
      <c r="A383" s="11">
        <v>11</v>
      </c>
      <c r="B383" s="11">
        <v>6</v>
      </c>
      <c r="C383" s="11" t="s">
        <v>248</v>
      </c>
      <c r="D383" s="11" t="s">
        <v>46</v>
      </c>
      <c r="E383" s="11" t="s">
        <v>727</v>
      </c>
      <c r="F383" s="11" t="s">
        <v>728</v>
      </c>
      <c r="G383" s="3">
        <v>64.847999999999999</v>
      </c>
      <c r="H383" s="3">
        <f>IFERROR(INDEX('Tagging key'!D:D, MATCH(F383,'Tagging key'!C:C,0)),"")</f>
        <v>83.59</v>
      </c>
      <c r="I383" s="3">
        <f>IFERROR(INDEX('Tagging key'!E:E, MATCH(F383,'Tagging key'!C:C,0)),"")</f>
        <v>46.44</v>
      </c>
      <c r="J383" s="3">
        <f>IFERROR(INDEX('Tagging key'!F:F, MATCH(F383,'Tagging key'!C:C,0)),"")</f>
        <v>33.61</v>
      </c>
      <c r="K383" s="3">
        <v>65.465999999999994</v>
      </c>
      <c r="L383" s="3">
        <v>82.58</v>
      </c>
      <c r="M383" s="3">
        <v>43.6</v>
      </c>
      <c r="N383" s="3">
        <v>33.75</v>
      </c>
      <c r="O383" s="3"/>
      <c r="P383" s="22">
        <v>45886</v>
      </c>
      <c r="Q383" s="22">
        <v>45886</v>
      </c>
      <c r="R383" s="3"/>
    </row>
    <row r="384" spans="1:19" x14ac:dyDescent="0.25">
      <c r="A384" s="11">
        <v>11</v>
      </c>
      <c r="B384" s="11">
        <v>6</v>
      </c>
      <c r="C384" s="11" t="s">
        <v>248</v>
      </c>
      <c r="D384" s="11" t="s">
        <v>46</v>
      </c>
      <c r="E384" s="11" t="s">
        <v>108</v>
      </c>
      <c r="F384" s="11" t="s">
        <v>729</v>
      </c>
      <c r="G384" s="3">
        <v>56.853000000000002</v>
      </c>
      <c r="H384" s="3">
        <f>IFERROR(INDEX('Tagging key'!D:D, MATCH(F384,'Tagging key'!C:C,0)),"")</f>
        <v>84</v>
      </c>
      <c r="I384" s="3">
        <f>IFERROR(INDEX('Tagging key'!E:E, MATCH(F384,'Tagging key'!C:C,0)),"")</f>
        <v>40</v>
      </c>
      <c r="J384" s="3">
        <f>IFERROR(INDEX('Tagging key'!F:F, MATCH(F384,'Tagging key'!C:C,0)),"")</f>
        <v>30</v>
      </c>
      <c r="K384" s="3">
        <v>57.484000000000002</v>
      </c>
      <c r="L384" s="3">
        <v>85.19</v>
      </c>
      <c r="M384" s="3">
        <v>41.39</v>
      </c>
      <c r="N384" s="3">
        <v>30.03</v>
      </c>
      <c r="O384" s="3"/>
      <c r="P384" s="22">
        <v>45882</v>
      </c>
      <c r="Q384" s="22">
        <v>45882</v>
      </c>
      <c r="R384" s="3">
        <v>20.184000000000001</v>
      </c>
    </row>
    <row r="385" spans="1:19" x14ac:dyDescent="0.25">
      <c r="A385" s="11">
        <v>11</v>
      </c>
      <c r="B385" s="11">
        <v>6</v>
      </c>
      <c r="C385" s="11" t="s">
        <v>248</v>
      </c>
      <c r="D385" s="11" t="s">
        <v>46</v>
      </c>
      <c r="E385" s="11" t="s">
        <v>44</v>
      </c>
      <c r="F385" s="11" t="s">
        <v>730</v>
      </c>
      <c r="G385" s="3">
        <v>47.825000000000003</v>
      </c>
      <c r="H385" s="3">
        <f>IFERROR(INDEX('Tagging key'!D:D, MATCH(F385,'Tagging key'!C:C,0)),"")</f>
        <v>78</v>
      </c>
      <c r="I385" s="3">
        <f>IFERROR(INDEX('Tagging key'!E:E, MATCH(F385,'Tagging key'!C:C,0)),"")</f>
        <v>40</v>
      </c>
      <c r="J385" s="3">
        <f>IFERROR(INDEX('Tagging key'!F:F, MATCH(F385,'Tagging key'!C:C,0)),"")</f>
        <v>29</v>
      </c>
      <c r="K385" s="3">
        <v>49.110999999999997</v>
      </c>
      <c r="L385" s="3">
        <v>79.319999999999993</v>
      </c>
      <c r="M385" s="3">
        <v>40.549999999999997</v>
      </c>
      <c r="N385" s="3">
        <v>30.15</v>
      </c>
      <c r="O385" s="3"/>
      <c r="P385" s="22">
        <v>45877</v>
      </c>
      <c r="Q385" s="22">
        <v>45877</v>
      </c>
      <c r="R385" s="3"/>
    </row>
    <row r="386" spans="1:19" x14ac:dyDescent="0.25">
      <c r="A386" s="8">
        <v>11</v>
      </c>
      <c r="B386" s="8">
        <v>7</v>
      </c>
      <c r="C386" s="8" t="s">
        <v>248</v>
      </c>
      <c r="D386" s="8" t="s">
        <v>16</v>
      </c>
      <c r="E386" s="8" t="s">
        <v>731</v>
      </c>
      <c r="F386" s="8" t="s">
        <v>732</v>
      </c>
      <c r="G386" s="3">
        <v>30.584</v>
      </c>
      <c r="H386" s="3">
        <f>IFERROR(INDEX('Tagging key'!D:D, MATCH(F386,'Tagging key'!C:C,0)),"")</f>
        <v>66.900000000000006</v>
      </c>
      <c r="I386" s="3">
        <f>IFERROR(INDEX('Tagging key'!E:E, MATCH(F386,'Tagging key'!C:C,0)),"")</f>
        <v>40</v>
      </c>
      <c r="J386" s="3">
        <f>IFERROR(INDEX('Tagging key'!F:F, MATCH(F386,'Tagging key'!C:C,0)),"")</f>
        <v>24.3</v>
      </c>
      <c r="K386" s="3">
        <v>30.344999999999999</v>
      </c>
      <c r="L386" s="3">
        <v>68.36</v>
      </c>
      <c r="M386" s="3">
        <v>39.799999999999997</v>
      </c>
      <c r="N386" s="3">
        <v>23.95</v>
      </c>
      <c r="O386" s="3"/>
      <c r="P386" s="22">
        <v>45877</v>
      </c>
      <c r="Q386" s="22">
        <v>45877</v>
      </c>
      <c r="R386" s="3"/>
    </row>
    <row r="387" spans="1:19" x14ac:dyDescent="0.25">
      <c r="A387" s="8">
        <v>11</v>
      </c>
      <c r="B387" s="8">
        <v>7</v>
      </c>
      <c r="C387" s="8" t="s">
        <v>248</v>
      </c>
      <c r="D387" s="8" t="s">
        <v>16</v>
      </c>
      <c r="E387" s="8" t="s">
        <v>733</v>
      </c>
      <c r="F387" s="8" t="s">
        <v>734</v>
      </c>
      <c r="G387" s="3">
        <v>29.05</v>
      </c>
      <c r="H387" s="3">
        <f>IFERROR(INDEX('Tagging key'!D:D, MATCH(F387,'Tagging key'!C:C,0)),"")</f>
        <v>66.930000000000007</v>
      </c>
      <c r="I387" s="3">
        <f>IFERROR(INDEX('Tagging key'!E:E, MATCH(F387,'Tagging key'!C:C,0)),"")</f>
        <v>47.62</v>
      </c>
      <c r="J387" s="3">
        <f>IFERROR(INDEX('Tagging key'!F:F, MATCH(F387,'Tagging key'!C:C,0)),"")</f>
        <v>20.37</v>
      </c>
      <c r="K387" s="3">
        <v>28.771000000000001</v>
      </c>
      <c r="L387" s="3">
        <v>67.5</v>
      </c>
      <c r="M387" s="3">
        <v>42.44</v>
      </c>
      <c r="N387" s="3">
        <v>18.489999999999998</v>
      </c>
      <c r="O387" s="3"/>
      <c r="P387" s="22">
        <v>45879</v>
      </c>
      <c r="Q387" s="22">
        <v>45879</v>
      </c>
      <c r="R387" s="3"/>
    </row>
    <row r="388" spans="1:19" x14ac:dyDescent="0.25">
      <c r="A388" s="8">
        <v>11</v>
      </c>
      <c r="B388" s="8">
        <v>7</v>
      </c>
      <c r="C388" s="8" t="s">
        <v>248</v>
      </c>
      <c r="D388" s="8" t="s">
        <v>16</v>
      </c>
      <c r="E388" s="8" t="s">
        <v>735</v>
      </c>
      <c r="F388" s="8" t="s">
        <v>736</v>
      </c>
      <c r="G388" s="3">
        <v>30.402999999999999</v>
      </c>
      <c r="H388" s="3">
        <f>IFERROR(INDEX('Tagging key'!D:D, MATCH(F388,'Tagging key'!C:C,0)),"")</f>
        <v>69.760000000000005</v>
      </c>
      <c r="I388" s="3">
        <f>IFERROR(INDEX('Tagging key'!E:E, MATCH(F388,'Tagging key'!C:C,0)),"")</f>
        <v>50.61</v>
      </c>
      <c r="J388" s="3">
        <f>IFERROR(INDEX('Tagging key'!F:F, MATCH(F388,'Tagging key'!C:C,0)),"")</f>
        <v>13.99</v>
      </c>
      <c r="K388" s="3">
        <v>29.72</v>
      </c>
      <c r="L388" s="3">
        <v>70.66</v>
      </c>
      <c r="M388" s="3">
        <v>48.88</v>
      </c>
      <c r="N388" s="3">
        <v>15.76</v>
      </c>
      <c r="O388" s="3"/>
      <c r="P388" s="22">
        <v>45882</v>
      </c>
      <c r="Q388" s="22">
        <v>45882</v>
      </c>
      <c r="R388" s="3">
        <v>18.98</v>
      </c>
    </row>
    <row r="389" spans="1:19" x14ac:dyDescent="0.25">
      <c r="A389" s="8">
        <v>11</v>
      </c>
      <c r="B389" s="8">
        <v>7</v>
      </c>
      <c r="C389" s="8" t="s">
        <v>248</v>
      </c>
      <c r="D389" s="8" t="s">
        <v>16</v>
      </c>
      <c r="E389" s="8" t="s">
        <v>94</v>
      </c>
      <c r="F389" s="8" t="s">
        <v>737</v>
      </c>
      <c r="G389" s="3">
        <v>36.988</v>
      </c>
      <c r="H389" s="3">
        <f>IFERROR(INDEX('Tagging key'!D:D, MATCH(F389,'Tagging key'!C:C,0)),"")</f>
        <v>80.38</v>
      </c>
      <c r="I389" s="3">
        <f>IFERROR(INDEX('Tagging key'!E:E, MATCH(F389,'Tagging key'!C:C,0)),"")</f>
        <v>45.71</v>
      </c>
      <c r="J389" s="3">
        <f>IFERROR(INDEX('Tagging key'!F:F, MATCH(F389,'Tagging key'!C:C,0)),"")</f>
        <v>11.45</v>
      </c>
      <c r="K389" s="3">
        <v>36.555999999999997</v>
      </c>
      <c r="L389" s="3">
        <v>81.59</v>
      </c>
      <c r="M389" s="3">
        <v>44.27</v>
      </c>
      <c r="N389" s="3">
        <v>17.55</v>
      </c>
      <c r="O389" s="3"/>
      <c r="P389" s="22">
        <v>45886</v>
      </c>
      <c r="Q389" s="22">
        <v>45886</v>
      </c>
      <c r="R389" s="3"/>
    </row>
    <row r="390" spans="1:19" x14ac:dyDescent="0.25">
      <c r="A390" s="9">
        <v>11</v>
      </c>
      <c r="B390" s="9">
        <v>8</v>
      </c>
      <c r="C390" s="9" t="s">
        <v>248</v>
      </c>
      <c r="D390" s="9" t="s">
        <v>16</v>
      </c>
      <c r="E390" s="9" t="s">
        <v>608</v>
      </c>
      <c r="F390" s="9" t="s">
        <v>738</v>
      </c>
      <c r="G390" s="3">
        <v>31.457999999999998</v>
      </c>
      <c r="H390" s="3">
        <f>IFERROR(INDEX('Tagging key'!D:D, MATCH(F390,'Tagging key'!C:C,0)),"")</f>
        <v>69.650000000000006</v>
      </c>
      <c r="I390" s="3">
        <f>IFERROR(INDEX('Tagging key'!E:E, MATCH(F390,'Tagging key'!C:C,0)),"")</f>
        <v>48.23</v>
      </c>
      <c r="J390" s="3">
        <f>IFERROR(INDEX('Tagging key'!F:F, MATCH(F390,'Tagging key'!C:C,0)),"")</f>
        <v>18.21</v>
      </c>
      <c r="K390" s="3">
        <v>31.158999999999999</v>
      </c>
      <c r="L390" s="3">
        <v>70.77</v>
      </c>
      <c r="M390" s="3">
        <v>48.3</v>
      </c>
      <c r="N390" s="3">
        <v>18.239999999999998</v>
      </c>
      <c r="O390" s="3"/>
      <c r="P390" s="22">
        <v>45877</v>
      </c>
      <c r="Q390" s="22">
        <v>45877</v>
      </c>
      <c r="R390" s="3"/>
    </row>
    <row r="391" spans="1:19" x14ac:dyDescent="0.25">
      <c r="A391" s="9">
        <v>11</v>
      </c>
      <c r="B391" s="9">
        <v>8</v>
      </c>
      <c r="C391" s="9" t="s">
        <v>248</v>
      </c>
      <c r="D391" s="9" t="s">
        <v>16</v>
      </c>
      <c r="E391" s="9" t="s">
        <v>739</v>
      </c>
      <c r="F391" s="9" t="s">
        <v>740</v>
      </c>
      <c r="G391" s="3">
        <v>26.475999999999999</v>
      </c>
      <c r="H391" s="3">
        <f>IFERROR(INDEX('Tagging key'!D:D, MATCH(F391,'Tagging key'!C:C,0)),"")</f>
        <v>63.76</v>
      </c>
      <c r="I391" s="3">
        <f>IFERROR(INDEX('Tagging key'!E:E, MATCH(F391,'Tagging key'!C:C,0)),"")</f>
        <v>45.56</v>
      </c>
      <c r="J391" s="3">
        <f>IFERROR(INDEX('Tagging key'!F:F, MATCH(F391,'Tagging key'!C:C,0)),"")</f>
        <v>17.47</v>
      </c>
      <c r="K391" s="3">
        <v>26.19</v>
      </c>
      <c r="L391" s="3">
        <v>64.47</v>
      </c>
      <c r="M391" s="3">
        <v>38.119999999999997</v>
      </c>
      <c r="N391" s="3">
        <v>19.239999999999998</v>
      </c>
      <c r="O391" s="3"/>
      <c r="P391" s="22">
        <v>45879</v>
      </c>
      <c r="Q391" s="22">
        <v>45879</v>
      </c>
      <c r="R391" s="3"/>
      <c r="S391" t="s">
        <v>741</v>
      </c>
    </row>
    <row r="392" spans="1:19" x14ac:dyDescent="0.25">
      <c r="A392" s="9">
        <v>11</v>
      </c>
      <c r="B392" s="9">
        <v>8</v>
      </c>
      <c r="C392" s="9" t="s">
        <v>248</v>
      </c>
      <c r="D392" s="9" t="s">
        <v>16</v>
      </c>
      <c r="E392" s="9" t="s">
        <v>640</v>
      </c>
      <c r="F392" s="9" t="s">
        <v>742</v>
      </c>
      <c r="G392" s="3">
        <v>38.89</v>
      </c>
      <c r="H392" s="3">
        <f>IFERROR(INDEX('Tagging key'!D:D, MATCH(F392,'Tagging key'!C:C,0)),"")</f>
        <v>65.58</v>
      </c>
      <c r="I392" s="3">
        <f>IFERROR(INDEX('Tagging key'!E:E, MATCH(F392,'Tagging key'!C:C,0)),"")</f>
        <v>56.34</v>
      </c>
      <c r="J392" s="3">
        <f>IFERROR(INDEX('Tagging key'!F:F, MATCH(F392,'Tagging key'!C:C,0)),"")</f>
        <v>20.96</v>
      </c>
      <c r="K392" s="3">
        <v>38.521000000000001</v>
      </c>
      <c r="L392" s="3">
        <v>65.7</v>
      </c>
      <c r="M392" s="3">
        <v>54.52</v>
      </c>
      <c r="N392" s="3">
        <v>21.23</v>
      </c>
      <c r="O392" s="3"/>
      <c r="P392" s="22">
        <v>45882</v>
      </c>
      <c r="Q392" s="22">
        <v>45882</v>
      </c>
      <c r="R392" s="3">
        <v>24.192</v>
      </c>
      <c r="S392" t="s">
        <v>741</v>
      </c>
    </row>
    <row r="393" spans="1:19" x14ac:dyDescent="0.25">
      <c r="A393" s="19">
        <v>11</v>
      </c>
      <c r="B393" s="19">
        <v>8</v>
      </c>
      <c r="C393" s="19" t="s">
        <v>248</v>
      </c>
      <c r="D393" s="19" t="s">
        <v>16</v>
      </c>
      <c r="E393" s="19" t="s">
        <v>743</v>
      </c>
      <c r="F393" s="19" t="s">
        <v>744</v>
      </c>
      <c r="G393" s="19">
        <v>17.718</v>
      </c>
      <c r="H393" s="19">
        <f>IFERROR(INDEX('Tagging key'!D:D, MATCH(F393,'Tagging key'!C:C,0)),"")</f>
        <v>63.98</v>
      </c>
      <c r="I393" s="19">
        <f>IFERROR(INDEX('Tagging key'!E:E, MATCH(F393,'Tagging key'!C:C,0)),"")</f>
        <v>53.1</v>
      </c>
      <c r="J393" s="19">
        <f>IFERROR(INDEX('Tagging key'!F:F, MATCH(F393,'Tagging key'!C:C,0)),"")</f>
        <v>15.95</v>
      </c>
      <c r="K393" s="19"/>
      <c r="L393" s="19"/>
      <c r="M393" s="19"/>
      <c r="N393" s="19"/>
      <c r="O393" s="19"/>
      <c r="P393" s="27"/>
      <c r="Q393" s="27"/>
      <c r="R393" s="19"/>
      <c r="S393" t="s">
        <v>745</v>
      </c>
    </row>
    <row r="394" spans="1:19" x14ac:dyDescent="0.25">
      <c r="A394" s="8">
        <v>11</v>
      </c>
      <c r="B394" s="8">
        <v>9</v>
      </c>
      <c r="C394" s="8" t="s">
        <v>248</v>
      </c>
      <c r="D394" s="8" t="s">
        <v>16</v>
      </c>
      <c r="E394" s="8" t="s">
        <v>746</v>
      </c>
      <c r="F394" s="8" t="s">
        <v>747</v>
      </c>
      <c r="G394" s="3">
        <v>24.547999999999998</v>
      </c>
      <c r="H394" s="3">
        <f>IFERROR(INDEX('Tagging key'!D:D, MATCH(F394,'Tagging key'!C:C,0)),"")</f>
        <v>66.510000000000005</v>
      </c>
      <c r="I394" s="3">
        <f>IFERROR(INDEX('Tagging key'!E:E, MATCH(F394,'Tagging key'!C:C,0)),"")</f>
        <v>49.28</v>
      </c>
      <c r="J394" s="3">
        <f>IFERROR(INDEX('Tagging key'!F:F, MATCH(F394,'Tagging key'!C:C,0)),"")</f>
        <v>13.18</v>
      </c>
      <c r="K394" s="3">
        <v>24.177</v>
      </c>
      <c r="L394" s="3">
        <v>66.37</v>
      </c>
      <c r="M394" s="3">
        <v>47.16</v>
      </c>
      <c r="N394" s="3">
        <v>14.87</v>
      </c>
      <c r="O394" s="3"/>
      <c r="P394" s="22">
        <v>45882</v>
      </c>
      <c r="Q394" s="22">
        <v>45882</v>
      </c>
      <c r="R394" s="3">
        <v>14.143000000000001</v>
      </c>
      <c r="S394" t="s">
        <v>741</v>
      </c>
    </row>
    <row r="395" spans="1:19" x14ac:dyDescent="0.25">
      <c r="A395" s="8">
        <v>11</v>
      </c>
      <c r="B395" s="8">
        <v>9</v>
      </c>
      <c r="C395" s="8" t="s">
        <v>248</v>
      </c>
      <c r="D395" s="8" t="s">
        <v>16</v>
      </c>
      <c r="E395" s="8" t="s">
        <v>66</v>
      </c>
      <c r="F395" s="8" t="s">
        <v>748</v>
      </c>
      <c r="G395" s="3">
        <v>40.409999999999997</v>
      </c>
      <c r="H395" s="3">
        <f>IFERROR(INDEX('Tagging key'!D:D, MATCH(F395,'Tagging key'!C:C,0)),"")</f>
        <v>75.2</v>
      </c>
      <c r="I395" s="3">
        <f>IFERROR(INDEX('Tagging key'!E:E, MATCH(F395,'Tagging key'!C:C,0)),"")</f>
        <v>48.97</v>
      </c>
      <c r="J395" s="3">
        <f>IFERROR(INDEX('Tagging key'!F:F, MATCH(F395,'Tagging key'!C:C,0)),"")</f>
        <v>20.37</v>
      </c>
      <c r="K395" s="3">
        <v>39.892000000000003</v>
      </c>
      <c r="L395" s="3">
        <v>75.930000000000007</v>
      </c>
      <c r="M395" s="3">
        <v>45.11</v>
      </c>
      <c r="N395" s="3">
        <v>22.36</v>
      </c>
      <c r="O395" s="3"/>
      <c r="P395" s="22">
        <v>45877</v>
      </c>
      <c r="Q395" s="22">
        <v>45877</v>
      </c>
      <c r="R395" s="3"/>
    </row>
    <row r="396" spans="1:19" x14ac:dyDescent="0.25">
      <c r="A396" s="8">
        <v>11</v>
      </c>
      <c r="B396" s="8">
        <v>9</v>
      </c>
      <c r="C396" s="8" t="s">
        <v>248</v>
      </c>
      <c r="D396" s="8" t="s">
        <v>16</v>
      </c>
      <c r="E396" s="8" t="s">
        <v>576</v>
      </c>
      <c r="F396" s="8" t="s">
        <v>749</v>
      </c>
      <c r="G396" s="3">
        <v>30.646000000000001</v>
      </c>
      <c r="H396" s="3">
        <f>IFERROR(INDEX('Tagging key'!D:D, MATCH(F396,'Tagging key'!C:C,0)),"")</f>
        <v>63.32</v>
      </c>
      <c r="I396" s="3">
        <f>IFERROR(INDEX('Tagging key'!E:E, MATCH(F396,'Tagging key'!C:C,0)),"")</f>
        <v>45.03</v>
      </c>
      <c r="J396" s="3">
        <f>IFERROR(INDEX('Tagging key'!F:F, MATCH(F396,'Tagging key'!C:C,0)),"")</f>
        <v>17.43</v>
      </c>
      <c r="K396" s="3">
        <v>30.492999999999999</v>
      </c>
      <c r="L396" s="3">
        <v>64.040000000000006</v>
      </c>
      <c r="M396" s="3">
        <v>45.21</v>
      </c>
      <c r="N396" s="3">
        <v>17.3</v>
      </c>
      <c r="O396" s="3"/>
      <c r="P396" s="22">
        <v>45886</v>
      </c>
      <c r="Q396" s="22">
        <v>45886</v>
      </c>
      <c r="R396" s="3">
        <v>20.448</v>
      </c>
    </row>
    <row r="397" spans="1:19" x14ac:dyDescent="0.25">
      <c r="A397" s="8">
        <v>11</v>
      </c>
      <c r="B397" s="8">
        <v>9</v>
      </c>
      <c r="C397" s="8" t="s">
        <v>248</v>
      </c>
      <c r="D397" s="8" t="s">
        <v>16</v>
      </c>
      <c r="E397" s="8" t="s">
        <v>70</v>
      </c>
      <c r="F397" s="8" t="s">
        <v>750</v>
      </c>
      <c r="G397" s="3">
        <v>48.55</v>
      </c>
      <c r="H397" s="3">
        <f>IFERROR(INDEX('Tagging key'!D:D, MATCH(F397,'Tagging key'!C:C,0)),"")</f>
        <v>75.95</v>
      </c>
      <c r="I397" s="3">
        <f>IFERROR(INDEX('Tagging key'!E:E, MATCH(F397,'Tagging key'!C:C,0)),"")</f>
        <v>53.48</v>
      </c>
      <c r="J397" s="3">
        <f>IFERROR(INDEX('Tagging key'!F:F, MATCH(F397,'Tagging key'!C:C,0)),"")</f>
        <v>17.32</v>
      </c>
      <c r="K397" s="3">
        <v>48.265000000000001</v>
      </c>
      <c r="L397" s="3">
        <v>77.63</v>
      </c>
      <c r="M397" s="3">
        <v>48.82</v>
      </c>
      <c r="N397" s="3">
        <v>19.61</v>
      </c>
      <c r="O397" s="3"/>
      <c r="P397" s="22">
        <v>45879</v>
      </c>
      <c r="Q397" s="22">
        <v>45879</v>
      </c>
      <c r="R397" s="3"/>
      <c r="S397" t="s">
        <v>741</v>
      </c>
    </row>
    <row r="398" spans="1:19" x14ac:dyDescent="0.25">
      <c r="A398" s="9">
        <v>12</v>
      </c>
      <c r="B398" s="9">
        <v>1</v>
      </c>
      <c r="C398" s="9" t="s">
        <v>176</v>
      </c>
      <c r="D398" s="9" t="s">
        <v>16</v>
      </c>
      <c r="E398" s="9" t="s">
        <v>751</v>
      </c>
      <c r="F398" s="9" t="s">
        <v>752</v>
      </c>
      <c r="G398" s="3">
        <v>33.948</v>
      </c>
      <c r="H398" s="3">
        <f>IFERROR(INDEX('Tagging key'!D:D, MATCH(F398,'Tagging key'!C:C,0)),"")</f>
        <v>79.34</v>
      </c>
      <c r="I398" s="3">
        <f>IFERROR(INDEX('Tagging key'!E:E, MATCH(F398,'Tagging key'!C:C,0)),"")</f>
        <v>42.43</v>
      </c>
      <c r="J398" s="3">
        <f>IFERROR(INDEX('Tagging key'!F:F, MATCH(F398,'Tagging key'!C:C,0)),"")</f>
        <v>14.5</v>
      </c>
      <c r="K398" s="3">
        <v>33.869</v>
      </c>
      <c r="L398" s="3">
        <v>79.52</v>
      </c>
      <c r="M398" s="3">
        <v>40.520000000000003</v>
      </c>
      <c r="N398" s="3">
        <v>16.5</v>
      </c>
      <c r="O398" s="3"/>
      <c r="P398" s="22">
        <v>45882</v>
      </c>
      <c r="Q398" s="22">
        <v>45882</v>
      </c>
      <c r="R398" s="3">
        <v>22.324000000000002</v>
      </c>
    </row>
    <row r="399" spans="1:19" x14ac:dyDescent="0.25">
      <c r="A399" s="9">
        <v>12</v>
      </c>
      <c r="B399" s="9">
        <v>1</v>
      </c>
      <c r="C399" s="9" t="s">
        <v>176</v>
      </c>
      <c r="D399" s="9" t="s">
        <v>16</v>
      </c>
      <c r="E399" s="9" t="s">
        <v>602</v>
      </c>
      <c r="F399" s="9" t="s">
        <v>753</v>
      </c>
      <c r="G399" s="3">
        <v>31.66</v>
      </c>
      <c r="H399" s="3">
        <f>IFERROR(INDEX('Tagging key'!D:D, MATCH(F399,'Tagging key'!C:C,0)),"")</f>
        <v>57.55</v>
      </c>
      <c r="I399" s="3">
        <f>IFERROR(INDEX('Tagging key'!E:E, MATCH(F399,'Tagging key'!C:C,0)),"")</f>
        <v>47.75</v>
      </c>
      <c r="J399" s="3">
        <f>IFERROR(INDEX('Tagging key'!F:F, MATCH(F399,'Tagging key'!C:C,0)),"")</f>
        <v>18.03</v>
      </c>
      <c r="K399" s="3">
        <v>31.71</v>
      </c>
      <c r="L399" s="3">
        <v>57.05</v>
      </c>
      <c r="M399" s="3">
        <v>47.82</v>
      </c>
      <c r="N399" s="3">
        <v>18.84</v>
      </c>
      <c r="O399" s="3"/>
      <c r="P399" s="22">
        <v>45886</v>
      </c>
      <c r="Q399" s="22">
        <v>45886</v>
      </c>
      <c r="R399" s="3">
        <v>24.331</v>
      </c>
    </row>
    <row r="400" spans="1:19" x14ac:dyDescent="0.25">
      <c r="A400" s="9">
        <v>12</v>
      </c>
      <c r="B400" s="9">
        <v>1</v>
      </c>
      <c r="C400" s="9" t="s">
        <v>176</v>
      </c>
      <c r="D400" s="9" t="s">
        <v>16</v>
      </c>
      <c r="E400" s="9" t="s">
        <v>722</v>
      </c>
      <c r="F400" s="9" t="s">
        <v>754</v>
      </c>
      <c r="G400" s="3">
        <v>25.285</v>
      </c>
      <c r="H400" s="3">
        <f>IFERROR(INDEX('Tagging key'!D:D, MATCH(F400,'Tagging key'!C:C,0)),"")</f>
        <v>63.53</v>
      </c>
      <c r="I400" s="3">
        <f>IFERROR(INDEX('Tagging key'!E:E, MATCH(F400,'Tagging key'!C:C,0)),"")</f>
        <v>46.99</v>
      </c>
      <c r="J400" s="3">
        <f>IFERROR(INDEX('Tagging key'!F:F, MATCH(F400,'Tagging key'!C:C,0)),"")</f>
        <v>15.83</v>
      </c>
      <c r="K400" s="3">
        <v>24.972999999999999</v>
      </c>
      <c r="L400" s="3">
        <v>63.3</v>
      </c>
      <c r="M400" s="3">
        <v>46.61</v>
      </c>
      <c r="N400" s="3">
        <v>17.010000000000002</v>
      </c>
      <c r="O400" s="3"/>
      <c r="P400" s="22">
        <v>45877</v>
      </c>
      <c r="Q400" s="22">
        <v>45877</v>
      </c>
      <c r="R400" s="3"/>
    </row>
    <row r="401" spans="1:19" x14ac:dyDescent="0.25">
      <c r="A401" s="19">
        <v>12</v>
      </c>
      <c r="B401" s="19">
        <v>1</v>
      </c>
      <c r="C401" s="19" t="s">
        <v>176</v>
      </c>
      <c r="D401" s="19" t="s">
        <v>16</v>
      </c>
      <c r="E401" s="19" t="s">
        <v>755</v>
      </c>
      <c r="F401" s="19" t="s">
        <v>756</v>
      </c>
      <c r="G401" s="19">
        <v>30.23</v>
      </c>
      <c r="H401" s="19">
        <f>IFERROR(INDEX('Tagging key'!D:D, MATCH(F401,'Tagging key'!C:C,0)),"")</f>
        <v>60.95</v>
      </c>
      <c r="I401" s="19">
        <f>IFERROR(INDEX('Tagging key'!E:E, MATCH(F401,'Tagging key'!C:C,0)),"")</f>
        <v>39.520000000000003</v>
      </c>
      <c r="J401" s="19">
        <f>IFERROR(INDEX('Tagging key'!F:F, MATCH(F401,'Tagging key'!C:C,0)),"")</f>
        <v>18.48</v>
      </c>
      <c r="K401" s="19">
        <v>24.852</v>
      </c>
      <c r="L401" s="19">
        <v>60.83</v>
      </c>
      <c r="M401" s="19">
        <v>39.69</v>
      </c>
      <c r="N401" s="19">
        <v>19.170000000000002</v>
      </c>
      <c r="O401" s="19"/>
      <c r="P401" s="19"/>
      <c r="Q401" s="19"/>
      <c r="R401" s="19"/>
      <c r="S401" t="s">
        <v>757</v>
      </c>
    </row>
    <row r="402" spans="1:19" x14ac:dyDescent="0.25">
      <c r="A402" s="8">
        <v>12</v>
      </c>
      <c r="B402" s="8">
        <v>2</v>
      </c>
      <c r="C402" s="8" t="s">
        <v>176</v>
      </c>
      <c r="D402" s="8" t="s">
        <v>16</v>
      </c>
      <c r="E402" s="8" t="s">
        <v>758</v>
      </c>
      <c r="F402" s="8" t="s">
        <v>759</v>
      </c>
      <c r="G402" s="3">
        <v>34.314999999999998</v>
      </c>
      <c r="H402" s="3">
        <f>IFERROR(INDEX('Tagging key'!D:D, MATCH(F402,'Tagging key'!C:C,0)),"")</f>
        <v>75.58</v>
      </c>
      <c r="I402" s="3">
        <f>IFERROR(INDEX('Tagging key'!E:E, MATCH(F402,'Tagging key'!C:C,0)),"")</f>
        <v>56.43</v>
      </c>
      <c r="J402" s="3">
        <f>IFERROR(INDEX('Tagging key'!F:F, MATCH(F402,'Tagging key'!C:C,0)),"")</f>
        <v>13.27</v>
      </c>
      <c r="K402" s="3">
        <v>33.997</v>
      </c>
      <c r="L402" s="3">
        <v>75.89</v>
      </c>
      <c r="M402" s="3">
        <v>52.95</v>
      </c>
      <c r="N402" s="3">
        <v>18.309999999999999</v>
      </c>
      <c r="O402" s="3"/>
      <c r="P402" s="22">
        <v>45882</v>
      </c>
      <c r="Q402" s="22">
        <v>45882</v>
      </c>
      <c r="R402" s="3"/>
    </row>
    <row r="403" spans="1:19" x14ac:dyDescent="0.25">
      <c r="A403" s="8">
        <v>12</v>
      </c>
      <c r="B403" s="8">
        <v>2</v>
      </c>
      <c r="C403" s="8" t="s">
        <v>176</v>
      </c>
      <c r="D403" s="8" t="s">
        <v>16</v>
      </c>
      <c r="E403" s="8" t="s">
        <v>760</v>
      </c>
      <c r="F403" s="8" t="s">
        <v>761</v>
      </c>
      <c r="G403" s="3">
        <v>25.527999999999999</v>
      </c>
      <c r="H403" s="3">
        <f>IFERROR(INDEX('Tagging key'!D:D, MATCH(F403,'Tagging key'!C:C,0)),"")</f>
        <v>60.29</v>
      </c>
      <c r="I403" s="3">
        <f>IFERROR(INDEX('Tagging key'!E:E, MATCH(F403,'Tagging key'!C:C,0)),"")</f>
        <v>43.41</v>
      </c>
      <c r="J403" s="3">
        <f>IFERROR(INDEX('Tagging key'!F:F, MATCH(F403,'Tagging key'!C:C,0)),"")</f>
        <v>16.239999999999998</v>
      </c>
      <c r="K403" s="3">
        <v>25.337</v>
      </c>
      <c r="L403" s="3">
        <v>60.58</v>
      </c>
      <c r="M403" s="3">
        <v>43.62</v>
      </c>
      <c r="N403" s="3">
        <v>15.26</v>
      </c>
      <c r="O403" s="3"/>
      <c r="P403" s="22">
        <v>45877</v>
      </c>
      <c r="Q403" s="22">
        <v>45877</v>
      </c>
      <c r="R403" s="3"/>
    </row>
    <row r="404" spans="1:19" x14ac:dyDescent="0.25">
      <c r="A404" s="8">
        <v>12</v>
      </c>
      <c r="B404" s="8">
        <v>2</v>
      </c>
      <c r="C404" s="8" t="s">
        <v>176</v>
      </c>
      <c r="D404" s="8" t="s">
        <v>16</v>
      </c>
      <c r="E404" s="8" t="s">
        <v>662</v>
      </c>
      <c r="F404" s="8" t="s">
        <v>762</v>
      </c>
      <c r="G404" s="3">
        <v>35.563000000000002</v>
      </c>
      <c r="H404" s="3">
        <f>IFERROR(INDEX('Tagging key'!D:D, MATCH(F404,'Tagging key'!C:C,0)),"")</f>
        <v>77.97</v>
      </c>
      <c r="I404" s="3">
        <f>IFERROR(INDEX('Tagging key'!E:E, MATCH(F404,'Tagging key'!C:C,0)),"")</f>
        <v>40.86</v>
      </c>
      <c r="J404" s="3">
        <f>IFERROR(INDEX('Tagging key'!F:F, MATCH(F404,'Tagging key'!C:C,0)),"")</f>
        <v>17.27</v>
      </c>
      <c r="K404" s="3">
        <v>35.505000000000003</v>
      </c>
      <c r="L404" s="3">
        <v>78.47</v>
      </c>
      <c r="M404" s="3">
        <v>43.66</v>
      </c>
      <c r="N404" s="3">
        <v>17.78</v>
      </c>
      <c r="O404" s="3"/>
      <c r="P404" s="22">
        <v>45879</v>
      </c>
      <c r="Q404" s="22">
        <v>45879</v>
      </c>
      <c r="R404" s="3"/>
    </row>
    <row r="405" spans="1:19" x14ac:dyDescent="0.25">
      <c r="A405" s="8">
        <v>12</v>
      </c>
      <c r="B405" s="8">
        <v>2</v>
      </c>
      <c r="C405" s="8" t="s">
        <v>176</v>
      </c>
      <c r="D405" s="8" t="s">
        <v>16</v>
      </c>
      <c r="E405" s="8" t="s">
        <v>763</v>
      </c>
      <c r="F405" s="8" t="s">
        <v>764</v>
      </c>
      <c r="G405" s="3">
        <v>27.137</v>
      </c>
      <c r="H405" s="3">
        <f>IFERROR(INDEX('Tagging key'!D:D, MATCH(F405,'Tagging key'!C:C,0)),"")</f>
        <v>72.33</v>
      </c>
      <c r="I405" s="3">
        <f>IFERROR(INDEX('Tagging key'!E:E, MATCH(F405,'Tagging key'!C:C,0)),"")</f>
        <v>45.38</v>
      </c>
      <c r="J405" s="3">
        <f>IFERROR(INDEX('Tagging key'!F:F, MATCH(F405,'Tagging key'!C:C,0)),"")</f>
        <v>14.18</v>
      </c>
      <c r="K405" s="3">
        <v>26.841999999999999</v>
      </c>
      <c r="L405" s="3">
        <v>72.34</v>
      </c>
      <c r="M405" s="3">
        <v>44.83</v>
      </c>
      <c r="N405" s="3">
        <v>14.45</v>
      </c>
      <c r="O405" s="3"/>
      <c r="P405" s="22">
        <v>45886</v>
      </c>
      <c r="Q405" s="22">
        <v>45886</v>
      </c>
      <c r="R405" s="3"/>
    </row>
    <row r="406" spans="1:19" x14ac:dyDescent="0.25">
      <c r="A406" s="9">
        <v>12</v>
      </c>
      <c r="B406" s="9">
        <v>3</v>
      </c>
      <c r="C406" s="9" t="s">
        <v>176</v>
      </c>
      <c r="D406" s="9" t="s">
        <v>16</v>
      </c>
      <c r="E406" s="9" t="s">
        <v>196</v>
      </c>
      <c r="F406" s="9" t="s">
        <v>765</v>
      </c>
      <c r="G406" s="3">
        <v>21.861999999999998</v>
      </c>
      <c r="H406" s="3">
        <f>IFERROR(INDEX('Tagging key'!D:D, MATCH(F406,'Tagging key'!C:C,0)),"")</f>
        <v>71.22</v>
      </c>
      <c r="I406" s="3">
        <f>IFERROR(INDEX('Tagging key'!E:E, MATCH(F406,'Tagging key'!C:C,0)),"")</f>
        <v>39.49</v>
      </c>
      <c r="J406" s="3">
        <f>IFERROR(INDEX('Tagging key'!F:F, MATCH(F406,'Tagging key'!C:C,0)),"")</f>
        <v>15.45</v>
      </c>
      <c r="K406" s="3">
        <v>21.745999999999999</v>
      </c>
      <c r="L406" s="3">
        <v>72.260000000000005</v>
      </c>
      <c r="M406" s="3">
        <v>39.78</v>
      </c>
      <c r="N406" s="3">
        <v>15.95</v>
      </c>
      <c r="O406" s="3"/>
      <c r="P406" s="22">
        <v>45879</v>
      </c>
      <c r="Q406" s="22">
        <v>45879</v>
      </c>
      <c r="R406" s="3"/>
    </row>
    <row r="407" spans="1:19" x14ac:dyDescent="0.25">
      <c r="A407" s="9">
        <v>12</v>
      </c>
      <c r="B407" s="9">
        <v>3</v>
      </c>
      <c r="C407" s="9" t="s">
        <v>176</v>
      </c>
      <c r="D407" s="9" t="s">
        <v>16</v>
      </c>
      <c r="E407" s="9" t="s">
        <v>249</v>
      </c>
      <c r="F407" s="9" t="s">
        <v>766</v>
      </c>
      <c r="G407" s="3">
        <v>36.701999999999998</v>
      </c>
      <c r="H407" s="3">
        <f>IFERROR(INDEX('Tagging key'!D:D, MATCH(F407,'Tagging key'!C:C,0)),"")</f>
        <v>60.55</v>
      </c>
      <c r="I407" s="3">
        <f>IFERROR(INDEX('Tagging key'!E:E, MATCH(F407,'Tagging key'!C:C,0)),"")</f>
        <v>48.09</v>
      </c>
      <c r="J407" s="3">
        <f>IFERROR(INDEX('Tagging key'!F:F, MATCH(F407,'Tagging key'!C:C,0)),"")</f>
        <v>22.31</v>
      </c>
      <c r="K407" s="3">
        <v>36.764000000000003</v>
      </c>
      <c r="L407" s="3">
        <v>61.88</v>
      </c>
      <c r="M407" s="3">
        <v>47.86</v>
      </c>
      <c r="N407" s="3">
        <v>22.01</v>
      </c>
      <c r="O407" s="3"/>
      <c r="P407" s="22">
        <v>45886</v>
      </c>
      <c r="Q407" s="22">
        <v>45886</v>
      </c>
      <c r="R407" s="3">
        <v>24.177</v>
      </c>
    </row>
    <row r="408" spans="1:19" x14ac:dyDescent="0.25">
      <c r="A408" s="9">
        <v>12</v>
      </c>
      <c r="B408" s="9">
        <v>3</v>
      </c>
      <c r="C408" s="9" t="s">
        <v>176</v>
      </c>
      <c r="D408" s="9" t="s">
        <v>16</v>
      </c>
      <c r="E408" s="9" t="s">
        <v>767</v>
      </c>
      <c r="F408" s="9" t="s">
        <v>768</v>
      </c>
      <c r="G408" s="3">
        <v>30.831</v>
      </c>
      <c r="H408" s="3">
        <f>IFERROR(INDEX('Tagging key'!D:D, MATCH(F408,'Tagging key'!C:C,0)),"")</f>
        <v>64.900000000000006</v>
      </c>
      <c r="I408" s="3">
        <f>IFERROR(INDEX('Tagging key'!E:E, MATCH(F408,'Tagging key'!C:C,0)),"")</f>
        <v>42.12</v>
      </c>
      <c r="J408" s="3">
        <f>IFERROR(INDEX('Tagging key'!F:F, MATCH(F408,'Tagging key'!C:C,0)),"")</f>
        <v>16.670000000000002</v>
      </c>
      <c r="K408" s="3">
        <v>30.88</v>
      </c>
      <c r="L408" s="3">
        <v>64.42</v>
      </c>
      <c r="M408" s="3">
        <v>41.58</v>
      </c>
      <c r="N408" s="3">
        <v>16.760000000000002</v>
      </c>
      <c r="O408" s="3"/>
      <c r="P408" s="22">
        <v>45882</v>
      </c>
      <c r="Q408" s="22">
        <v>45882</v>
      </c>
      <c r="R408" s="3">
        <v>21.821000000000002</v>
      </c>
    </row>
    <row r="409" spans="1:19" x14ac:dyDescent="0.25">
      <c r="A409" s="9">
        <v>12</v>
      </c>
      <c r="B409" s="9">
        <v>3</v>
      </c>
      <c r="C409" s="9" t="s">
        <v>176</v>
      </c>
      <c r="D409" s="9" t="s">
        <v>16</v>
      </c>
      <c r="E409" s="9" t="s">
        <v>769</v>
      </c>
      <c r="F409" s="9" t="s">
        <v>770</v>
      </c>
      <c r="G409" s="3">
        <v>58.308</v>
      </c>
      <c r="H409" s="3">
        <f>IFERROR(INDEX('Tagging key'!D:D, MATCH(F409,'Tagging key'!C:C,0)),"")</f>
        <v>69.86</v>
      </c>
      <c r="I409" s="3">
        <f>IFERROR(INDEX('Tagging key'!E:E, MATCH(F409,'Tagging key'!C:C,0)),"")</f>
        <v>52.21</v>
      </c>
      <c r="J409" s="3">
        <f>IFERROR(INDEX('Tagging key'!F:F, MATCH(F409,'Tagging key'!C:C,0)),"")</f>
        <v>22.14</v>
      </c>
      <c r="K409" s="3">
        <v>58.091000000000001</v>
      </c>
      <c r="L409" s="3">
        <v>65.31</v>
      </c>
      <c r="M409" s="3">
        <v>44.28</v>
      </c>
      <c r="N409" s="3">
        <v>34.18</v>
      </c>
      <c r="O409" s="3"/>
      <c r="P409" s="22">
        <v>45877</v>
      </c>
      <c r="Q409" s="22">
        <v>45877</v>
      </c>
      <c r="R409" s="3"/>
      <c r="S409" t="s">
        <v>771</v>
      </c>
    </row>
    <row r="410" spans="1:19" x14ac:dyDescent="0.25">
      <c r="A410" s="11">
        <v>12</v>
      </c>
      <c r="B410" s="11">
        <v>4</v>
      </c>
      <c r="C410" s="11" t="s">
        <v>176</v>
      </c>
      <c r="D410" s="11" t="s">
        <v>46</v>
      </c>
      <c r="E410" s="11" t="s">
        <v>772</v>
      </c>
      <c r="F410" s="11" t="s">
        <v>773</v>
      </c>
      <c r="G410" s="3">
        <v>72.763000000000005</v>
      </c>
      <c r="H410" s="3">
        <f>IFERROR(INDEX('Tagging key'!D:D, MATCH(F410,'Tagging key'!C:C,0)),"")</f>
        <v>95.17</v>
      </c>
      <c r="I410" s="3">
        <f>IFERROR(INDEX('Tagging key'!E:E, MATCH(F410,'Tagging key'!C:C,0)),"")</f>
        <v>48.4</v>
      </c>
      <c r="J410" s="3">
        <f>IFERROR(INDEX('Tagging key'!F:F, MATCH(F410,'Tagging key'!C:C,0)),"")</f>
        <v>30.62</v>
      </c>
      <c r="K410" s="3">
        <v>74.388000000000005</v>
      </c>
      <c r="L410" s="3">
        <v>94.81</v>
      </c>
      <c r="M410" s="3">
        <v>43.52</v>
      </c>
      <c r="N410" s="3">
        <v>35.89</v>
      </c>
      <c r="O410" s="3"/>
      <c r="P410" s="22">
        <v>45877</v>
      </c>
      <c r="Q410" s="22">
        <v>45877</v>
      </c>
      <c r="R410" s="3"/>
    </row>
    <row r="411" spans="1:19" x14ac:dyDescent="0.25">
      <c r="A411" s="11">
        <v>12</v>
      </c>
      <c r="B411" s="11">
        <v>4</v>
      </c>
      <c r="C411" s="11" t="s">
        <v>176</v>
      </c>
      <c r="D411" s="11" t="s">
        <v>46</v>
      </c>
      <c r="E411" s="11" t="s">
        <v>427</v>
      </c>
      <c r="F411" s="11" t="s">
        <v>428</v>
      </c>
      <c r="G411" s="3">
        <v>38.656999999999996</v>
      </c>
      <c r="H411" s="3">
        <f>IFERROR(INDEX('Tagging key'!D:D, MATCH(F411,'Tagging key'!C:C,0)),"")</f>
        <v>68.959999999999994</v>
      </c>
      <c r="I411" s="3">
        <f>IFERROR(INDEX('Tagging key'!E:E, MATCH(F411,'Tagging key'!C:C,0)),"")</f>
        <v>38.64</v>
      </c>
      <c r="J411" s="3">
        <f>IFERROR(INDEX('Tagging key'!F:F, MATCH(F411,'Tagging key'!C:C,0)),"")</f>
        <v>27.79</v>
      </c>
      <c r="K411" s="3">
        <v>34.389000000000003</v>
      </c>
      <c r="L411" s="3">
        <v>70.83</v>
      </c>
      <c r="M411" s="3">
        <v>39.15</v>
      </c>
      <c r="N411" s="3">
        <v>26.14</v>
      </c>
      <c r="O411" s="3"/>
      <c r="P411" s="22">
        <v>45879</v>
      </c>
      <c r="Q411" s="22">
        <v>45879</v>
      </c>
      <c r="R411" s="3"/>
    </row>
    <row r="412" spans="1:19" x14ac:dyDescent="0.25">
      <c r="A412" s="11">
        <v>12</v>
      </c>
      <c r="B412" s="11">
        <v>4</v>
      </c>
      <c r="C412" s="11" t="s">
        <v>176</v>
      </c>
      <c r="D412" s="11" t="s">
        <v>46</v>
      </c>
      <c r="E412" s="11" t="s">
        <v>314</v>
      </c>
      <c r="F412" s="11" t="s">
        <v>774</v>
      </c>
      <c r="G412" s="3">
        <v>45.555</v>
      </c>
      <c r="H412" s="3">
        <f>IFERROR(INDEX('Tagging key'!D:D, MATCH(F412,'Tagging key'!C:C,0)),"")</f>
        <v>78</v>
      </c>
      <c r="I412" s="3">
        <f>IFERROR(INDEX('Tagging key'!E:E, MATCH(F412,'Tagging key'!C:C,0)),"")</f>
        <v>38</v>
      </c>
      <c r="J412" s="3">
        <f>IFERROR(INDEX('Tagging key'!F:F, MATCH(F412,'Tagging key'!C:C,0)),"")</f>
        <v>28.41</v>
      </c>
      <c r="K412" s="3">
        <v>45.926000000000002</v>
      </c>
      <c r="L412" s="3">
        <v>77.260000000000005</v>
      </c>
      <c r="M412" s="3">
        <v>37.229999999999997</v>
      </c>
      <c r="N412" s="3">
        <v>28.93</v>
      </c>
      <c r="O412" s="3"/>
      <c r="P412" s="22">
        <v>45882</v>
      </c>
      <c r="Q412" s="22">
        <v>45882</v>
      </c>
      <c r="R412" s="3">
        <v>17.056999999999999</v>
      </c>
    </row>
    <row r="413" spans="1:19" x14ac:dyDescent="0.25">
      <c r="A413" s="11">
        <v>12</v>
      </c>
      <c r="B413" s="11">
        <v>4</v>
      </c>
      <c r="C413" s="11" t="s">
        <v>176</v>
      </c>
      <c r="D413" s="11" t="s">
        <v>46</v>
      </c>
      <c r="E413" s="11" t="s">
        <v>775</v>
      </c>
      <c r="F413" s="11" t="s">
        <v>776</v>
      </c>
      <c r="G413" s="3">
        <v>38.340000000000003</v>
      </c>
      <c r="H413" s="3">
        <f>IFERROR(INDEX('Tagging key'!D:D, MATCH(F413,'Tagging key'!C:C,0)),"")</f>
        <v>72.13</v>
      </c>
      <c r="I413" s="3">
        <f>IFERROR(INDEX('Tagging key'!E:E, MATCH(F413,'Tagging key'!C:C,0)),"")</f>
        <v>38.270000000000003</v>
      </c>
      <c r="J413" s="3">
        <f>IFERROR(INDEX('Tagging key'!F:F, MATCH(F413,'Tagging key'!C:C,0)),"")</f>
        <v>29.51</v>
      </c>
      <c r="K413" s="3">
        <v>38.860999999999997</v>
      </c>
      <c r="L413" s="3">
        <v>72.36</v>
      </c>
      <c r="M413" s="3">
        <v>34.29</v>
      </c>
      <c r="N413" s="3">
        <v>29.97</v>
      </c>
      <c r="O413" s="3"/>
      <c r="P413" s="22">
        <v>45886</v>
      </c>
      <c r="Q413" s="22">
        <v>45886</v>
      </c>
      <c r="R413" s="3"/>
    </row>
    <row r="414" spans="1:19" x14ac:dyDescent="0.25">
      <c r="A414" s="12">
        <v>12</v>
      </c>
      <c r="B414" s="12">
        <v>5</v>
      </c>
      <c r="C414" s="12" t="s">
        <v>176</v>
      </c>
      <c r="D414" s="12" t="s">
        <v>46</v>
      </c>
      <c r="E414" s="12" t="s">
        <v>525</v>
      </c>
      <c r="F414" s="12" t="s">
        <v>777</v>
      </c>
      <c r="G414" s="3">
        <v>59.518000000000001</v>
      </c>
      <c r="H414" s="3">
        <f>IFERROR(INDEX('Tagging key'!D:D, MATCH(F414,'Tagging key'!C:C,0)),"")</f>
        <v>83.64</v>
      </c>
      <c r="I414" s="3">
        <f>IFERROR(INDEX('Tagging key'!E:E, MATCH(F414,'Tagging key'!C:C,0)),"")</f>
        <v>39.229999999999997</v>
      </c>
      <c r="J414" s="3">
        <f>IFERROR(INDEX('Tagging key'!F:F, MATCH(F414,'Tagging key'!C:C,0)),"")</f>
        <v>32.979999999999997</v>
      </c>
      <c r="K414" s="3">
        <v>60.14</v>
      </c>
      <c r="L414" s="3">
        <v>83.7</v>
      </c>
      <c r="M414" s="3">
        <v>38.64</v>
      </c>
      <c r="N414" s="3">
        <v>34.177999999999997</v>
      </c>
      <c r="O414" s="3"/>
      <c r="P414" s="22">
        <v>45877</v>
      </c>
      <c r="Q414" s="22">
        <v>45877</v>
      </c>
      <c r="R414" s="3"/>
    </row>
    <row r="415" spans="1:19" x14ac:dyDescent="0.25">
      <c r="A415" s="12">
        <v>12</v>
      </c>
      <c r="B415" s="12">
        <v>5</v>
      </c>
      <c r="C415" s="12" t="s">
        <v>176</v>
      </c>
      <c r="D415" s="12" t="s">
        <v>46</v>
      </c>
      <c r="E415" s="12" t="s">
        <v>112</v>
      </c>
      <c r="F415" s="12" t="s">
        <v>778</v>
      </c>
      <c r="G415" s="3">
        <v>35.558</v>
      </c>
      <c r="H415" s="3">
        <f>IFERROR(INDEX('Tagging key'!D:D, MATCH(F415,'Tagging key'!C:C,0)),"")</f>
        <v>75.22</v>
      </c>
      <c r="I415" s="3">
        <f>IFERROR(INDEX('Tagging key'!E:E, MATCH(F415,'Tagging key'!C:C,0)),"")</f>
        <v>35.700000000000003</v>
      </c>
      <c r="J415" s="3">
        <f>IFERROR(INDEX('Tagging key'!F:F, MATCH(F415,'Tagging key'!C:C,0)),"")</f>
        <v>27.46</v>
      </c>
      <c r="K415" s="3">
        <v>36.351999999999997</v>
      </c>
      <c r="L415" s="3">
        <v>74.72</v>
      </c>
      <c r="M415" s="3">
        <v>35.32</v>
      </c>
      <c r="N415" s="3">
        <v>28.31</v>
      </c>
      <c r="O415" s="3"/>
      <c r="P415" s="22">
        <v>45882</v>
      </c>
      <c r="Q415" s="22">
        <v>45882</v>
      </c>
      <c r="R415" s="3">
        <v>11.702999999999999</v>
      </c>
    </row>
    <row r="416" spans="1:19" x14ac:dyDescent="0.25">
      <c r="A416" s="12">
        <v>12</v>
      </c>
      <c r="B416" s="12">
        <v>5</v>
      </c>
      <c r="C416" s="12" t="s">
        <v>176</v>
      </c>
      <c r="D416" s="12" t="s">
        <v>46</v>
      </c>
      <c r="E416" s="12" t="s">
        <v>779</v>
      </c>
      <c r="F416" s="12" t="s">
        <v>780</v>
      </c>
      <c r="G416" s="3">
        <v>42.322000000000003</v>
      </c>
      <c r="H416" s="3">
        <f>IFERROR(INDEX('Tagging key'!D:D, MATCH(F416,'Tagging key'!C:C,0)),"")</f>
        <v>75</v>
      </c>
      <c r="I416" s="3">
        <f>IFERROR(INDEX('Tagging key'!E:E, MATCH(F416,'Tagging key'!C:C,0)),"")</f>
        <v>37</v>
      </c>
      <c r="J416" s="3">
        <f>IFERROR(INDEX('Tagging key'!F:F, MATCH(F416,'Tagging key'!C:C,0)),"")</f>
        <v>27</v>
      </c>
      <c r="K416" s="3">
        <v>42.674999999999997</v>
      </c>
      <c r="L416" s="3">
        <v>75.510000000000005</v>
      </c>
      <c r="M416" s="3">
        <v>37.96</v>
      </c>
      <c r="N416" s="3">
        <v>28.49</v>
      </c>
      <c r="O416" s="3"/>
      <c r="P416" s="22">
        <v>45879</v>
      </c>
      <c r="Q416" s="22">
        <v>45879</v>
      </c>
      <c r="R416" s="3"/>
    </row>
    <row r="417" spans="1:19" x14ac:dyDescent="0.25">
      <c r="A417" s="12">
        <v>12</v>
      </c>
      <c r="B417" s="12">
        <v>5</v>
      </c>
      <c r="C417" s="12" t="s">
        <v>176</v>
      </c>
      <c r="D417" s="12" t="s">
        <v>46</v>
      </c>
      <c r="E417" s="12" t="s">
        <v>781</v>
      </c>
      <c r="F417" s="12" t="s">
        <v>782</v>
      </c>
      <c r="G417" s="3">
        <v>49.26</v>
      </c>
      <c r="H417" s="3">
        <f>IFERROR(INDEX('Tagging key'!D:D, MATCH(F417,'Tagging key'!C:C,0)),"")</f>
        <v>80.86</v>
      </c>
      <c r="I417" s="3">
        <f>IFERROR(INDEX('Tagging key'!E:E, MATCH(F417,'Tagging key'!C:C,0)),"")</f>
        <v>40.35</v>
      </c>
      <c r="J417" s="3">
        <f>IFERROR(INDEX('Tagging key'!F:F, MATCH(F417,'Tagging key'!C:C,0)),"")</f>
        <v>30.51</v>
      </c>
      <c r="K417" s="3">
        <v>50.140999999999998</v>
      </c>
      <c r="L417" s="3">
        <v>80.489999999999995</v>
      </c>
      <c r="M417" s="3">
        <v>35.15</v>
      </c>
      <c r="N417" s="3">
        <v>31.25</v>
      </c>
      <c r="O417" s="3"/>
      <c r="P417" s="22">
        <v>45886</v>
      </c>
      <c r="Q417" s="22">
        <v>45886</v>
      </c>
      <c r="R417" s="3">
        <v>18.623000000000001</v>
      </c>
    </row>
    <row r="418" spans="1:19" x14ac:dyDescent="0.25">
      <c r="A418" s="11">
        <v>12</v>
      </c>
      <c r="B418" s="11">
        <v>6</v>
      </c>
      <c r="C418" s="11" t="s">
        <v>176</v>
      </c>
      <c r="D418" s="11" t="s">
        <v>46</v>
      </c>
      <c r="E418" s="11" t="s">
        <v>783</v>
      </c>
      <c r="F418" s="11" t="s">
        <v>784</v>
      </c>
      <c r="G418" s="3">
        <v>66.067999999999998</v>
      </c>
      <c r="H418" s="3">
        <f>IFERROR(INDEX('Tagging key'!D:D, MATCH(F418,'Tagging key'!C:C,0)),"")</f>
        <v>85</v>
      </c>
      <c r="I418" s="3">
        <f>IFERROR(INDEX('Tagging key'!E:E, MATCH(F418,'Tagging key'!C:C,0)),"")</f>
        <v>38</v>
      </c>
      <c r="J418" s="3">
        <f>IFERROR(INDEX('Tagging key'!F:F, MATCH(F418,'Tagging key'!C:C,0)),"")</f>
        <v>36</v>
      </c>
      <c r="K418" s="3">
        <v>66.337999999999994</v>
      </c>
      <c r="L418" s="3">
        <v>85.65</v>
      </c>
      <c r="M418" s="3">
        <v>38.35</v>
      </c>
      <c r="N418" s="3">
        <v>38.56</v>
      </c>
      <c r="O418" s="3"/>
      <c r="P418" s="22">
        <v>45882</v>
      </c>
      <c r="Q418" s="22">
        <v>45882</v>
      </c>
      <c r="R418" s="3">
        <v>9.2680000000000007</v>
      </c>
    </row>
    <row r="419" spans="1:19" x14ac:dyDescent="0.25">
      <c r="A419" s="11">
        <v>12</v>
      </c>
      <c r="B419" s="11">
        <v>6</v>
      </c>
      <c r="C419" s="11" t="s">
        <v>176</v>
      </c>
      <c r="D419" s="11" t="s">
        <v>46</v>
      </c>
      <c r="E419" s="11" t="s">
        <v>612</v>
      </c>
      <c r="F419" s="11" t="s">
        <v>785</v>
      </c>
      <c r="G419" s="3">
        <v>62.646000000000001</v>
      </c>
      <c r="H419" s="3">
        <f>IFERROR(INDEX('Tagging key'!D:D, MATCH(F419,'Tagging key'!C:C,0)),"")</f>
        <v>87.58</v>
      </c>
      <c r="I419" s="3">
        <f>IFERROR(INDEX('Tagging key'!E:E, MATCH(F419,'Tagging key'!C:C,0)),"")</f>
        <v>43.19</v>
      </c>
      <c r="J419" s="3">
        <f>IFERROR(INDEX('Tagging key'!F:F, MATCH(F419,'Tagging key'!C:C,0)),"")</f>
        <v>30.78</v>
      </c>
      <c r="K419" s="3">
        <v>64.180000000000007</v>
      </c>
      <c r="L419" s="3">
        <v>87.45</v>
      </c>
      <c r="M419" s="3">
        <v>39.659999999999997</v>
      </c>
      <c r="N419" s="3">
        <v>33.520000000000003</v>
      </c>
      <c r="O419" s="3"/>
      <c r="P419" s="22">
        <v>45886</v>
      </c>
      <c r="Q419" s="22">
        <v>45886</v>
      </c>
      <c r="R419" s="3">
        <v>22.454000000000001</v>
      </c>
    </row>
    <row r="420" spans="1:19" x14ac:dyDescent="0.25">
      <c r="A420" s="11">
        <v>12</v>
      </c>
      <c r="B420" s="11">
        <v>6</v>
      </c>
      <c r="C420" s="11" t="s">
        <v>176</v>
      </c>
      <c r="D420" s="11" t="s">
        <v>46</v>
      </c>
      <c r="E420" s="11" t="s">
        <v>786</v>
      </c>
      <c r="F420" s="11" t="s">
        <v>787</v>
      </c>
      <c r="G420" s="3">
        <v>40.002000000000002</v>
      </c>
      <c r="H420" s="3">
        <f>IFERROR(INDEX('Tagging key'!D:D, MATCH(F420,'Tagging key'!C:C,0)),"")</f>
        <v>75.11</v>
      </c>
      <c r="I420" s="3">
        <f>IFERROR(INDEX('Tagging key'!E:E, MATCH(F420,'Tagging key'!C:C,0)),"")</f>
        <v>43.52</v>
      </c>
      <c r="J420" s="3">
        <f>IFERROR(INDEX('Tagging key'!F:F, MATCH(F420,'Tagging key'!C:C,0)),"")</f>
        <v>25.45</v>
      </c>
      <c r="K420" s="3">
        <v>41.353999999999999</v>
      </c>
      <c r="L420" s="3">
        <v>76.709999999999994</v>
      </c>
      <c r="M420" s="3">
        <v>37.92</v>
      </c>
      <c r="N420" s="3">
        <v>27.92</v>
      </c>
      <c r="O420" s="3"/>
      <c r="P420" s="22">
        <v>45879</v>
      </c>
      <c r="Q420" s="22">
        <v>45879</v>
      </c>
      <c r="R420" s="3"/>
    </row>
    <row r="421" spans="1:19" x14ac:dyDescent="0.25">
      <c r="A421" s="11">
        <v>12</v>
      </c>
      <c r="B421" s="11">
        <v>6</v>
      </c>
      <c r="C421" s="11" t="s">
        <v>176</v>
      </c>
      <c r="D421" s="11" t="s">
        <v>46</v>
      </c>
      <c r="E421" s="11" t="s">
        <v>98</v>
      </c>
      <c r="F421" s="11" t="s">
        <v>788</v>
      </c>
      <c r="G421" s="3">
        <v>52.624000000000002</v>
      </c>
      <c r="H421" s="3">
        <f>IFERROR(INDEX('Tagging key'!D:D, MATCH(F421,'Tagging key'!C:C,0)),"")</f>
        <v>85</v>
      </c>
      <c r="I421" s="3">
        <f>IFERROR(INDEX('Tagging key'!E:E, MATCH(F421,'Tagging key'!C:C,0)),"")</f>
        <v>40</v>
      </c>
      <c r="J421" s="3">
        <f>IFERROR(INDEX('Tagging key'!F:F, MATCH(F421,'Tagging key'!C:C,0)),"")</f>
        <v>31</v>
      </c>
      <c r="K421" s="3">
        <v>56.768999999999998</v>
      </c>
      <c r="L421" s="3">
        <v>85.7</v>
      </c>
      <c r="M421" s="3">
        <v>40.61</v>
      </c>
      <c r="N421" s="3">
        <v>30.26</v>
      </c>
      <c r="O421" s="3"/>
      <c r="P421" s="22">
        <v>45877</v>
      </c>
      <c r="Q421" s="22">
        <v>45877</v>
      </c>
      <c r="R421" s="3"/>
    </row>
    <row r="422" spans="1:19" x14ac:dyDescent="0.25">
      <c r="A422" s="13">
        <v>12</v>
      </c>
      <c r="B422" s="13">
        <v>7</v>
      </c>
      <c r="C422" s="13" t="s">
        <v>176</v>
      </c>
      <c r="D422" s="13" t="s">
        <v>72</v>
      </c>
      <c r="E422" s="13" t="s">
        <v>789</v>
      </c>
      <c r="F422" s="13" t="str">
        <f>LEFT(D422,1)&amp;"_"&amp;E422</f>
        <v>S_G50B</v>
      </c>
      <c r="G422" s="3">
        <v>63.87</v>
      </c>
      <c r="H422" s="3">
        <f>IFERROR(INDEX('Tagging key'!D:D, MATCH(F422,'Tagging key'!C:C,0)),"")</f>
        <v>80.2</v>
      </c>
      <c r="I422" s="3">
        <f>IFERROR(INDEX('Tagging key'!E:E, MATCH(F422,'Tagging key'!C:C,0)),"")</f>
        <v>80.599999999999994</v>
      </c>
      <c r="J422" s="3">
        <f>IFERROR(INDEX('Tagging key'!F:F, MATCH(F422,'Tagging key'!C:C,0)),"")</f>
        <v>18.5</v>
      </c>
      <c r="K422" s="3">
        <v>60.143999999999998</v>
      </c>
      <c r="L422" s="3">
        <v>80.7</v>
      </c>
      <c r="M422" s="3">
        <v>81.010000000000005</v>
      </c>
      <c r="N422" s="3">
        <v>19.149999999999999</v>
      </c>
      <c r="O422" s="3"/>
      <c r="P422" s="22">
        <v>45877</v>
      </c>
      <c r="Q422" s="22">
        <v>45877</v>
      </c>
      <c r="R422" s="3"/>
      <c r="S422" t="s">
        <v>790</v>
      </c>
    </row>
    <row r="423" spans="1:19" x14ac:dyDescent="0.25">
      <c r="A423" s="13">
        <v>12</v>
      </c>
      <c r="B423" s="13">
        <v>7</v>
      </c>
      <c r="C423" s="13" t="s">
        <v>176</v>
      </c>
      <c r="D423" s="13" t="s">
        <v>72</v>
      </c>
      <c r="E423" s="13" t="s">
        <v>791</v>
      </c>
      <c r="F423" s="13" t="str">
        <f t="shared" ref="F423:F433" si="3">LEFT(D423,1)&amp;"_"&amp;E423</f>
        <v>S_Y90</v>
      </c>
      <c r="G423" s="3">
        <v>47.634</v>
      </c>
      <c r="H423" s="3">
        <f>IFERROR(INDEX('Tagging key'!D:D, MATCH(F423,'Tagging key'!C:C,0)),"")</f>
        <v>67</v>
      </c>
      <c r="I423" s="3">
        <f>IFERROR(INDEX('Tagging key'!E:E, MATCH(F423,'Tagging key'!C:C,0)),"")</f>
        <v>70</v>
      </c>
      <c r="J423" s="3">
        <f>IFERROR(INDEX('Tagging key'!F:F, MATCH(F423,'Tagging key'!C:C,0)),"")</f>
        <v>20</v>
      </c>
      <c r="K423" s="3">
        <v>44.43</v>
      </c>
      <c r="L423" s="3">
        <v>68.739999999999995</v>
      </c>
      <c r="M423" s="3">
        <v>70.650000000000006</v>
      </c>
      <c r="N423" s="3">
        <v>23.04</v>
      </c>
      <c r="O423" s="3"/>
      <c r="P423" s="22">
        <v>45879</v>
      </c>
      <c r="Q423" s="22">
        <v>45879</v>
      </c>
      <c r="R423" s="3">
        <v>28.007999999999999</v>
      </c>
      <c r="S423" t="s">
        <v>792</v>
      </c>
    </row>
    <row r="424" spans="1:19" x14ac:dyDescent="0.25">
      <c r="A424" s="13">
        <v>12</v>
      </c>
      <c r="B424" s="13">
        <v>7</v>
      </c>
      <c r="C424" s="13" t="s">
        <v>176</v>
      </c>
      <c r="D424" s="13" t="s">
        <v>72</v>
      </c>
      <c r="E424" s="13" t="s">
        <v>793</v>
      </c>
      <c r="F424" s="13" t="str">
        <f t="shared" si="3"/>
        <v>S_Y16</v>
      </c>
      <c r="G424" s="3">
        <v>44.228000000000002</v>
      </c>
      <c r="H424" s="3">
        <f>IFERROR(INDEX('Tagging key'!D:D, MATCH(F424,'Tagging key'!C:C,0)),"")</f>
        <v>67</v>
      </c>
      <c r="I424" s="3">
        <f>IFERROR(INDEX('Tagging key'!E:E, MATCH(F424,'Tagging key'!C:C,0)),"")</f>
        <v>70</v>
      </c>
      <c r="J424" s="3">
        <f>IFERROR(INDEX('Tagging key'!F:F, MATCH(F424,'Tagging key'!C:C,0)),"")</f>
        <v>19</v>
      </c>
      <c r="K424" s="3">
        <v>46.341999999999999</v>
      </c>
      <c r="L424" s="3">
        <v>70.2</v>
      </c>
      <c r="M424" s="3">
        <v>71.94</v>
      </c>
      <c r="N424" s="3">
        <v>19.8</v>
      </c>
      <c r="O424" s="3"/>
      <c r="P424" s="22">
        <v>45886</v>
      </c>
      <c r="Q424" s="22">
        <v>45886</v>
      </c>
      <c r="R424" s="3">
        <v>20.960999999999999</v>
      </c>
    </row>
    <row r="425" spans="1:19" x14ac:dyDescent="0.25">
      <c r="A425" s="13">
        <v>12</v>
      </c>
      <c r="B425" s="13">
        <v>7</v>
      </c>
      <c r="C425" s="13" t="s">
        <v>176</v>
      </c>
      <c r="D425" s="13" t="s">
        <v>72</v>
      </c>
      <c r="E425" s="13" t="s">
        <v>794</v>
      </c>
      <c r="F425" s="13" t="str">
        <f t="shared" si="3"/>
        <v>S_G47</v>
      </c>
      <c r="G425" s="3">
        <v>48.101999999999997</v>
      </c>
      <c r="H425" s="3">
        <f>IFERROR(INDEX('Tagging key'!D:D, MATCH(F425,'Tagging key'!C:C,0)),"")</f>
        <v>72</v>
      </c>
      <c r="I425" s="3">
        <f>IFERROR(INDEX('Tagging key'!E:E, MATCH(F425,'Tagging key'!C:C,0)),"")</f>
        <v>71</v>
      </c>
      <c r="J425" s="3">
        <f>IFERROR(INDEX('Tagging key'!F:F, MATCH(F425,'Tagging key'!C:C,0)),"")</f>
        <v>18</v>
      </c>
      <c r="K425" s="3">
        <v>47.673000000000002</v>
      </c>
      <c r="L425" s="3">
        <v>73.53</v>
      </c>
      <c r="M425" s="3">
        <v>73.430000000000007</v>
      </c>
      <c r="N425" s="3">
        <v>19.420000000000002</v>
      </c>
      <c r="O425" s="3"/>
      <c r="P425" s="22">
        <v>45882</v>
      </c>
      <c r="Q425" s="22">
        <v>45882</v>
      </c>
      <c r="R425" s="3"/>
    </row>
    <row r="426" spans="1:19" x14ac:dyDescent="0.25">
      <c r="A426" s="14">
        <v>12</v>
      </c>
      <c r="B426" s="14">
        <v>8</v>
      </c>
      <c r="C426" s="14" t="s">
        <v>176</v>
      </c>
      <c r="D426" s="14" t="s">
        <v>72</v>
      </c>
      <c r="E426" s="14" t="s">
        <v>795</v>
      </c>
      <c r="F426" s="14" t="str">
        <f t="shared" si="3"/>
        <v>S_G49</v>
      </c>
      <c r="G426" s="3">
        <v>72.144999999999996</v>
      </c>
      <c r="H426" s="3">
        <f>IFERROR(INDEX('Tagging key'!D:D, MATCH(F426,'Tagging key'!C:C,0)),"")</f>
        <v>77.67</v>
      </c>
      <c r="I426" s="3">
        <f>IFERROR(INDEX('Tagging key'!E:E, MATCH(F426,'Tagging key'!C:C,0)),"")</f>
        <v>83.89</v>
      </c>
      <c r="J426" s="3">
        <f>IFERROR(INDEX('Tagging key'!F:F, MATCH(F426,'Tagging key'!C:C,0)),"")</f>
        <v>22.37</v>
      </c>
      <c r="K426" s="3">
        <v>68.638999999999996</v>
      </c>
      <c r="L426" s="3">
        <v>78.489999999999995</v>
      </c>
      <c r="M426" s="3">
        <v>85.02</v>
      </c>
      <c r="N426" s="3">
        <v>23.81</v>
      </c>
      <c r="O426" s="3"/>
      <c r="P426" s="22">
        <v>45877</v>
      </c>
      <c r="Q426" s="22">
        <v>45877</v>
      </c>
      <c r="R426" s="3"/>
    </row>
    <row r="427" spans="1:19" x14ac:dyDescent="0.25">
      <c r="A427" s="14">
        <v>12</v>
      </c>
      <c r="B427" s="14">
        <v>8</v>
      </c>
      <c r="C427" s="14" t="s">
        <v>176</v>
      </c>
      <c r="D427" s="14" t="s">
        <v>72</v>
      </c>
      <c r="E427" s="14" t="s">
        <v>796</v>
      </c>
      <c r="F427" s="14" t="str">
        <f t="shared" si="3"/>
        <v>S_Y87</v>
      </c>
      <c r="G427" s="3">
        <v>51.034999999999997</v>
      </c>
      <c r="H427" s="3">
        <f>IFERROR(INDEX('Tagging key'!D:D, MATCH(F427,'Tagging key'!C:C,0)),"")</f>
        <v>75</v>
      </c>
      <c r="I427" s="3">
        <f>IFERROR(INDEX('Tagging key'!E:E, MATCH(F427,'Tagging key'!C:C,0)),"")</f>
        <v>74</v>
      </c>
      <c r="J427" s="3">
        <f>IFERROR(INDEX('Tagging key'!F:F, MATCH(F427,'Tagging key'!C:C,0)),"")</f>
        <v>17</v>
      </c>
      <c r="K427" s="3">
        <v>49.473999999999997</v>
      </c>
      <c r="L427" s="3">
        <v>76.44</v>
      </c>
      <c r="M427" s="3">
        <v>75.260000000000005</v>
      </c>
      <c r="N427" s="3">
        <v>19.71</v>
      </c>
      <c r="O427" s="3"/>
      <c r="P427" s="22">
        <v>45886</v>
      </c>
      <c r="Q427" s="22">
        <v>45886</v>
      </c>
      <c r="R427" s="3"/>
    </row>
    <row r="428" spans="1:19" x14ac:dyDescent="0.25">
      <c r="A428" s="14">
        <v>12</v>
      </c>
      <c r="B428" s="14">
        <v>8</v>
      </c>
      <c r="C428" s="14" t="s">
        <v>176</v>
      </c>
      <c r="D428" s="14" t="s">
        <v>72</v>
      </c>
      <c r="E428" s="14" t="s">
        <v>797</v>
      </c>
      <c r="F428" s="14" t="str">
        <f t="shared" si="3"/>
        <v>S_Y57</v>
      </c>
      <c r="G428" s="3">
        <v>61.607999999999997</v>
      </c>
      <c r="H428" s="3">
        <f>IFERROR(INDEX('Tagging key'!D:D, MATCH(F428,'Tagging key'!C:C,0)),"")</f>
        <v>75</v>
      </c>
      <c r="I428" s="3">
        <f>IFERROR(INDEX('Tagging key'!E:E, MATCH(F428,'Tagging key'!C:C,0)),"")</f>
        <v>77</v>
      </c>
      <c r="J428" s="3">
        <f>IFERROR(INDEX('Tagging key'!F:F, MATCH(F428,'Tagging key'!C:C,0)),"")</f>
        <v>21</v>
      </c>
      <c r="K428" s="3">
        <v>61.473999999999997</v>
      </c>
      <c r="L428" s="3">
        <v>74.94</v>
      </c>
      <c r="M428" s="3">
        <v>78.569999999999993</v>
      </c>
      <c r="N428" s="3">
        <v>23.22</v>
      </c>
      <c r="O428" s="3"/>
      <c r="P428" s="22">
        <v>45882</v>
      </c>
      <c r="Q428" s="22">
        <v>45882</v>
      </c>
      <c r="R428" s="3">
        <v>21.260999999999999</v>
      </c>
    </row>
    <row r="429" spans="1:19" x14ac:dyDescent="0.25">
      <c r="A429" s="14">
        <v>12</v>
      </c>
      <c r="B429" s="14">
        <v>8</v>
      </c>
      <c r="C429" s="14" t="s">
        <v>176</v>
      </c>
      <c r="D429" s="14" t="s">
        <v>72</v>
      </c>
      <c r="E429" s="14" t="s">
        <v>798</v>
      </c>
      <c r="F429" s="14" t="str">
        <f t="shared" si="3"/>
        <v>S_Y92</v>
      </c>
      <c r="G429" s="3">
        <v>50.048999999999999</v>
      </c>
      <c r="H429" s="3">
        <f>IFERROR(INDEX('Tagging key'!D:D, MATCH(F429,'Tagging key'!C:C,0)),"")</f>
        <v>70</v>
      </c>
      <c r="I429" s="3">
        <f>IFERROR(INDEX('Tagging key'!E:E, MATCH(F429,'Tagging key'!C:C,0)),"")</f>
        <v>73</v>
      </c>
      <c r="J429" s="3">
        <f>IFERROR(INDEX('Tagging key'!F:F, MATCH(F429,'Tagging key'!C:C,0)),"")</f>
        <v>17</v>
      </c>
      <c r="K429" s="3">
        <v>49.15</v>
      </c>
      <c r="L429" s="3">
        <v>72.11</v>
      </c>
      <c r="M429" s="3">
        <v>73.69</v>
      </c>
      <c r="N429" s="3">
        <v>20.75</v>
      </c>
      <c r="O429" s="3"/>
      <c r="P429" s="22">
        <v>45879</v>
      </c>
      <c r="Q429" s="22">
        <v>45879</v>
      </c>
      <c r="R429" s="3"/>
    </row>
    <row r="430" spans="1:19" x14ac:dyDescent="0.25">
      <c r="A430" s="13">
        <v>12</v>
      </c>
      <c r="B430" s="13">
        <v>9</v>
      </c>
      <c r="C430" s="13" t="s">
        <v>176</v>
      </c>
      <c r="D430" s="13" t="s">
        <v>72</v>
      </c>
      <c r="E430" s="13" t="s">
        <v>799</v>
      </c>
      <c r="F430" s="13" t="str">
        <f t="shared" si="3"/>
        <v>S_W60</v>
      </c>
      <c r="G430" s="3">
        <v>51.582000000000001</v>
      </c>
      <c r="H430" s="3">
        <f>IFERROR(INDEX('Tagging key'!D:D, MATCH(F430,'Tagging key'!C:C,0)),"")</f>
        <v>71</v>
      </c>
      <c r="I430" s="3">
        <f>IFERROR(INDEX('Tagging key'!E:E, MATCH(F430,'Tagging key'!C:C,0)),"")</f>
        <v>74</v>
      </c>
      <c r="J430" s="3">
        <f>IFERROR(INDEX('Tagging key'!F:F, MATCH(F430,'Tagging key'!C:C,0)),"")</f>
        <v>17</v>
      </c>
      <c r="K430" s="3">
        <v>51.323</v>
      </c>
      <c r="L430" s="3">
        <v>71.599999999999994</v>
      </c>
      <c r="M430" s="3">
        <v>75.98</v>
      </c>
      <c r="N430" s="3">
        <v>21.04</v>
      </c>
      <c r="O430" s="3"/>
      <c r="P430" s="22">
        <v>45886</v>
      </c>
      <c r="Q430" s="22">
        <v>45886</v>
      </c>
      <c r="R430" s="3">
        <v>24.145</v>
      </c>
    </row>
    <row r="431" spans="1:19" x14ac:dyDescent="0.25">
      <c r="A431" s="13">
        <v>12</v>
      </c>
      <c r="B431" s="13">
        <v>9</v>
      </c>
      <c r="C431" s="13" t="s">
        <v>176</v>
      </c>
      <c r="D431" s="13" t="s">
        <v>72</v>
      </c>
      <c r="E431" s="13" t="s">
        <v>800</v>
      </c>
      <c r="F431" s="13" t="str">
        <f>LEFT(D431,1)&amp;"_"&amp;E431</f>
        <v>S_W86</v>
      </c>
      <c r="G431" s="3">
        <v>40.718000000000004</v>
      </c>
      <c r="H431" s="3">
        <f>IFERROR(INDEX('Tagging key'!D:D, MATCH(F431,'Tagging key'!C:C,0)),"")</f>
        <v>66</v>
      </c>
      <c r="I431" s="3">
        <f>IFERROR(INDEX('Tagging key'!E:E, MATCH(F431,'Tagging key'!C:C,0)),"")</f>
        <v>68</v>
      </c>
      <c r="J431" s="3">
        <f>IFERROR(INDEX('Tagging key'!F:F, MATCH(F431,'Tagging key'!C:C,0)),"")</f>
        <v>19</v>
      </c>
      <c r="K431" s="3">
        <v>38.000999999999998</v>
      </c>
      <c r="L431" s="3">
        <v>66.72</v>
      </c>
      <c r="M431" s="3">
        <v>69.25</v>
      </c>
      <c r="N431" s="3">
        <v>18.739999999999998</v>
      </c>
      <c r="O431" s="3"/>
      <c r="P431" s="22">
        <v>45877</v>
      </c>
      <c r="Q431" s="22">
        <v>45877</v>
      </c>
      <c r="R431" s="3"/>
    </row>
    <row r="432" spans="1:19" x14ac:dyDescent="0.25">
      <c r="A432" s="13">
        <v>12</v>
      </c>
      <c r="B432" s="13">
        <v>9</v>
      </c>
      <c r="C432" s="13" t="s">
        <v>176</v>
      </c>
      <c r="D432" s="13" t="s">
        <v>72</v>
      </c>
      <c r="E432" s="13" t="s">
        <v>801</v>
      </c>
      <c r="F432" s="13" t="str">
        <f t="shared" si="3"/>
        <v>S_W77</v>
      </c>
      <c r="G432" s="3">
        <v>53.024999999999999</v>
      </c>
      <c r="H432" s="3">
        <f>IFERROR(INDEX('Tagging key'!D:D, MATCH(F432,'Tagging key'!C:C,0)),"")</f>
        <v>72</v>
      </c>
      <c r="I432" s="3">
        <f>IFERROR(INDEX('Tagging key'!E:E, MATCH(F432,'Tagging key'!C:C,0)),"")</f>
        <v>74</v>
      </c>
      <c r="J432" s="3">
        <f>IFERROR(INDEX('Tagging key'!F:F, MATCH(F432,'Tagging key'!C:C,0)),"")</f>
        <v>21</v>
      </c>
      <c r="K432" s="3">
        <v>48.731999999999999</v>
      </c>
      <c r="L432" s="3">
        <v>72.56</v>
      </c>
      <c r="M432" s="3">
        <v>74.2</v>
      </c>
      <c r="N432" s="3">
        <v>21.31</v>
      </c>
      <c r="O432" s="3"/>
      <c r="P432" s="22">
        <v>45882</v>
      </c>
      <c r="Q432" s="22">
        <v>45882</v>
      </c>
      <c r="R432" s="3">
        <v>25.050999999999998</v>
      </c>
    </row>
    <row r="433" spans="1:19" x14ac:dyDescent="0.25">
      <c r="A433" s="13">
        <v>12</v>
      </c>
      <c r="B433" s="13">
        <v>9</v>
      </c>
      <c r="C433" s="13" t="s">
        <v>176</v>
      </c>
      <c r="D433" s="13" t="s">
        <v>72</v>
      </c>
      <c r="E433" s="13" t="s">
        <v>802</v>
      </c>
      <c r="F433" s="13" t="str">
        <f t="shared" si="3"/>
        <v>S_Y41</v>
      </c>
      <c r="G433" s="3">
        <v>50.713999999999999</v>
      </c>
      <c r="H433" s="3">
        <f>IFERROR(INDEX('Tagging key'!D:D, MATCH(F433,'Tagging key'!C:C,0)),"")</f>
        <v>71</v>
      </c>
      <c r="I433" s="3">
        <f>IFERROR(INDEX('Tagging key'!E:E, MATCH(F433,'Tagging key'!C:C,0)),"")</f>
        <v>72</v>
      </c>
      <c r="J433" s="3">
        <f>IFERROR(INDEX('Tagging key'!F:F, MATCH(F433,'Tagging key'!C:C,0)),"")</f>
        <v>17</v>
      </c>
      <c r="K433" s="3">
        <v>52.526000000000003</v>
      </c>
      <c r="L433" s="3">
        <v>71.56</v>
      </c>
      <c r="M433" s="3">
        <v>74.28</v>
      </c>
      <c r="N433" s="3">
        <v>22.69</v>
      </c>
      <c r="O433" s="3"/>
      <c r="P433" s="22">
        <v>45879</v>
      </c>
      <c r="Q433" s="22">
        <v>45879</v>
      </c>
      <c r="R433" s="3"/>
    </row>
    <row r="434" spans="1:19" x14ac:dyDescent="0.25">
      <c r="A434" s="11">
        <v>13</v>
      </c>
      <c r="B434" s="11">
        <v>1</v>
      </c>
      <c r="C434" s="11" t="s">
        <v>248</v>
      </c>
      <c r="D434" s="11" t="s">
        <v>46</v>
      </c>
      <c r="E434" s="11" t="s">
        <v>610</v>
      </c>
      <c r="F434" s="11" t="s">
        <v>803</v>
      </c>
      <c r="G434" s="3">
        <v>34.159999999999997</v>
      </c>
      <c r="H434" s="3">
        <f>IFERROR(INDEX('Tagging key'!D:D, MATCH(F434,'Tagging key'!C:C,0)),"")</f>
        <v>71</v>
      </c>
      <c r="I434" s="3">
        <f>IFERROR(INDEX('Tagging key'!E:E, MATCH(F434,'Tagging key'!C:C,0)),"")</f>
        <v>34</v>
      </c>
      <c r="J434" s="3">
        <f>IFERROR(INDEX('Tagging key'!F:F, MATCH(F434,'Tagging key'!C:C,0)),"")</f>
        <v>26</v>
      </c>
      <c r="K434" s="3">
        <v>34.606999999999999</v>
      </c>
      <c r="L434" s="3">
        <v>71.67</v>
      </c>
      <c r="M434" s="3">
        <v>34.54</v>
      </c>
      <c r="N434" s="3">
        <v>26.86</v>
      </c>
      <c r="O434" s="3"/>
      <c r="P434" s="22">
        <v>45877</v>
      </c>
      <c r="Q434" s="22">
        <v>45877</v>
      </c>
      <c r="R434" s="3"/>
    </row>
    <row r="435" spans="1:19" x14ac:dyDescent="0.25">
      <c r="A435" s="11">
        <v>13</v>
      </c>
      <c r="B435" s="11">
        <v>1</v>
      </c>
      <c r="C435" s="11" t="s">
        <v>248</v>
      </c>
      <c r="D435" s="11" t="s">
        <v>46</v>
      </c>
      <c r="E435" s="11" t="s">
        <v>804</v>
      </c>
      <c r="F435" s="11" t="s">
        <v>805</v>
      </c>
      <c r="G435" s="3">
        <v>35.811999999999998</v>
      </c>
      <c r="H435" s="3">
        <f>IFERROR(INDEX('Tagging key'!D:D, MATCH(F435,'Tagging key'!C:C,0)),"")</f>
        <v>71</v>
      </c>
      <c r="I435" s="3">
        <f>IFERROR(INDEX('Tagging key'!E:E, MATCH(F435,'Tagging key'!C:C,0)),"")</f>
        <v>36</v>
      </c>
      <c r="J435" s="3">
        <f>IFERROR(INDEX('Tagging key'!F:F, MATCH(F435,'Tagging key'!C:C,0)),"")</f>
        <v>27</v>
      </c>
      <c r="K435" s="3">
        <v>36.927</v>
      </c>
      <c r="L435" s="3">
        <v>73.44</v>
      </c>
      <c r="M435" s="3">
        <v>36.47</v>
      </c>
      <c r="N435" s="3">
        <v>28.91</v>
      </c>
      <c r="O435" s="3"/>
      <c r="P435" s="22">
        <v>45879</v>
      </c>
      <c r="Q435" s="22">
        <v>45879</v>
      </c>
      <c r="R435" s="3"/>
    </row>
    <row r="436" spans="1:19" x14ac:dyDescent="0.25">
      <c r="A436" s="11">
        <v>13</v>
      </c>
      <c r="B436" s="11">
        <v>1</v>
      </c>
      <c r="C436" s="11" t="s">
        <v>248</v>
      </c>
      <c r="D436" s="11" t="s">
        <v>46</v>
      </c>
      <c r="E436" s="11" t="s">
        <v>552</v>
      </c>
      <c r="F436" s="11" t="s">
        <v>806</v>
      </c>
      <c r="G436" s="3">
        <v>44.893000000000001</v>
      </c>
      <c r="H436" s="3">
        <f>IFERROR(INDEX('Tagging key'!D:D, MATCH(F436,'Tagging key'!C:C,0)),"")</f>
        <v>75.66</v>
      </c>
      <c r="I436" s="3">
        <f>IFERROR(INDEX('Tagging key'!E:E, MATCH(F436,'Tagging key'!C:C,0)),"")</f>
        <v>41.6</v>
      </c>
      <c r="J436" s="3">
        <f>IFERROR(INDEX('Tagging key'!F:F, MATCH(F436,'Tagging key'!C:C,0)),"")</f>
        <v>29.11</v>
      </c>
      <c r="K436" s="3">
        <v>45.289000000000001</v>
      </c>
      <c r="L436" s="3">
        <v>75.72</v>
      </c>
      <c r="M436" s="3">
        <v>38.11</v>
      </c>
      <c r="N436" s="3">
        <v>29.17</v>
      </c>
      <c r="O436" s="3"/>
      <c r="P436" s="22">
        <v>45882</v>
      </c>
      <c r="Q436" s="22">
        <v>45882</v>
      </c>
      <c r="R436" s="3">
        <v>17.271000000000001</v>
      </c>
    </row>
    <row r="437" spans="1:19" x14ac:dyDescent="0.25">
      <c r="A437" s="11">
        <v>13</v>
      </c>
      <c r="B437" s="11">
        <v>1</v>
      </c>
      <c r="C437" s="11" t="s">
        <v>248</v>
      </c>
      <c r="D437" s="11" t="s">
        <v>46</v>
      </c>
      <c r="E437" s="11" t="s">
        <v>127</v>
      </c>
      <c r="F437" s="11" t="s">
        <v>807</v>
      </c>
      <c r="G437" s="3">
        <v>41.997999999999998</v>
      </c>
      <c r="H437" s="3">
        <f>IFERROR(INDEX('Tagging key'!D:D, MATCH(F437,'Tagging key'!C:C,0)),"")</f>
        <v>78.209999999999994</v>
      </c>
      <c r="I437" s="3">
        <f>IFERROR(INDEX('Tagging key'!E:E, MATCH(F437,'Tagging key'!C:C,0)),"")</f>
        <v>38.83</v>
      </c>
      <c r="J437" s="3">
        <f>IFERROR(INDEX('Tagging key'!F:F, MATCH(F437,'Tagging key'!C:C,0)),"")</f>
        <v>26.95</v>
      </c>
      <c r="K437" s="3">
        <v>42.243000000000002</v>
      </c>
      <c r="L437" s="3">
        <v>77.709999999999994</v>
      </c>
      <c r="M437" s="3">
        <v>37.61</v>
      </c>
      <c r="N437" s="3">
        <v>27.27</v>
      </c>
      <c r="O437" s="3"/>
      <c r="P437" s="22">
        <v>45886</v>
      </c>
      <c r="Q437" s="22">
        <v>45886</v>
      </c>
      <c r="R437" s="3"/>
    </row>
    <row r="438" spans="1:19" x14ac:dyDescent="0.25">
      <c r="A438" s="12">
        <v>13</v>
      </c>
      <c r="B438" s="12">
        <v>2</v>
      </c>
      <c r="C438" s="12" t="s">
        <v>248</v>
      </c>
      <c r="D438" s="12" t="s">
        <v>46</v>
      </c>
      <c r="E438" s="12" t="s">
        <v>281</v>
      </c>
      <c r="F438" s="12" t="s">
        <v>808</v>
      </c>
      <c r="G438" s="3">
        <v>93.994</v>
      </c>
      <c r="H438" s="3">
        <f>IFERROR(INDEX('Tagging key'!D:D, MATCH(F438,'Tagging key'!C:C,0)),"")</f>
        <v>97</v>
      </c>
      <c r="I438" s="3">
        <f>IFERROR(INDEX('Tagging key'!E:E, MATCH(F438,'Tagging key'!C:C,0)),"")</f>
        <v>45</v>
      </c>
      <c r="J438" s="3">
        <f>IFERROR(INDEX('Tagging key'!F:F, MATCH(F438,'Tagging key'!C:C,0)),"")</f>
        <v>35</v>
      </c>
      <c r="K438" s="3">
        <v>94.102000000000004</v>
      </c>
      <c r="L438" s="3">
        <v>100.3</v>
      </c>
      <c r="M438" s="3">
        <v>47.51</v>
      </c>
      <c r="N438" s="3">
        <v>37.75</v>
      </c>
      <c r="O438" s="3"/>
      <c r="P438" s="22">
        <v>45877</v>
      </c>
      <c r="Q438" s="22">
        <v>45877</v>
      </c>
      <c r="R438" s="3"/>
    </row>
    <row r="439" spans="1:19" x14ac:dyDescent="0.25">
      <c r="A439" s="12">
        <v>13</v>
      </c>
      <c r="B439" s="12">
        <v>2</v>
      </c>
      <c r="C439" s="12" t="s">
        <v>248</v>
      </c>
      <c r="D439" s="12" t="s">
        <v>46</v>
      </c>
      <c r="E439" s="12" t="s">
        <v>809</v>
      </c>
      <c r="F439" s="12" t="s">
        <v>810</v>
      </c>
      <c r="G439" s="3">
        <v>54.668999999999997</v>
      </c>
      <c r="H439" s="3">
        <f>IFERROR(INDEX('Tagging key'!D:D, MATCH(F439,'Tagging key'!C:C,0)),"")</f>
        <v>85</v>
      </c>
      <c r="I439" s="3">
        <f>IFERROR(INDEX('Tagging key'!E:E, MATCH(F439,'Tagging key'!C:C,0)),"")</f>
        <v>39</v>
      </c>
      <c r="J439" s="3">
        <f>IFERROR(INDEX('Tagging key'!F:F, MATCH(F439,'Tagging key'!C:C,0)),"")</f>
        <v>30</v>
      </c>
      <c r="K439" s="3">
        <v>55.295000000000002</v>
      </c>
      <c r="L439" s="3">
        <v>85.86</v>
      </c>
      <c r="M439" s="3">
        <v>37.71</v>
      </c>
      <c r="N439" s="3">
        <v>30.97</v>
      </c>
      <c r="O439" s="3"/>
      <c r="P439" s="22">
        <v>45882</v>
      </c>
      <c r="Q439" s="22">
        <v>45882</v>
      </c>
      <c r="R439" s="3">
        <v>18.872</v>
      </c>
    </row>
    <row r="440" spans="1:19" x14ac:dyDescent="0.25">
      <c r="A440" s="12">
        <v>13</v>
      </c>
      <c r="B440" s="12">
        <v>2</v>
      </c>
      <c r="C440" s="12" t="s">
        <v>248</v>
      </c>
      <c r="D440" s="12" t="s">
        <v>46</v>
      </c>
      <c r="E440" s="12" t="s">
        <v>811</v>
      </c>
      <c r="F440" s="12" t="s">
        <v>812</v>
      </c>
      <c r="G440" s="3">
        <v>38.542000000000002</v>
      </c>
      <c r="H440" s="3">
        <f>IFERROR(INDEX('Tagging key'!D:D, MATCH(F440,'Tagging key'!C:C,0)),"")</f>
        <v>73.67</v>
      </c>
      <c r="I440" s="3">
        <f>IFERROR(INDEX('Tagging key'!E:E, MATCH(F440,'Tagging key'!C:C,0)),"")</f>
        <v>41.67</v>
      </c>
      <c r="J440" s="3">
        <f>IFERROR(INDEX('Tagging key'!F:F, MATCH(F440,'Tagging key'!C:C,0)),"")</f>
        <v>27.76</v>
      </c>
      <c r="K440" s="3">
        <v>39.838000000000001</v>
      </c>
      <c r="L440" s="3">
        <v>73.67</v>
      </c>
      <c r="M440" s="3">
        <v>39.659999999999997</v>
      </c>
      <c r="N440" s="3">
        <v>28.25</v>
      </c>
      <c r="O440" s="3"/>
      <c r="P440" s="22">
        <v>45886</v>
      </c>
      <c r="Q440" s="22">
        <v>45886</v>
      </c>
      <c r="R440" s="3"/>
    </row>
    <row r="441" spans="1:19" x14ac:dyDescent="0.25">
      <c r="A441" s="12">
        <v>13</v>
      </c>
      <c r="B441" s="12">
        <v>2</v>
      </c>
      <c r="C441" s="12" t="s">
        <v>248</v>
      </c>
      <c r="D441" s="12" t="s">
        <v>46</v>
      </c>
      <c r="E441" s="12" t="s">
        <v>322</v>
      </c>
      <c r="F441" s="12" t="s">
        <v>813</v>
      </c>
      <c r="G441" s="3">
        <v>55.759</v>
      </c>
      <c r="H441" s="3">
        <f>IFERROR(INDEX('Tagging key'!D:D, MATCH(F441,'Tagging key'!C:C,0)),"")</f>
        <v>83.77</v>
      </c>
      <c r="I441" s="3">
        <f>IFERROR(INDEX('Tagging key'!E:E, MATCH(F441,'Tagging key'!C:C,0)),"")</f>
        <v>45.12</v>
      </c>
      <c r="J441" s="3">
        <f>IFERROR(INDEX('Tagging key'!F:F, MATCH(F441,'Tagging key'!C:C,0)),"")</f>
        <v>32.700000000000003</v>
      </c>
      <c r="K441" s="3">
        <v>56</v>
      </c>
      <c r="L441" s="3">
        <v>84.09</v>
      </c>
      <c r="M441" s="3">
        <v>39.57</v>
      </c>
      <c r="N441" s="3">
        <v>33.22</v>
      </c>
      <c r="O441" s="3"/>
      <c r="P441" s="22">
        <v>45879</v>
      </c>
      <c r="Q441" s="22">
        <v>45879</v>
      </c>
      <c r="R441" s="3"/>
    </row>
    <row r="442" spans="1:19" x14ac:dyDescent="0.25">
      <c r="A442" s="11">
        <v>13</v>
      </c>
      <c r="B442" s="11">
        <v>3</v>
      </c>
      <c r="C442" s="11" t="s">
        <v>248</v>
      </c>
      <c r="D442" s="11" t="s">
        <v>46</v>
      </c>
      <c r="E442" s="11" t="s">
        <v>814</v>
      </c>
      <c r="F442" s="11" t="s">
        <v>815</v>
      </c>
      <c r="G442" s="3">
        <v>34.488999999999997</v>
      </c>
      <c r="H442" s="3">
        <f>IFERROR(INDEX('Tagging key'!D:D, MATCH(F442,'Tagging key'!C:C,0)),"")</f>
        <v>73.709999999999994</v>
      </c>
      <c r="I442" s="3">
        <f>IFERROR(INDEX('Tagging key'!E:E, MATCH(F442,'Tagging key'!C:C,0)),"")</f>
        <v>38.79</v>
      </c>
      <c r="J442" s="3">
        <f>IFERROR(INDEX('Tagging key'!F:F, MATCH(F442,'Tagging key'!C:C,0)),"")</f>
        <v>26.22</v>
      </c>
      <c r="K442" s="3">
        <v>34.805999999999997</v>
      </c>
      <c r="L442" s="3">
        <v>74.489999999999995</v>
      </c>
      <c r="M442" s="3">
        <v>38.74</v>
      </c>
      <c r="N442" s="3">
        <v>25.62</v>
      </c>
      <c r="O442" s="3"/>
      <c r="P442" s="22">
        <v>45879</v>
      </c>
      <c r="Q442" s="22">
        <v>45879</v>
      </c>
      <c r="R442" s="3"/>
    </row>
    <row r="443" spans="1:19" x14ac:dyDescent="0.25">
      <c r="A443" s="11">
        <v>13</v>
      </c>
      <c r="B443" s="11">
        <v>3</v>
      </c>
      <c r="C443" s="11" t="s">
        <v>248</v>
      </c>
      <c r="D443" s="11" t="s">
        <v>46</v>
      </c>
      <c r="E443" s="11" t="s">
        <v>816</v>
      </c>
      <c r="F443" s="11" t="s">
        <v>817</v>
      </c>
      <c r="G443" s="3">
        <v>68.991</v>
      </c>
      <c r="H443" s="3">
        <f>IFERROR(INDEX('Tagging key'!D:D, MATCH(F443,'Tagging key'!C:C,0)),"")</f>
        <v>84.12</v>
      </c>
      <c r="I443" s="3">
        <f>IFERROR(INDEX('Tagging key'!E:E, MATCH(F443,'Tagging key'!C:C,0)),"")</f>
        <v>38.18</v>
      </c>
      <c r="J443" s="3">
        <f>IFERROR(INDEX('Tagging key'!F:F, MATCH(F443,'Tagging key'!C:C,0)),"")</f>
        <v>34.619999999999997</v>
      </c>
      <c r="K443" s="3">
        <v>69.64</v>
      </c>
      <c r="L443" s="3">
        <v>83.56</v>
      </c>
      <c r="M443" s="3">
        <v>37.85</v>
      </c>
      <c r="N443" s="3">
        <v>34.81</v>
      </c>
      <c r="O443" s="3"/>
      <c r="P443" s="22">
        <v>45886</v>
      </c>
      <c r="Q443" s="22">
        <v>45886</v>
      </c>
      <c r="R443" s="3"/>
    </row>
    <row r="444" spans="1:19" x14ac:dyDescent="0.25">
      <c r="A444" s="11">
        <v>13</v>
      </c>
      <c r="B444" s="11">
        <v>3</v>
      </c>
      <c r="C444" s="11" t="s">
        <v>248</v>
      </c>
      <c r="D444" s="11" t="s">
        <v>46</v>
      </c>
      <c r="E444" s="11" t="s">
        <v>818</v>
      </c>
      <c r="F444" s="11" t="s">
        <v>819</v>
      </c>
      <c r="G444" s="3">
        <v>59.125</v>
      </c>
      <c r="H444" s="3">
        <f>IFERROR(INDEX('Tagging key'!D:D, MATCH(F444,'Tagging key'!C:C,0)),"")</f>
        <v>83</v>
      </c>
      <c r="I444" s="3">
        <f>IFERROR(INDEX('Tagging key'!E:E, MATCH(F444,'Tagging key'!C:C,0)),"")</f>
        <v>41</v>
      </c>
      <c r="J444" s="3">
        <f>IFERROR(INDEX('Tagging key'!F:F, MATCH(F444,'Tagging key'!C:C,0)),"")</f>
        <v>30</v>
      </c>
      <c r="K444" s="3">
        <v>59.22</v>
      </c>
      <c r="L444" s="3">
        <v>84.42</v>
      </c>
      <c r="M444" s="3">
        <v>41.34</v>
      </c>
      <c r="N444" s="3">
        <v>30.24</v>
      </c>
      <c r="O444" s="3"/>
      <c r="P444" s="22">
        <v>45882</v>
      </c>
      <c r="Q444" s="22">
        <v>45882</v>
      </c>
      <c r="R444" s="3">
        <v>21.727</v>
      </c>
    </row>
    <row r="445" spans="1:19" x14ac:dyDescent="0.25">
      <c r="A445" s="11">
        <v>13</v>
      </c>
      <c r="B445" s="11">
        <v>3</v>
      </c>
      <c r="C445" s="11" t="s">
        <v>248</v>
      </c>
      <c r="D445" s="11" t="s">
        <v>46</v>
      </c>
      <c r="E445" s="11" t="s">
        <v>358</v>
      </c>
      <c r="F445" s="11" t="s">
        <v>820</v>
      </c>
      <c r="G445" s="3">
        <v>29.108000000000001</v>
      </c>
      <c r="H445" s="3">
        <f>IFERROR(INDEX('Tagging key'!D:D, MATCH(F445,'Tagging key'!C:C,0)),"")</f>
        <v>67.48</v>
      </c>
      <c r="I445" s="3">
        <f>IFERROR(INDEX('Tagging key'!E:E, MATCH(F445,'Tagging key'!C:C,0)),"")</f>
        <v>40.770000000000003</v>
      </c>
      <c r="J445" s="3">
        <f>IFERROR(INDEX('Tagging key'!F:F, MATCH(F445,'Tagging key'!C:C,0)),"")</f>
        <v>24.66</v>
      </c>
      <c r="K445" s="3">
        <v>29.46</v>
      </c>
      <c r="L445" s="3">
        <v>67.459999999999994</v>
      </c>
      <c r="M445" s="3">
        <v>34.82</v>
      </c>
      <c r="N445" s="3">
        <v>25.01</v>
      </c>
      <c r="O445" s="3"/>
      <c r="P445" s="22">
        <v>45877</v>
      </c>
      <c r="Q445" s="22">
        <v>45877</v>
      </c>
      <c r="R445" s="3"/>
    </row>
    <row r="446" spans="1:19" x14ac:dyDescent="0.25">
      <c r="A446" s="13">
        <v>13</v>
      </c>
      <c r="B446" s="13">
        <v>4</v>
      </c>
      <c r="C446" s="13" t="s">
        <v>248</v>
      </c>
      <c r="D446" s="13" t="s">
        <v>72</v>
      </c>
      <c r="E446" s="13" t="s">
        <v>821</v>
      </c>
      <c r="F446" s="13" t="str">
        <f>LEFT(D446,1)&amp;"_"&amp;E446</f>
        <v>S_G82</v>
      </c>
      <c r="G446" s="3">
        <v>43.87</v>
      </c>
      <c r="H446" s="3">
        <f>IFERROR(INDEX('Tagging key'!D:D, MATCH(F446,'Tagging key'!C:C,0)),"")</f>
        <v>69</v>
      </c>
      <c r="I446" s="3">
        <f>IFERROR(INDEX('Tagging key'!E:E, MATCH(F446,'Tagging key'!C:C,0)),"")</f>
        <v>73</v>
      </c>
      <c r="J446" s="3">
        <f>IFERROR(INDEX('Tagging key'!F:F, MATCH(F446,'Tagging key'!C:C,0)),"")</f>
        <v>18</v>
      </c>
      <c r="K446" s="3">
        <v>41.832000000000001</v>
      </c>
      <c r="L446" s="3">
        <v>70.260000000000005</v>
      </c>
      <c r="M446" s="3">
        <v>73.650000000000006</v>
      </c>
      <c r="N446" s="3">
        <v>19.11</v>
      </c>
      <c r="O446" s="3"/>
      <c r="P446" s="22">
        <v>45882</v>
      </c>
      <c r="Q446" s="22">
        <v>45882</v>
      </c>
      <c r="R446" s="3">
        <v>23.608000000000001</v>
      </c>
      <c r="S446" t="s">
        <v>822</v>
      </c>
    </row>
    <row r="447" spans="1:19" x14ac:dyDescent="0.25">
      <c r="A447" s="13">
        <v>13</v>
      </c>
      <c r="B447" s="13">
        <v>4</v>
      </c>
      <c r="C447" s="13" t="s">
        <v>248</v>
      </c>
      <c r="D447" s="13" t="s">
        <v>72</v>
      </c>
      <c r="E447" s="13" t="s">
        <v>823</v>
      </c>
      <c r="F447" s="13" t="str">
        <f t="shared" ref="F447:F457" si="4">LEFT(D447,1)&amp;"_"&amp;E447</f>
        <v>S_Y83</v>
      </c>
      <c r="G447" s="3">
        <v>52.36</v>
      </c>
      <c r="H447" s="3">
        <f>IFERROR(INDEX('Tagging key'!D:D, MATCH(F447,'Tagging key'!C:C,0)),"")</f>
        <v>74</v>
      </c>
      <c r="I447" s="3">
        <f>IFERROR(INDEX('Tagging key'!E:E, MATCH(F447,'Tagging key'!C:C,0)),"")</f>
        <v>77</v>
      </c>
      <c r="J447" s="3">
        <f>IFERROR(INDEX('Tagging key'!F:F, MATCH(F447,'Tagging key'!C:C,0)),"")</f>
        <v>17</v>
      </c>
      <c r="K447" s="3">
        <v>47.548999999999999</v>
      </c>
      <c r="L447" s="3">
        <v>74.760000000000005</v>
      </c>
      <c r="M447" s="3">
        <v>77.989999999999995</v>
      </c>
      <c r="N447" s="3">
        <v>22.98</v>
      </c>
      <c r="O447" s="3"/>
      <c r="P447" s="22">
        <v>45877</v>
      </c>
      <c r="Q447" s="22">
        <v>45877</v>
      </c>
      <c r="R447" s="3"/>
    </row>
    <row r="448" spans="1:19" x14ac:dyDescent="0.25">
      <c r="A448" s="13">
        <v>13</v>
      </c>
      <c r="B448" s="13">
        <v>4</v>
      </c>
      <c r="C448" s="13" t="s">
        <v>248</v>
      </c>
      <c r="D448" s="13" t="s">
        <v>72</v>
      </c>
      <c r="E448" s="13" t="s">
        <v>824</v>
      </c>
      <c r="F448" s="13" t="str">
        <f t="shared" si="4"/>
        <v>S_G88</v>
      </c>
      <c r="G448" s="3">
        <v>55.991</v>
      </c>
      <c r="H448" s="3">
        <f>IFERROR(INDEX('Tagging key'!D:D, MATCH(F448,'Tagging key'!C:C,0)),"")</f>
        <v>76</v>
      </c>
      <c r="I448" s="3">
        <f>IFERROR(INDEX('Tagging key'!E:E, MATCH(F448,'Tagging key'!C:C,0)),"")</f>
        <v>77</v>
      </c>
      <c r="J448" s="3">
        <f>IFERROR(INDEX('Tagging key'!F:F, MATCH(F448,'Tagging key'!C:C,0)),"")</f>
        <v>19</v>
      </c>
      <c r="K448" s="3">
        <v>50.959000000000003</v>
      </c>
      <c r="L448" s="3">
        <v>78.83</v>
      </c>
      <c r="M448" s="3">
        <v>78.900000000000006</v>
      </c>
      <c r="N448" s="3">
        <v>20.03</v>
      </c>
      <c r="O448" s="3"/>
      <c r="P448" s="22">
        <v>45879</v>
      </c>
      <c r="Q448" s="22">
        <v>45879</v>
      </c>
      <c r="R448" s="3"/>
    </row>
    <row r="449" spans="1:19" x14ac:dyDescent="0.25">
      <c r="A449" s="13">
        <v>13</v>
      </c>
      <c r="B449" s="13">
        <v>4</v>
      </c>
      <c r="C449" s="13" t="s">
        <v>248</v>
      </c>
      <c r="D449" s="13" t="s">
        <v>72</v>
      </c>
      <c r="E449" s="13" t="s">
        <v>825</v>
      </c>
      <c r="F449" s="13" t="str">
        <f t="shared" si="4"/>
        <v>S_W56</v>
      </c>
      <c r="G449" s="3">
        <v>65.313000000000002</v>
      </c>
      <c r="H449" s="3">
        <f>IFERROR(INDEX('Tagging key'!D:D, MATCH(F449,'Tagging key'!C:C,0)),"")</f>
        <v>76</v>
      </c>
      <c r="I449" s="3">
        <f>IFERROR(INDEX('Tagging key'!E:E, MATCH(F449,'Tagging key'!C:C,0)),"")</f>
        <v>81</v>
      </c>
      <c r="J449" s="3">
        <f>IFERROR(INDEX('Tagging key'!F:F, MATCH(F449,'Tagging key'!C:C,0)),"")</f>
        <v>19</v>
      </c>
      <c r="K449" s="3">
        <v>58.012</v>
      </c>
      <c r="L449" s="3">
        <v>77.040000000000006</v>
      </c>
      <c r="M449" s="3">
        <v>82.28</v>
      </c>
      <c r="N449" s="3">
        <v>21.49</v>
      </c>
      <c r="O449" s="3"/>
      <c r="P449" s="22">
        <v>45886</v>
      </c>
      <c r="Q449" s="22">
        <v>45886</v>
      </c>
      <c r="R449" s="3">
        <v>22.558</v>
      </c>
      <c r="S449" t="s">
        <v>826</v>
      </c>
    </row>
    <row r="450" spans="1:19" x14ac:dyDescent="0.25">
      <c r="A450" s="14">
        <v>13</v>
      </c>
      <c r="B450" s="14">
        <v>5</v>
      </c>
      <c r="C450" s="14" t="s">
        <v>248</v>
      </c>
      <c r="D450" s="14" t="s">
        <v>72</v>
      </c>
      <c r="E450" s="14" t="s">
        <v>827</v>
      </c>
      <c r="F450" s="14" t="str">
        <f t="shared" si="4"/>
        <v>S_Y75</v>
      </c>
      <c r="G450" s="3">
        <v>56.731999999999999</v>
      </c>
      <c r="H450" s="3">
        <f>IFERROR(INDEX('Tagging key'!D:D, MATCH(F450,'Tagging key'!C:C,0)),"")</f>
        <v>72</v>
      </c>
      <c r="I450" s="3">
        <f>IFERROR(INDEX('Tagging key'!E:E, MATCH(F450,'Tagging key'!C:C,0)),"")</f>
        <v>75</v>
      </c>
      <c r="J450" s="3">
        <f>IFERROR(INDEX('Tagging key'!F:F, MATCH(F450,'Tagging key'!C:C,0)),"")</f>
        <v>20</v>
      </c>
      <c r="K450" s="3">
        <v>52.7</v>
      </c>
      <c r="L450" s="3">
        <v>74.25</v>
      </c>
      <c r="M450" s="3">
        <v>76</v>
      </c>
      <c r="N450" s="3">
        <v>21</v>
      </c>
      <c r="O450" s="3"/>
      <c r="P450" s="22">
        <v>45879</v>
      </c>
      <c r="Q450" s="22">
        <v>45879</v>
      </c>
      <c r="R450" s="3"/>
    </row>
    <row r="451" spans="1:19" x14ac:dyDescent="0.25">
      <c r="A451" s="14">
        <v>13</v>
      </c>
      <c r="B451" s="14">
        <v>5</v>
      </c>
      <c r="C451" s="14" t="s">
        <v>248</v>
      </c>
      <c r="D451" s="14" t="s">
        <v>72</v>
      </c>
      <c r="E451" s="14" t="s">
        <v>828</v>
      </c>
      <c r="F451" s="14" t="str">
        <f t="shared" si="4"/>
        <v>S_Y19</v>
      </c>
      <c r="G451" s="3">
        <v>43.695999999999998</v>
      </c>
      <c r="H451" s="3">
        <f>IFERROR(INDEX('Tagging key'!D:D, MATCH(F451,'Tagging key'!C:C,0)),"")</f>
        <v>67</v>
      </c>
      <c r="I451" s="3">
        <f>IFERROR(INDEX('Tagging key'!E:E, MATCH(F451,'Tagging key'!C:C,0)),"")</f>
        <v>71</v>
      </c>
      <c r="J451" s="3">
        <f>IFERROR(INDEX('Tagging key'!F:F, MATCH(F451,'Tagging key'!C:C,0)),"")</f>
        <v>17</v>
      </c>
      <c r="K451" s="3">
        <v>41.087000000000003</v>
      </c>
      <c r="L451" s="3">
        <v>67.349999999999994</v>
      </c>
      <c r="M451" s="3">
        <v>72.7</v>
      </c>
      <c r="N451" s="3">
        <v>18.690000000000001</v>
      </c>
      <c r="O451" s="3"/>
      <c r="P451" s="22">
        <v>45877</v>
      </c>
      <c r="Q451" s="22">
        <v>45877</v>
      </c>
      <c r="R451" s="3"/>
    </row>
    <row r="452" spans="1:19" x14ac:dyDescent="0.25">
      <c r="A452" s="14">
        <v>13</v>
      </c>
      <c r="B452" s="14">
        <v>5</v>
      </c>
      <c r="C452" s="14" t="s">
        <v>248</v>
      </c>
      <c r="D452" s="14" t="s">
        <v>72</v>
      </c>
      <c r="E452" s="14" t="s">
        <v>829</v>
      </c>
      <c r="F452" s="14" t="str">
        <f t="shared" si="4"/>
        <v>S_W97</v>
      </c>
      <c r="G452" s="3">
        <v>45.384999999999998</v>
      </c>
      <c r="H452" s="3">
        <f>IFERROR(INDEX('Tagging key'!D:D, MATCH(F452,'Tagging key'!C:C,0)),"")</f>
        <v>69</v>
      </c>
      <c r="I452" s="3">
        <f>IFERROR(INDEX('Tagging key'!E:E, MATCH(F452,'Tagging key'!C:C,0)),"")</f>
        <v>72</v>
      </c>
      <c r="J452" s="3">
        <f>IFERROR(INDEX('Tagging key'!F:F, MATCH(F452,'Tagging key'!C:C,0)),"")</f>
        <v>19.7</v>
      </c>
      <c r="K452" s="3">
        <v>40.353000000000002</v>
      </c>
      <c r="L452" s="3">
        <v>67.88</v>
      </c>
      <c r="M452" s="3">
        <v>71.900000000000006</v>
      </c>
      <c r="N452" s="3">
        <v>19.489999999999998</v>
      </c>
      <c r="O452" s="3"/>
      <c r="P452" s="22">
        <v>45886</v>
      </c>
      <c r="Q452" s="22">
        <v>45886</v>
      </c>
      <c r="R452" s="3"/>
    </row>
    <row r="453" spans="1:19" x14ac:dyDescent="0.25">
      <c r="A453" s="14">
        <v>13</v>
      </c>
      <c r="B453" s="14">
        <v>5</v>
      </c>
      <c r="C453" s="14" t="s">
        <v>248</v>
      </c>
      <c r="D453" s="14" t="s">
        <v>72</v>
      </c>
      <c r="E453" s="14" t="s">
        <v>830</v>
      </c>
      <c r="F453" s="14" t="str">
        <f t="shared" si="4"/>
        <v>S_Y72</v>
      </c>
      <c r="G453" s="3">
        <v>53.817</v>
      </c>
      <c r="H453" s="3">
        <f>IFERROR(INDEX('Tagging key'!D:D, MATCH(F453,'Tagging key'!C:C,0)),"")</f>
        <v>71</v>
      </c>
      <c r="I453" s="3">
        <f>IFERROR(INDEX('Tagging key'!E:E, MATCH(F453,'Tagging key'!C:C,0)),"")</f>
        <v>75</v>
      </c>
      <c r="J453" s="3">
        <f>IFERROR(INDEX('Tagging key'!F:F, MATCH(F453,'Tagging key'!C:C,0)),"")</f>
        <v>20</v>
      </c>
      <c r="K453" s="3">
        <v>52.103999999999999</v>
      </c>
      <c r="L453" s="3">
        <v>71.709999999999994</v>
      </c>
      <c r="M453" s="3">
        <v>73.84</v>
      </c>
      <c r="N453" s="3">
        <v>21.78</v>
      </c>
      <c r="O453" s="3"/>
      <c r="P453" s="22">
        <v>45882</v>
      </c>
      <c r="Q453" s="22">
        <v>45882</v>
      </c>
      <c r="R453" s="3">
        <v>25.5</v>
      </c>
    </row>
    <row r="454" spans="1:19" x14ac:dyDescent="0.25">
      <c r="A454" s="13">
        <v>13</v>
      </c>
      <c r="B454" s="13">
        <v>6</v>
      </c>
      <c r="C454" s="13" t="s">
        <v>248</v>
      </c>
      <c r="D454" s="13" t="s">
        <v>72</v>
      </c>
      <c r="E454" s="13" t="s">
        <v>831</v>
      </c>
      <c r="F454" s="13" t="str">
        <f t="shared" si="4"/>
        <v>S_G87</v>
      </c>
      <c r="G454" s="3">
        <v>64.033000000000001</v>
      </c>
      <c r="H454" s="3">
        <f>IFERROR(INDEX('Tagging key'!D:D, MATCH(F454,'Tagging key'!C:C,0)),"")</f>
        <v>75</v>
      </c>
      <c r="I454" s="3">
        <f>IFERROR(INDEX('Tagging key'!E:E, MATCH(F454,'Tagging key'!C:C,0)),"")</f>
        <v>80</v>
      </c>
      <c r="J454" s="3">
        <f>IFERROR(INDEX('Tagging key'!F:F, MATCH(F454,'Tagging key'!C:C,0)),"")</f>
        <v>22</v>
      </c>
      <c r="K454" s="3">
        <v>57.392000000000003</v>
      </c>
      <c r="L454" s="3">
        <v>76.010000000000005</v>
      </c>
      <c r="M454" s="3">
        <v>79.89</v>
      </c>
      <c r="N454" s="3">
        <v>23.71</v>
      </c>
      <c r="O454" s="3"/>
      <c r="P454" s="22">
        <v>45882</v>
      </c>
      <c r="Q454" s="22">
        <v>45882</v>
      </c>
      <c r="R454" s="3">
        <v>25.652999999999999</v>
      </c>
    </row>
    <row r="455" spans="1:19" x14ac:dyDescent="0.25">
      <c r="A455" s="13">
        <v>13</v>
      </c>
      <c r="B455" s="13">
        <v>6</v>
      </c>
      <c r="C455" s="13" t="s">
        <v>248</v>
      </c>
      <c r="D455" s="13" t="s">
        <v>72</v>
      </c>
      <c r="E455" s="13" t="s">
        <v>832</v>
      </c>
      <c r="F455" s="13" t="str">
        <f t="shared" si="4"/>
        <v>S_W92</v>
      </c>
      <c r="G455" s="3">
        <v>68.884</v>
      </c>
      <c r="H455" s="3">
        <f>IFERROR(INDEX('Tagging key'!D:D, MATCH(F455,'Tagging key'!C:C,0)),"")</f>
        <v>68</v>
      </c>
      <c r="I455" s="3">
        <f>IFERROR(INDEX('Tagging key'!E:E, MATCH(F455,'Tagging key'!C:C,0)),"")</f>
        <v>81</v>
      </c>
      <c r="J455" s="3">
        <f>IFERROR(INDEX('Tagging key'!F:F, MATCH(F455,'Tagging key'!C:C,0)),"")</f>
        <v>22</v>
      </c>
      <c r="K455" s="3">
        <v>66.131</v>
      </c>
      <c r="L455" s="3">
        <v>70.63</v>
      </c>
      <c r="M455" s="3">
        <v>88.1</v>
      </c>
      <c r="N455" s="3">
        <v>2.0299999999999998</v>
      </c>
      <c r="O455" s="3"/>
      <c r="P455" s="22">
        <v>45879</v>
      </c>
      <c r="Q455" s="22">
        <v>45879</v>
      </c>
      <c r="R455" s="3"/>
      <c r="S455" t="s">
        <v>287</v>
      </c>
    </row>
    <row r="456" spans="1:19" x14ac:dyDescent="0.25">
      <c r="A456" s="13">
        <v>13</v>
      </c>
      <c r="B456" s="13">
        <v>6</v>
      </c>
      <c r="C456" s="13" t="s">
        <v>248</v>
      </c>
      <c r="D456" s="13" t="s">
        <v>72</v>
      </c>
      <c r="E456" s="13" t="s">
        <v>833</v>
      </c>
      <c r="F456" s="13" t="str">
        <f t="shared" si="4"/>
        <v>S_G24</v>
      </c>
      <c r="G456" s="3">
        <v>64.399000000000001</v>
      </c>
      <c r="H456" s="3">
        <f>IFERROR(INDEX('Tagging key'!D:D, MATCH(F456,'Tagging key'!C:C,0)),"")</f>
        <v>79.67</v>
      </c>
      <c r="I456" s="3">
        <f>IFERROR(INDEX('Tagging key'!E:E, MATCH(F456,'Tagging key'!C:C,0)),"")</f>
        <v>81.430000000000007</v>
      </c>
      <c r="J456" s="3">
        <f>IFERROR(INDEX('Tagging key'!F:F, MATCH(F456,'Tagging key'!C:C,0)),"")</f>
        <v>19.75</v>
      </c>
      <c r="K456" s="3">
        <v>61.067</v>
      </c>
      <c r="L456" s="3">
        <v>79.91</v>
      </c>
      <c r="M456" s="3">
        <v>83.55</v>
      </c>
      <c r="N456" s="3">
        <v>20.309999999999999</v>
      </c>
      <c r="O456" s="3"/>
      <c r="P456" s="22">
        <v>45877</v>
      </c>
      <c r="Q456" s="22">
        <v>45877</v>
      </c>
      <c r="R456" s="3"/>
    </row>
    <row r="457" spans="1:19" x14ac:dyDescent="0.25">
      <c r="A457" s="13">
        <v>13</v>
      </c>
      <c r="B457" s="13">
        <v>6</v>
      </c>
      <c r="C457" s="13" t="s">
        <v>248</v>
      </c>
      <c r="D457" s="13" t="s">
        <v>72</v>
      </c>
      <c r="E457" s="13" t="s">
        <v>834</v>
      </c>
      <c r="F457" s="13" t="str">
        <f t="shared" si="4"/>
        <v>S_G86</v>
      </c>
      <c r="G457" s="19">
        <v>55.63</v>
      </c>
      <c r="H457" s="19">
        <f>IFERROR(INDEX('Tagging key'!D:D, MATCH(F457,'Tagging key'!C:C,0)),"")</f>
        <v>69</v>
      </c>
      <c r="I457" s="19">
        <f>IFERROR(INDEX('Tagging key'!E:E, MATCH(F457,'Tagging key'!C:C,0)),"")</f>
        <v>74</v>
      </c>
      <c r="J457" s="19">
        <f>IFERROR(INDEX('Tagging key'!F:F, MATCH(F457,'Tagging key'!C:C,0)),"")</f>
        <v>19</v>
      </c>
      <c r="K457" s="19"/>
      <c r="L457" s="19"/>
      <c r="M457" s="19"/>
      <c r="N457" s="19"/>
      <c r="O457" s="19"/>
      <c r="P457" s="19"/>
      <c r="Q457" s="19"/>
      <c r="R457" s="19"/>
      <c r="S457" t="s">
        <v>519</v>
      </c>
    </row>
    <row r="458" spans="1:19" x14ac:dyDescent="0.25">
      <c r="A458" s="8">
        <v>13</v>
      </c>
      <c r="B458" s="8">
        <v>7</v>
      </c>
      <c r="C458" s="8" t="s">
        <v>248</v>
      </c>
      <c r="D458" s="8" t="s">
        <v>16</v>
      </c>
      <c r="E458" s="8" t="s">
        <v>835</v>
      </c>
      <c r="F458" s="8" t="s">
        <v>836</v>
      </c>
      <c r="G458" s="3">
        <v>27.026</v>
      </c>
      <c r="H458" s="3">
        <f>IFERROR(INDEX('Tagging key'!D:D, MATCH(F458,'Tagging key'!C:C,0)),"")</f>
        <v>69.260000000000005</v>
      </c>
      <c r="I458" s="3">
        <f>IFERROR(INDEX('Tagging key'!E:E, MATCH(F458,'Tagging key'!C:C,0)),"")</f>
        <v>48.13</v>
      </c>
      <c r="J458" s="3">
        <f>IFERROR(INDEX('Tagging key'!F:F, MATCH(F458,'Tagging key'!C:C,0)),"")</f>
        <v>13.89</v>
      </c>
      <c r="K458" s="3">
        <v>26.581</v>
      </c>
      <c r="L458" s="3">
        <v>70.239999999999995</v>
      </c>
      <c r="M458" s="3">
        <v>43.66</v>
      </c>
      <c r="N458" s="3">
        <v>16.55</v>
      </c>
      <c r="O458" s="3"/>
      <c r="P458" s="22">
        <v>45879</v>
      </c>
      <c r="Q458" s="22">
        <v>45879</v>
      </c>
      <c r="R458" s="3"/>
    </row>
    <row r="459" spans="1:19" x14ac:dyDescent="0.25">
      <c r="A459" s="8">
        <v>13</v>
      </c>
      <c r="B459" s="8">
        <v>7</v>
      </c>
      <c r="C459" s="8" t="s">
        <v>248</v>
      </c>
      <c r="D459" s="8" t="s">
        <v>16</v>
      </c>
      <c r="E459" s="8" t="s">
        <v>654</v>
      </c>
      <c r="F459" s="8" t="s">
        <v>837</v>
      </c>
      <c r="G459" s="3">
        <v>52.341999999999999</v>
      </c>
      <c r="H459" s="3">
        <f>IFERROR(INDEX('Tagging key'!D:D, MATCH(F459,'Tagging key'!C:C,0)),"")</f>
        <v>85.73</v>
      </c>
      <c r="I459" s="3">
        <f>IFERROR(INDEX('Tagging key'!E:E, MATCH(F459,'Tagging key'!C:C,0)),"")</f>
        <v>47.36</v>
      </c>
      <c r="J459" s="3">
        <f>IFERROR(INDEX('Tagging key'!F:F, MATCH(F459,'Tagging key'!C:C,0)),"")</f>
        <v>18.059999999999999</v>
      </c>
      <c r="K459" s="3">
        <v>50.7</v>
      </c>
      <c r="L459" s="3">
        <v>85.79</v>
      </c>
      <c r="M459" s="3">
        <v>48.14</v>
      </c>
      <c r="N459" s="3">
        <v>18.34</v>
      </c>
      <c r="O459" s="3"/>
      <c r="P459" s="22">
        <v>45877</v>
      </c>
      <c r="Q459" s="22">
        <v>45877</v>
      </c>
      <c r="R459" s="3"/>
    </row>
    <row r="460" spans="1:19" x14ac:dyDescent="0.25">
      <c r="A460" s="8">
        <v>13</v>
      </c>
      <c r="B460" s="8">
        <v>7</v>
      </c>
      <c r="C460" s="8" t="s">
        <v>248</v>
      </c>
      <c r="D460" s="8" t="s">
        <v>16</v>
      </c>
      <c r="E460" s="8" t="s">
        <v>838</v>
      </c>
      <c r="F460" s="8" t="s">
        <v>839</v>
      </c>
      <c r="G460" s="3">
        <v>30.821999999999999</v>
      </c>
      <c r="H460" s="3">
        <f>IFERROR(INDEX('Tagging key'!D:D, MATCH(F460,'Tagging key'!C:C,0)),"")</f>
        <v>64.75</v>
      </c>
      <c r="I460" s="3">
        <f>IFERROR(INDEX('Tagging key'!E:E, MATCH(F460,'Tagging key'!C:C,0)),"")</f>
        <v>44.36</v>
      </c>
      <c r="J460" s="3">
        <f>IFERROR(INDEX('Tagging key'!F:F, MATCH(F460,'Tagging key'!C:C,0)),"")</f>
        <v>20.89</v>
      </c>
      <c r="K460" s="3">
        <v>30.475999999999999</v>
      </c>
      <c r="L460" s="3">
        <v>66.95</v>
      </c>
      <c r="M460" s="3">
        <v>46.6</v>
      </c>
      <c r="N460" s="3">
        <v>18.940000000000001</v>
      </c>
      <c r="O460" s="3"/>
      <c r="P460" s="22">
        <v>45886</v>
      </c>
      <c r="Q460" s="22">
        <v>45886</v>
      </c>
      <c r="R460" s="3"/>
    </row>
    <row r="461" spans="1:19" x14ac:dyDescent="0.25">
      <c r="A461" s="8">
        <v>13</v>
      </c>
      <c r="B461" s="8">
        <v>7</v>
      </c>
      <c r="C461" s="8" t="s">
        <v>248</v>
      </c>
      <c r="D461" s="8" t="s">
        <v>16</v>
      </c>
      <c r="E461" s="8" t="s">
        <v>840</v>
      </c>
      <c r="F461" s="8" t="s">
        <v>841</v>
      </c>
      <c r="G461" s="3">
        <v>27.268999999999998</v>
      </c>
      <c r="H461" s="3">
        <f>IFERROR(INDEX('Tagging key'!D:D, MATCH(F461,'Tagging key'!C:C,0)),"")</f>
        <v>68.48</v>
      </c>
      <c r="I461" s="3">
        <f>IFERROR(INDEX('Tagging key'!E:E, MATCH(F461,'Tagging key'!C:C,0)),"")</f>
        <v>40.659999999999997</v>
      </c>
      <c r="J461" s="3">
        <f>IFERROR(INDEX('Tagging key'!F:F, MATCH(F461,'Tagging key'!C:C,0)),"")</f>
        <v>14.73</v>
      </c>
      <c r="K461" s="3">
        <v>27.064</v>
      </c>
      <c r="L461" s="3">
        <v>68.400000000000006</v>
      </c>
      <c r="M461" s="3">
        <v>38.01</v>
      </c>
      <c r="N461" s="3">
        <v>17.18</v>
      </c>
      <c r="O461" s="3"/>
      <c r="P461" s="22">
        <v>45882</v>
      </c>
      <c r="Q461" s="22">
        <v>45882</v>
      </c>
      <c r="R461" s="3">
        <v>17.701000000000001</v>
      </c>
    </row>
    <row r="462" spans="1:19" x14ac:dyDescent="0.25">
      <c r="A462" s="9">
        <v>13</v>
      </c>
      <c r="B462" s="9">
        <v>8</v>
      </c>
      <c r="C462" s="9" t="s">
        <v>248</v>
      </c>
      <c r="D462" s="9" t="s">
        <v>16</v>
      </c>
      <c r="E462" s="9" t="s">
        <v>816</v>
      </c>
      <c r="F462" s="9" t="s">
        <v>842</v>
      </c>
      <c r="G462" s="3">
        <v>35.271000000000001</v>
      </c>
      <c r="H462" s="3">
        <f>IFERROR(INDEX('Tagging key'!D:D, MATCH(F462,'Tagging key'!C:C,0)),"")</f>
        <v>63.6</v>
      </c>
      <c r="I462" s="3">
        <f>IFERROR(INDEX('Tagging key'!E:E, MATCH(F462,'Tagging key'!C:C,0)),"")</f>
        <v>48.43</v>
      </c>
      <c r="J462" s="3">
        <f>IFERROR(INDEX('Tagging key'!F:F, MATCH(F462,'Tagging key'!C:C,0)),"")</f>
        <v>17.41</v>
      </c>
      <c r="K462" s="3">
        <v>35.234999999999999</v>
      </c>
      <c r="L462" s="3">
        <v>63.84</v>
      </c>
      <c r="M462" s="3">
        <v>48.83</v>
      </c>
      <c r="N462" s="3">
        <v>17.899999999999999</v>
      </c>
      <c r="O462" s="3"/>
      <c r="P462" s="22">
        <v>45882</v>
      </c>
      <c r="Q462" s="22">
        <v>45882</v>
      </c>
      <c r="R462" s="3">
        <v>23.228000000000002</v>
      </c>
    </row>
    <row r="463" spans="1:19" x14ac:dyDescent="0.25">
      <c r="A463" s="9">
        <v>13</v>
      </c>
      <c r="B463" s="9">
        <v>8</v>
      </c>
      <c r="C463" s="9" t="s">
        <v>248</v>
      </c>
      <c r="D463" s="9" t="s">
        <v>16</v>
      </c>
      <c r="E463" s="9" t="s">
        <v>843</v>
      </c>
      <c r="F463" s="9" t="s">
        <v>844</v>
      </c>
      <c r="G463" s="3">
        <v>24.370999999999999</v>
      </c>
      <c r="H463" s="3">
        <f>IFERROR(INDEX('Tagging key'!D:D, MATCH(F463,'Tagging key'!C:C,0)),"")</f>
        <v>62.19</v>
      </c>
      <c r="I463" s="3">
        <f>IFERROR(INDEX('Tagging key'!E:E, MATCH(F463,'Tagging key'!C:C,0)),"")</f>
        <v>54.36</v>
      </c>
      <c r="J463" s="3">
        <f>IFERROR(INDEX('Tagging key'!F:F, MATCH(F463,'Tagging key'!C:C,0)),"")</f>
        <v>14.21</v>
      </c>
      <c r="K463" s="3">
        <v>24.344000000000001</v>
      </c>
      <c r="L463" s="3">
        <v>65.42</v>
      </c>
      <c r="M463" s="3">
        <v>41.79</v>
      </c>
      <c r="N463" s="3">
        <v>16.84</v>
      </c>
      <c r="O463" s="3"/>
      <c r="P463" s="22">
        <v>45886</v>
      </c>
      <c r="Q463" s="22">
        <v>45886</v>
      </c>
      <c r="R463" s="3">
        <v>16.134</v>
      </c>
    </row>
    <row r="464" spans="1:19" x14ac:dyDescent="0.25">
      <c r="A464" s="9">
        <v>13</v>
      </c>
      <c r="B464" s="9">
        <v>8</v>
      </c>
      <c r="C464" s="9" t="s">
        <v>248</v>
      </c>
      <c r="D464" s="9" t="s">
        <v>16</v>
      </c>
      <c r="E464" s="9" t="s">
        <v>811</v>
      </c>
      <c r="F464" s="9" t="s">
        <v>845</v>
      </c>
      <c r="G464" s="3">
        <v>25.213000000000001</v>
      </c>
      <c r="H464" s="3">
        <f>IFERROR(INDEX('Tagging key'!D:D, MATCH(F464,'Tagging key'!C:C,0)),"")</f>
        <v>60.92</v>
      </c>
      <c r="I464" s="3">
        <f>IFERROR(INDEX('Tagging key'!E:E, MATCH(F464,'Tagging key'!C:C,0)),"")</f>
        <v>44.39</v>
      </c>
      <c r="J464" s="3">
        <f>IFERROR(INDEX('Tagging key'!F:F, MATCH(F464,'Tagging key'!C:C,0)),"")</f>
        <v>18.02</v>
      </c>
      <c r="K464" s="3">
        <v>24.940999999999999</v>
      </c>
      <c r="L464" s="3">
        <v>62.04</v>
      </c>
      <c r="M464" s="3">
        <v>43.92</v>
      </c>
      <c r="N464" s="3">
        <v>17.559999999999999</v>
      </c>
      <c r="O464" s="3"/>
      <c r="P464" s="22">
        <v>45879</v>
      </c>
      <c r="Q464" s="22">
        <v>45879</v>
      </c>
      <c r="R464" s="3"/>
    </row>
    <row r="465" spans="1:19" x14ac:dyDescent="0.25">
      <c r="A465" s="9">
        <v>13</v>
      </c>
      <c r="B465" s="9">
        <v>8</v>
      </c>
      <c r="C465" s="9" t="s">
        <v>248</v>
      </c>
      <c r="D465" s="9" t="s">
        <v>16</v>
      </c>
      <c r="E465" s="9" t="s">
        <v>846</v>
      </c>
      <c r="F465" s="9" t="s">
        <v>847</v>
      </c>
      <c r="G465" s="3">
        <v>42.039000000000001</v>
      </c>
      <c r="H465" s="3">
        <f>IFERROR(INDEX('Tagging key'!D:D, MATCH(F465,'Tagging key'!C:C,0)),"")</f>
        <v>77.05</v>
      </c>
      <c r="I465" s="3">
        <f>IFERROR(INDEX('Tagging key'!E:E, MATCH(F465,'Tagging key'!C:C,0)),"")</f>
        <v>49.11</v>
      </c>
      <c r="J465" s="3">
        <f>IFERROR(INDEX('Tagging key'!F:F, MATCH(F465,'Tagging key'!C:C,0)),"")</f>
        <v>18</v>
      </c>
      <c r="K465" s="3">
        <v>41.896999999999998</v>
      </c>
      <c r="L465" s="3">
        <v>75.760000000000005</v>
      </c>
      <c r="M465" s="3">
        <v>46.11</v>
      </c>
      <c r="N465" s="3">
        <v>18.97</v>
      </c>
      <c r="O465" s="3"/>
      <c r="P465" s="22">
        <v>45877</v>
      </c>
      <c r="Q465" s="22">
        <v>45877</v>
      </c>
      <c r="R465" s="3"/>
    </row>
    <row r="466" spans="1:19" x14ac:dyDescent="0.25">
      <c r="A466" s="8">
        <v>13</v>
      </c>
      <c r="B466" s="8">
        <v>9</v>
      </c>
      <c r="C466" s="8" t="s">
        <v>248</v>
      </c>
      <c r="D466" s="8" t="s">
        <v>16</v>
      </c>
      <c r="E466" s="8" t="s">
        <v>804</v>
      </c>
      <c r="F466" s="8" t="s">
        <v>848</v>
      </c>
      <c r="G466" s="3">
        <v>34.78</v>
      </c>
      <c r="H466" s="3">
        <f>IFERROR(INDEX('Tagging key'!D:D, MATCH(F466,'Tagging key'!C:C,0)),"")</f>
        <v>69.510000000000005</v>
      </c>
      <c r="I466" s="3">
        <f>IFERROR(INDEX('Tagging key'!E:E, MATCH(F466,'Tagging key'!C:C,0)),"")</f>
        <v>48.35</v>
      </c>
      <c r="J466" s="3">
        <f>IFERROR(INDEX('Tagging key'!F:F, MATCH(F466,'Tagging key'!C:C,0)),"")</f>
        <v>16.05</v>
      </c>
      <c r="K466" s="3">
        <v>34.682000000000002</v>
      </c>
      <c r="L466" s="3">
        <v>69.81</v>
      </c>
      <c r="M466" s="3">
        <v>46.38</v>
      </c>
      <c r="N466" s="3">
        <v>18.34</v>
      </c>
      <c r="O466" s="3"/>
      <c r="P466" s="22">
        <v>45882</v>
      </c>
      <c r="Q466" s="22">
        <v>45882</v>
      </c>
      <c r="R466" s="3">
        <v>22.847999999999999</v>
      </c>
    </row>
    <row r="467" spans="1:19" x14ac:dyDescent="0.25">
      <c r="A467" s="8">
        <v>13</v>
      </c>
      <c r="B467" s="8">
        <v>9</v>
      </c>
      <c r="C467" s="8" t="s">
        <v>248</v>
      </c>
      <c r="D467" s="8" t="s">
        <v>16</v>
      </c>
      <c r="E467" s="8" t="s">
        <v>101</v>
      </c>
      <c r="F467" s="8" t="s">
        <v>849</v>
      </c>
      <c r="G467" s="3">
        <v>29.577000000000002</v>
      </c>
      <c r="H467" s="3">
        <f>IFERROR(INDEX('Tagging key'!D:D, MATCH(F467,'Tagging key'!C:C,0)),"")</f>
        <v>66.78</v>
      </c>
      <c r="I467" s="3">
        <f>IFERROR(INDEX('Tagging key'!E:E, MATCH(F467,'Tagging key'!C:C,0)),"")</f>
        <v>44.92</v>
      </c>
      <c r="J467" s="3">
        <f>IFERROR(INDEX('Tagging key'!F:F, MATCH(F467,'Tagging key'!C:C,0)),"")</f>
        <v>20.190000000000001</v>
      </c>
      <c r="K467" s="3">
        <v>29.379000000000001</v>
      </c>
      <c r="L467" s="3">
        <v>66.430000000000007</v>
      </c>
      <c r="M467" s="3">
        <v>41.98</v>
      </c>
      <c r="N467" s="3">
        <v>16.329999999999998</v>
      </c>
      <c r="O467" s="3"/>
      <c r="P467" s="22">
        <v>45886</v>
      </c>
      <c r="Q467" s="22">
        <v>45886</v>
      </c>
      <c r="R467" s="3"/>
    </row>
    <row r="468" spans="1:19" x14ac:dyDescent="0.25">
      <c r="A468" s="8">
        <v>13</v>
      </c>
      <c r="B468" s="8">
        <v>9</v>
      </c>
      <c r="C468" s="8" t="s">
        <v>248</v>
      </c>
      <c r="D468" s="8" t="s">
        <v>16</v>
      </c>
      <c r="E468" s="8" t="s">
        <v>850</v>
      </c>
      <c r="F468" s="8" t="s">
        <v>851</v>
      </c>
      <c r="G468" s="3">
        <v>23.065999999999999</v>
      </c>
      <c r="H468" s="3">
        <f>IFERROR(INDEX('Tagging key'!D:D, MATCH(F468,'Tagging key'!C:C,0)),"")</f>
        <v>64.47</v>
      </c>
      <c r="I468" s="3">
        <f>IFERROR(INDEX('Tagging key'!E:E, MATCH(F468,'Tagging key'!C:C,0)),"")</f>
        <v>43.44</v>
      </c>
      <c r="J468" s="3">
        <f>IFERROR(INDEX('Tagging key'!F:F, MATCH(F468,'Tagging key'!C:C,0)),"")</f>
        <v>15.89</v>
      </c>
      <c r="K468" s="3">
        <v>22.823</v>
      </c>
      <c r="L468" s="3">
        <v>66.11</v>
      </c>
      <c r="M468" s="3">
        <v>42.96</v>
      </c>
      <c r="N468" s="3">
        <v>14.48</v>
      </c>
      <c r="O468" s="3"/>
      <c r="P468" s="22">
        <v>45877</v>
      </c>
      <c r="Q468" s="22">
        <v>45877</v>
      </c>
      <c r="R468" s="3"/>
    </row>
    <row r="469" spans="1:19" x14ac:dyDescent="0.25">
      <c r="A469" s="8">
        <v>13</v>
      </c>
      <c r="B469" s="8">
        <v>9</v>
      </c>
      <c r="C469" s="8" t="s">
        <v>248</v>
      </c>
      <c r="D469" s="8" t="s">
        <v>16</v>
      </c>
      <c r="E469" s="8" t="s">
        <v>852</v>
      </c>
      <c r="F469" s="8" t="s">
        <v>853</v>
      </c>
      <c r="G469" s="3">
        <v>31.687000000000001</v>
      </c>
      <c r="H469" s="3">
        <f>IFERROR(INDEX('Tagging key'!D:D, MATCH(F469,'Tagging key'!C:C,0)),"")</f>
        <v>68.58</v>
      </c>
      <c r="I469" s="3">
        <f>IFERROR(INDEX('Tagging key'!E:E, MATCH(F469,'Tagging key'!C:C,0)),"")</f>
        <v>43.81</v>
      </c>
      <c r="J469" s="3">
        <f>IFERROR(INDEX('Tagging key'!F:F, MATCH(F469,'Tagging key'!C:C,0)),"")</f>
        <v>17.510000000000002</v>
      </c>
      <c r="K469" s="3">
        <v>31.593</v>
      </c>
      <c r="L469" s="3">
        <v>68.709999999999994</v>
      </c>
      <c r="M469" s="3">
        <v>41.64</v>
      </c>
      <c r="N469" s="3">
        <v>19.2</v>
      </c>
      <c r="O469" s="3"/>
      <c r="P469" s="22">
        <v>45879</v>
      </c>
      <c r="Q469" s="22">
        <v>45879</v>
      </c>
      <c r="R469" s="3"/>
    </row>
    <row r="470" spans="1:19" x14ac:dyDescent="0.25">
      <c r="A470" s="13">
        <v>14</v>
      </c>
      <c r="B470" s="13">
        <v>1</v>
      </c>
      <c r="C470" s="13" t="s">
        <v>176</v>
      </c>
      <c r="D470" s="13" t="s">
        <v>72</v>
      </c>
      <c r="E470" s="13" t="s">
        <v>854</v>
      </c>
      <c r="F470" s="13" t="str">
        <f>LEFT(D470,1)&amp;"_"&amp;E470</f>
        <v>S_G66B</v>
      </c>
      <c r="G470" s="3">
        <v>45.875</v>
      </c>
      <c r="H470" s="3">
        <f>IFERROR(INDEX('Tagging key'!D:D, MATCH(F470,'Tagging key'!C:C,0)),"")</f>
        <v>71</v>
      </c>
      <c r="I470" s="3">
        <f>IFERROR(INDEX('Tagging key'!E:E, MATCH(F470,'Tagging key'!C:C,0)),"")</f>
        <v>76</v>
      </c>
      <c r="J470" s="3">
        <f>IFERROR(INDEX('Tagging key'!F:F, MATCH(F470,'Tagging key'!C:C,0)),"")</f>
        <v>17</v>
      </c>
      <c r="K470" s="3">
        <v>42.584000000000003</v>
      </c>
      <c r="L470" s="3">
        <v>72.099999999999994</v>
      </c>
      <c r="M470" s="3">
        <v>78.55</v>
      </c>
      <c r="N470" s="3">
        <v>19.579999999999998</v>
      </c>
      <c r="O470" s="3"/>
      <c r="P470" s="22">
        <v>45879</v>
      </c>
      <c r="Q470" s="22">
        <v>45879</v>
      </c>
      <c r="R470" s="3"/>
    </row>
    <row r="471" spans="1:19" x14ac:dyDescent="0.25">
      <c r="A471" s="13">
        <v>14</v>
      </c>
      <c r="B471" s="13">
        <v>1</v>
      </c>
      <c r="C471" s="13" t="s">
        <v>176</v>
      </c>
      <c r="D471" s="13" t="s">
        <v>72</v>
      </c>
      <c r="E471" s="13" t="s">
        <v>855</v>
      </c>
      <c r="F471" s="13" t="str">
        <f t="shared" ref="F471:F534" si="5">LEFT(D471,1)&amp;"_"&amp;E471</f>
        <v>S_W88</v>
      </c>
      <c r="G471" s="3">
        <v>56.24</v>
      </c>
      <c r="H471" s="3">
        <f>IFERROR(INDEX('Tagging key'!D:D, MATCH(F471,'Tagging key'!C:C,0)),"")</f>
        <v>78</v>
      </c>
      <c r="I471" s="3">
        <f>IFERROR(INDEX('Tagging key'!E:E, MATCH(F471,'Tagging key'!C:C,0)),"")</f>
        <v>76</v>
      </c>
      <c r="J471" s="3">
        <f>IFERROR(INDEX('Tagging key'!F:F, MATCH(F471,'Tagging key'!C:C,0)),"")</f>
        <v>20</v>
      </c>
      <c r="K471" s="3">
        <v>54.372999999999998</v>
      </c>
      <c r="L471" s="3">
        <v>78.98</v>
      </c>
      <c r="M471" s="3">
        <v>78.849999999999994</v>
      </c>
      <c r="N471" s="3">
        <v>20.9</v>
      </c>
      <c r="O471" s="3"/>
      <c r="P471" s="22">
        <v>45882</v>
      </c>
      <c r="Q471" s="22">
        <v>45882</v>
      </c>
      <c r="R471" s="3">
        <v>25.126000000000001</v>
      </c>
    </row>
    <row r="472" spans="1:19" x14ac:dyDescent="0.25">
      <c r="A472" s="13">
        <v>14</v>
      </c>
      <c r="B472" s="13">
        <v>1</v>
      </c>
      <c r="C472" s="13" t="s">
        <v>176</v>
      </c>
      <c r="D472" s="13" t="s">
        <v>72</v>
      </c>
      <c r="E472" s="13" t="s">
        <v>856</v>
      </c>
      <c r="F472" s="13" t="str">
        <f t="shared" si="5"/>
        <v>S_W82</v>
      </c>
      <c r="G472" s="3">
        <v>49.235999999999997</v>
      </c>
      <c r="H472" s="3">
        <f>IFERROR(INDEX('Tagging key'!D:D, MATCH(F472,'Tagging key'!C:C,0)),"")</f>
        <v>73</v>
      </c>
      <c r="I472" s="3">
        <f>IFERROR(INDEX('Tagging key'!E:E, MATCH(F472,'Tagging key'!C:C,0)),"")</f>
        <v>75</v>
      </c>
      <c r="J472" s="3">
        <f>IFERROR(INDEX('Tagging key'!F:F, MATCH(F472,'Tagging key'!C:C,0)),"")</f>
        <v>19</v>
      </c>
      <c r="K472" s="3">
        <v>45.817999999999998</v>
      </c>
      <c r="L472" s="3">
        <v>73.58</v>
      </c>
      <c r="M472" s="3">
        <v>75</v>
      </c>
      <c r="N472" s="3">
        <v>19.48</v>
      </c>
      <c r="O472" s="3"/>
      <c r="P472" s="22">
        <v>45877</v>
      </c>
      <c r="Q472" s="22">
        <v>45877</v>
      </c>
      <c r="R472" s="3"/>
    </row>
    <row r="473" spans="1:19" x14ac:dyDescent="0.25">
      <c r="A473" s="13">
        <v>14</v>
      </c>
      <c r="B473" s="13">
        <v>1</v>
      </c>
      <c r="C473" s="13" t="s">
        <v>176</v>
      </c>
      <c r="D473" s="13" t="s">
        <v>72</v>
      </c>
      <c r="E473" s="13" t="s">
        <v>857</v>
      </c>
      <c r="F473" s="13" t="str">
        <f t="shared" si="5"/>
        <v>S_G89</v>
      </c>
      <c r="G473" s="3">
        <v>53.848999999999997</v>
      </c>
      <c r="H473" s="3">
        <f>IFERROR(INDEX('Tagging key'!D:D, MATCH(F473,'Tagging key'!C:C,0)),"")</f>
        <v>73</v>
      </c>
      <c r="I473" s="3">
        <f>IFERROR(INDEX('Tagging key'!E:E, MATCH(F473,'Tagging key'!C:C,0)),"")</f>
        <v>72</v>
      </c>
      <c r="J473" s="3">
        <f>IFERROR(INDEX('Tagging key'!F:F, MATCH(F473,'Tagging key'!C:C,0)),"")</f>
        <v>17</v>
      </c>
      <c r="K473" s="3">
        <v>56.530999999999999</v>
      </c>
      <c r="L473" s="3">
        <v>75.290000000000006</v>
      </c>
      <c r="M473" s="3">
        <v>75.010000000000005</v>
      </c>
      <c r="N473" s="3">
        <v>18.350000000000001</v>
      </c>
      <c r="O473" s="3"/>
      <c r="P473" s="22">
        <v>45886</v>
      </c>
      <c r="Q473" s="22">
        <v>45886</v>
      </c>
      <c r="R473" s="3">
        <v>28.893999999999998</v>
      </c>
    </row>
    <row r="474" spans="1:19" x14ac:dyDescent="0.25">
      <c r="A474" s="14">
        <v>14</v>
      </c>
      <c r="B474" s="14">
        <v>2</v>
      </c>
      <c r="C474" s="14" t="s">
        <v>176</v>
      </c>
      <c r="D474" s="14" t="s">
        <v>72</v>
      </c>
      <c r="E474" s="14" t="s">
        <v>578</v>
      </c>
      <c r="F474" s="14" t="str">
        <f t="shared" si="5"/>
        <v>S_G23</v>
      </c>
      <c r="G474" s="3">
        <v>52.204999999999998</v>
      </c>
      <c r="H474" s="3">
        <f>IFERROR(INDEX('Tagging key'!D:D, MATCH(F474,'Tagging key'!C:C,0)),"")</f>
        <v>72.010000000000005</v>
      </c>
      <c r="I474" s="3">
        <f>IFERROR(INDEX('Tagging key'!E:E, MATCH(F474,'Tagging key'!C:C,0)),"")</f>
        <v>76.33</v>
      </c>
      <c r="J474" s="3">
        <f>IFERROR(INDEX('Tagging key'!F:F, MATCH(F474,'Tagging key'!C:C,0)),"")</f>
        <v>20.309999999999999</v>
      </c>
      <c r="K474" s="3">
        <v>53.341999999999999</v>
      </c>
      <c r="L474" s="3">
        <v>74.05</v>
      </c>
      <c r="M474" s="3">
        <v>79.05</v>
      </c>
      <c r="N474" s="3">
        <v>22.97</v>
      </c>
      <c r="O474" s="3"/>
      <c r="P474" s="22">
        <v>45879</v>
      </c>
      <c r="Q474" s="22">
        <v>45879</v>
      </c>
      <c r="R474" s="3"/>
      <c r="S474" t="s">
        <v>858</v>
      </c>
    </row>
    <row r="475" spans="1:19" x14ac:dyDescent="0.25">
      <c r="A475" s="14">
        <v>14</v>
      </c>
      <c r="B475" s="14">
        <v>2</v>
      </c>
      <c r="C475" s="14" t="s">
        <v>176</v>
      </c>
      <c r="D475" s="14" t="s">
        <v>72</v>
      </c>
      <c r="E475" s="14" t="s">
        <v>859</v>
      </c>
      <c r="F475" s="14" t="str">
        <f t="shared" si="5"/>
        <v>S_Y24</v>
      </c>
      <c r="G475" s="3">
        <v>53.441000000000003</v>
      </c>
      <c r="H475" s="3">
        <f>IFERROR(INDEX('Tagging key'!D:D, MATCH(F475,'Tagging key'!C:C,0)),"")</f>
        <v>74</v>
      </c>
      <c r="I475" s="3">
        <f>IFERROR(INDEX('Tagging key'!E:E, MATCH(F475,'Tagging key'!C:C,0)),"")</f>
        <v>78</v>
      </c>
      <c r="J475" s="3">
        <f>IFERROR(INDEX('Tagging key'!F:F, MATCH(F475,'Tagging key'!C:C,0)),"")</f>
        <v>20</v>
      </c>
      <c r="K475" s="3">
        <v>50.64</v>
      </c>
      <c r="L475" s="3">
        <v>75.97</v>
      </c>
      <c r="M475" s="3">
        <v>79.31</v>
      </c>
      <c r="N475" s="3">
        <v>20.58</v>
      </c>
      <c r="O475" s="3"/>
      <c r="P475" s="22">
        <v>45877</v>
      </c>
      <c r="Q475" s="22">
        <v>45877</v>
      </c>
      <c r="R475" s="3"/>
    </row>
    <row r="476" spans="1:19" x14ac:dyDescent="0.25">
      <c r="A476" s="19">
        <v>14</v>
      </c>
      <c r="B476" s="19">
        <v>2</v>
      </c>
      <c r="C476" s="19" t="s">
        <v>176</v>
      </c>
      <c r="D476" s="19" t="s">
        <v>72</v>
      </c>
      <c r="E476" s="19" t="s">
        <v>860</v>
      </c>
      <c r="F476" s="19" t="str">
        <f t="shared" si="5"/>
        <v>S_Y89</v>
      </c>
      <c r="G476" s="19">
        <v>57.415999999999997</v>
      </c>
      <c r="H476" s="19">
        <f>IFERROR(INDEX('Tagging key'!D:D, MATCH(F476,'Tagging key'!C:C,0)),"")</f>
        <v>75</v>
      </c>
      <c r="I476" s="19">
        <f>IFERROR(INDEX('Tagging key'!E:E, MATCH(F476,'Tagging key'!C:C,0)),"")</f>
        <v>79</v>
      </c>
      <c r="J476" s="19">
        <f>IFERROR(INDEX('Tagging key'!F:F, MATCH(F476,'Tagging key'!C:C,0)),"")</f>
        <v>20</v>
      </c>
      <c r="K476" s="19"/>
      <c r="L476" s="19"/>
      <c r="M476" s="19"/>
      <c r="N476" s="19"/>
      <c r="O476" s="19"/>
      <c r="P476" s="19"/>
      <c r="Q476" s="19"/>
      <c r="R476" s="19"/>
      <c r="S476" t="s">
        <v>861</v>
      </c>
    </row>
    <row r="477" spans="1:19" x14ac:dyDescent="0.25">
      <c r="A477" s="14">
        <v>14</v>
      </c>
      <c r="B477" s="14">
        <v>2</v>
      </c>
      <c r="C477" s="14" t="s">
        <v>176</v>
      </c>
      <c r="D477" s="14" t="s">
        <v>72</v>
      </c>
      <c r="E477" s="14" t="s">
        <v>862</v>
      </c>
      <c r="F477" s="14" t="str">
        <f t="shared" si="5"/>
        <v>S_W52</v>
      </c>
      <c r="G477" s="3">
        <v>65.489999999999995</v>
      </c>
      <c r="H477" s="3">
        <f>IFERROR(INDEX('Tagging key'!D:D, MATCH(F477,'Tagging key'!C:C,0)),"")</f>
        <v>76</v>
      </c>
      <c r="I477" s="3">
        <f>IFERROR(INDEX('Tagging key'!E:E, MATCH(F477,'Tagging key'!C:C,0)),"")</f>
        <v>79</v>
      </c>
      <c r="J477" s="3">
        <f>IFERROR(INDEX('Tagging key'!F:F, MATCH(F477,'Tagging key'!C:C,0)),"")</f>
        <v>22</v>
      </c>
      <c r="K477" s="3">
        <v>65.742000000000004</v>
      </c>
      <c r="L477" s="3">
        <v>77.010000000000005</v>
      </c>
      <c r="M477" s="3">
        <v>77.33</v>
      </c>
      <c r="N477" s="3">
        <v>22.07</v>
      </c>
      <c r="O477" s="3"/>
      <c r="P477" s="22">
        <v>45882</v>
      </c>
      <c r="Q477" s="22">
        <v>45882</v>
      </c>
      <c r="R477" s="3">
        <v>31.870999999999999</v>
      </c>
    </row>
    <row r="478" spans="1:19" x14ac:dyDescent="0.25">
      <c r="A478" s="13">
        <v>14</v>
      </c>
      <c r="B478" s="13">
        <v>3</v>
      </c>
      <c r="C478" s="13" t="s">
        <v>176</v>
      </c>
      <c r="D478" s="13" t="s">
        <v>72</v>
      </c>
      <c r="E478" s="13" t="s">
        <v>258</v>
      </c>
      <c r="F478" s="13" t="str">
        <f t="shared" si="5"/>
        <v>S_G35</v>
      </c>
      <c r="G478" s="3">
        <v>61.107999999999997</v>
      </c>
      <c r="H478" s="3">
        <f>IFERROR(INDEX('Tagging key'!D:D, MATCH(F478,'Tagging key'!C:C,0)),"")</f>
        <v>74.19</v>
      </c>
      <c r="I478" s="3">
        <f>IFERROR(INDEX('Tagging key'!E:E, MATCH(F478,'Tagging key'!C:C,0)),"")</f>
        <v>81.44</v>
      </c>
      <c r="J478" s="3">
        <f>IFERROR(INDEX('Tagging key'!F:F, MATCH(F478,'Tagging key'!C:C,0)),"")</f>
        <v>21.15</v>
      </c>
      <c r="K478" s="3">
        <v>57.563000000000002</v>
      </c>
      <c r="L478" s="3">
        <v>74.42</v>
      </c>
      <c r="M478" s="3">
        <v>83.15</v>
      </c>
      <c r="N478" s="3">
        <v>22.12</v>
      </c>
      <c r="O478" s="3"/>
      <c r="P478" s="22">
        <v>45886</v>
      </c>
      <c r="Q478" s="22">
        <v>45886</v>
      </c>
      <c r="R478" s="3">
        <v>24.053000000000001</v>
      </c>
    </row>
    <row r="479" spans="1:19" x14ac:dyDescent="0.25">
      <c r="A479" s="13">
        <v>14</v>
      </c>
      <c r="B479" s="13">
        <v>3</v>
      </c>
      <c r="C479" s="13" t="s">
        <v>176</v>
      </c>
      <c r="D479" s="13" t="s">
        <v>72</v>
      </c>
      <c r="E479" s="13" t="s">
        <v>863</v>
      </c>
      <c r="F479" s="13" t="str">
        <f t="shared" si="5"/>
        <v>S_G18</v>
      </c>
      <c r="G479" s="3">
        <v>59.869</v>
      </c>
      <c r="H479" s="3">
        <f>IFERROR(INDEX('Tagging key'!D:D, MATCH(F479,'Tagging key'!C:C,0)),"")</f>
        <v>69.28</v>
      </c>
      <c r="I479" s="3">
        <f>IFERROR(INDEX('Tagging key'!E:E, MATCH(F479,'Tagging key'!C:C,0)),"")</f>
        <v>76.709999999999994</v>
      </c>
      <c r="J479" s="3">
        <f>IFERROR(INDEX('Tagging key'!F:F, MATCH(F479,'Tagging key'!C:C,0)),"")</f>
        <v>22.07</v>
      </c>
      <c r="K479" s="3">
        <v>59.308</v>
      </c>
      <c r="L479" s="3">
        <v>70.63</v>
      </c>
      <c r="M479" s="3">
        <v>78.23</v>
      </c>
      <c r="N479" s="3">
        <v>23.05</v>
      </c>
      <c r="O479" s="3"/>
      <c r="P479" s="22">
        <v>45882</v>
      </c>
      <c r="Q479" s="22">
        <v>45882</v>
      </c>
      <c r="R479" s="3">
        <v>28.645</v>
      </c>
    </row>
    <row r="480" spans="1:19" x14ac:dyDescent="0.25">
      <c r="A480" s="13">
        <v>14</v>
      </c>
      <c r="B480" s="13">
        <v>3</v>
      </c>
      <c r="C480" s="13" t="s">
        <v>176</v>
      </c>
      <c r="D480" s="13" t="s">
        <v>72</v>
      </c>
      <c r="E480" s="13" t="s">
        <v>864</v>
      </c>
      <c r="F480" s="13" t="str">
        <f t="shared" si="5"/>
        <v>S_Y2</v>
      </c>
      <c r="G480" s="3">
        <v>56.600999999999999</v>
      </c>
      <c r="H480" s="3">
        <f>IFERROR(INDEX('Tagging key'!D:D, MATCH(F480,'Tagging key'!C:C,0)),"")</f>
        <v>74.42</v>
      </c>
      <c r="I480" s="3">
        <f>IFERROR(INDEX('Tagging key'!E:E, MATCH(F480,'Tagging key'!C:C,0)),"")</f>
        <v>75.650000000000006</v>
      </c>
      <c r="J480" s="3">
        <f>IFERROR(INDEX('Tagging key'!F:F, MATCH(F480,'Tagging key'!C:C,0)),"")</f>
        <v>22.77</v>
      </c>
      <c r="K480" s="3">
        <v>57.786000000000001</v>
      </c>
      <c r="L480" s="3">
        <v>75.569999999999993</v>
      </c>
      <c r="M480" s="3">
        <v>78.989999999999995</v>
      </c>
      <c r="N480" s="3">
        <v>23.61</v>
      </c>
      <c r="O480" s="3"/>
      <c r="P480" s="22">
        <v>45877</v>
      </c>
      <c r="Q480" s="22">
        <v>45877</v>
      </c>
      <c r="R480" s="3"/>
    </row>
    <row r="481" spans="1:19" x14ac:dyDescent="0.25">
      <c r="A481" s="13">
        <v>14</v>
      </c>
      <c r="B481" s="13">
        <v>3</v>
      </c>
      <c r="C481" s="13" t="s">
        <v>176</v>
      </c>
      <c r="D481" s="13" t="s">
        <v>72</v>
      </c>
      <c r="E481" s="13" t="s">
        <v>865</v>
      </c>
      <c r="F481" s="13" t="str">
        <f t="shared" si="5"/>
        <v>S_G39</v>
      </c>
      <c r="G481" s="3">
        <v>58.081000000000003</v>
      </c>
      <c r="H481" s="3">
        <f>IFERROR(INDEX('Tagging key'!D:D, MATCH(F481,'Tagging key'!C:C,0)),"")</f>
        <v>74.05</v>
      </c>
      <c r="I481" s="3">
        <f>IFERROR(INDEX('Tagging key'!E:E, MATCH(F481,'Tagging key'!C:C,0)),"")</f>
        <v>76.5</v>
      </c>
      <c r="J481" s="3">
        <f>IFERROR(INDEX('Tagging key'!F:F, MATCH(F481,'Tagging key'!C:C,0)),"")</f>
        <v>20.57</v>
      </c>
      <c r="K481" s="3">
        <v>56.773000000000003</v>
      </c>
      <c r="L481" s="3">
        <v>75.64</v>
      </c>
      <c r="M481" s="3">
        <v>79.400000000000006</v>
      </c>
      <c r="N481" s="3">
        <v>22.91</v>
      </c>
      <c r="O481" s="3"/>
      <c r="P481" s="22">
        <v>45879</v>
      </c>
      <c r="Q481" s="22">
        <v>45879</v>
      </c>
      <c r="R481" s="3"/>
    </row>
    <row r="482" spans="1:19" x14ac:dyDescent="0.25">
      <c r="A482" s="8">
        <v>14</v>
      </c>
      <c r="B482" s="8">
        <v>4</v>
      </c>
      <c r="C482" s="8" t="s">
        <v>176</v>
      </c>
      <c r="D482" s="8" t="s">
        <v>16</v>
      </c>
      <c r="E482" s="8" t="s">
        <v>814</v>
      </c>
      <c r="F482" s="8" t="str">
        <f t="shared" si="5"/>
        <v>O_R47</v>
      </c>
      <c r="G482" s="3">
        <v>37.154000000000003</v>
      </c>
      <c r="H482" s="3">
        <f>IFERROR(INDEX('Tagging key'!D:D, MATCH(F482,'Tagging key'!C:C,0)),"")</f>
        <v>66.75</v>
      </c>
      <c r="I482" s="3">
        <f>IFERROR(INDEX('Tagging key'!E:E, MATCH(F482,'Tagging key'!C:C,0)),"")</f>
        <v>48.68</v>
      </c>
      <c r="J482" s="3">
        <f>IFERROR(INDEX('Tagging key'!F:F, MATCH(F482,'Tagging key'!C:C,0)),"")</f>
        <v>17.59</v>
      </c>
      <c r="K482" s="3">
        <v>37.055999999999997</v>
      </c>
      <c r="L482" s="3">
        <v>69.680000000000007</v>
      </c>
      <c r="M482" s="3">
        <v>49.35</v>
      </c>
      <c r="N482" s="3">
        <v>18.39</v>
      </c>
      <c r="O482" s="3"/>
      <c r="P482" s="22">
        <v>45877</v>
      </c>
      <c r="Q482" s="22">
        <v>45877</v>
      </c>
      <c r="R482" s="3"/>
    </row>
    <row r="483" spans="1:19" x14ac:dyDescent="0.25">
      <c r="A483" s="8">
        <v>14</v>
      </c>
      <c r="B483" s="8">
        <v>4</v>
      </c>
      <c r="C483" s="8" t="s">
        <v>176</v>
      </c>
      <c r="D483" s="8" t="s">
        <v>16</v>
      </c>
      <c r="E483" s="8" t="s">
        <v>260</v>
      </c>
      <c r="F483" s="8" t="str">
        <f t="shared" si="5"/>
        <v>O_R75</v>
      </c>
      <c r="G483" s="3">
        <v>28.138999999999999</v>
      </c>
      <c r="H483" s="3">
        <f>IFERROR(INDEX('Tagging key'!D:D, MATCH(F483,'Tagging key'!C:C,0)),"")</f>
        <v>63.11</v>
      </c>
      <c r="I483" s="3">
        <f>IFERROR(INDEX('Tagging key'!E:E, MATCH(F483,'Tagging key'!C:C,0)),"")</f>
        <v>56.4</v>
      </c>
      <c r="J483" s="3">
        <f>IFERROR(INDEX('Tagging key'!F:F, MATCH(F483,'Tagging key'!C:C,0)),"")</f>
        <v>16.13</v>
      </c>
      <c r="K483" s="3">
        <v>28.117999999999999</v>
      </c>
      <c r="L483" s="3">
        <v>69.489999999999995</v>
      </c>
      <c r="M483" s="3">
        <v>39.04</v>
      </c>
      <c r="N483" s="3">
        <v>16.7</v>
      </c>
      <c r="O483" s="3"/>
      <c r="P483" s="22">
        <v>45882</v>
      </c>
      <c r="Q483" s="22">
        <v>45882</v>
      </c>
      <c r="R483" s="3">
        <v>16.768000000000001</v>
      </c>
    </row>
    <row r="484" spans="1:19" x14ac:dyDescent="0.25">
      <c r="A484" s="8">
        <v>14</v>
      </c>
      <c r="B484" s="8">
        <v>4</v>
      </c>
      <c r="C484" s="8" t="s">
        <v>176</v>
      </c>
      <c r="D484" s="8" t="s">
        <v>16</v>
      </c>
      <c r="E484" s="8" t="s">
        <v>866</v>
      </c>
      <c r="F484" s="8" t="str">
        <f t="shared" si="5"/>
        <v>O_R72</v>
      </c>
      <c r="G484" s="3">
        <v>36.915999999999997</v>
      </c>
      <c r="H484" s="3">
        <f>IFERROR(INDEX('Tagging key'!D:D, MATCH(F484,'Tagging key'!C:C,0)),"")</f>
        <v>63.49</v>
      </c>
      <c r="I484" s="3">
        <f>IFERROR(INDEX('Tagging key'!E:E, MATCH(F484,'Tagging key'!C:C,0)),"")</f>
        <v>52.02</v>
      </c>
      <c r="J484" s="3">
        <f>IFERROR(INDEX('Tagging key'!F:F, MATCH(F484,'Tagging key'!C:C,0)),"")</f>
        <v>18.54</v>
      </c>
      <c r="K484" s="3">
        <v>36.700000000000003</v>
      </c>
      <c r="L484" s="3">
        <v>64.260000000000005</v>
      </c>
      <c r="M484" s="3">
        <v>51.24</v>
      </c>
      <c r="N484" s="3">
        <v>19.21</v>
      </c>
      <c r="O484" s="3"/>
      <c r="P484" s="22">
        <v>45886</v>
      </c>
      <c r="Q484" s="22">
        <v>45886</v>
      </c>
      <c r="R484" s="3">
        <v>25.21</v>
      </c>
    </row>
    <row r="485" spans="1:19" x14ac:dyDescent="0.25">
      <c r="A485" s="8">
        <v>14</v>
      </c>
      <c r="B485" s="8">
        <v>4</v>
      </c>
      <c r="C485" s="8" t="s">
        <v>176</v>
      </c>
      <c r="D485" s="8" t="s">
        <v>16</v>
      </c>
      <c r="E485" s="8" t="s">
        <v>262</v>
      </c>
      <c r="F485" s="8" t="str">
        <f t="shared" si="5"/>
        <v>O_R68</v>
      </c>
      <c r="G485" s="3">
        <v>24.484000000000002</v>
      </c>
      <c r="H485" s="3">
        <f>IFERROR(INDEX('Tagging key'!D:D, MATCH(F485,'Tagging key'!C:C,0)),"")</f>
        <v>68.14</v>
      </c>
      <c r="I485" s="3">
        <f>IFERROR(INDEX('Tagging key'!E:E, MATCH(F485,'Tagging key'!C:C,0)),"")</f>
        <v>39.94</v>
      </c>
      <c r="J485" s="3">
        <f>IFERROR(INDEX('Tagging key'!F:F, MATCH(F485,'Tagging key'!C:C,0)),"")</f>
        <v>16.93</v>
      </c>
      <c r="K485" s="3">
        <v>24.303000000000001</v>
      </c>
      <c r="L485" s="3">
        <v>69.48</v>
      </c>
      <c r="M485" s="3">
        <v>40.130000000000003</v>
      </c>
      <c r="N485" s="3">
        <v>18.559999999999999</v>
      </c>
      <c r="O485" s="3"/>
      <c r="P485" s="22">
        <v>45879</v>
      </c>
      <c r="Q485" s="22">
        <v>45879</v>
      </c>
      <c r="R485" s="3"/>
    </row>
    <row r="486" spans="1:19" x14ac:dyDescent="0.25">
      <c r="A486" s="9">
        <v>14</v>
      </c>
      <c r="B486" s="9">
        <v>5</v>
      </c>
      <c r="C486" s="9" t="s">
        <v>176</v>
      </c>
      <c r="D486" s="9" t="s">
        <v>16</v>
      </c>
      <c r="E486" s="9" t="s">
        <v>867</v>
      </c>
      <c r="F486" s="9" t="str">
        <f t="shared" si="5"/>
        <v>O_R34</v>
      </c>
      <c r="G486" s="3">
        <v>38.588000000000001</v>
      </c>
      <c r="H486" s="3">
        <f>IFERROR(INDEX('Tagging key'!D:D, MATCH(F486,'Tagging key'!C:C,0)),"")</f>
        <v>70.8</v>
      </c>
      <c r="I486" s="3">
        <f>IFERROR(INDEX('Tagging key'!E:E, MATCH(F486,'Tagging key'!C:C,0)),"")</f>
        <v>61.41</v>
      </c>
      <c r="J486" s="3">
        <f>IFERROR(INDEX('Tagging key'!F:F, MATCH(F486,'Tagging key'!C:C,0)),"")</f>
        <v>15.53</v>
      </c>
      <c r="K486" s="3">
        <v>38.262</v>
      </c>
      <c r="L486" s="3">
        <v>76.569999999999993</v>
      </c>
      <c r="M486" s="3">
        <v>50.94</v>
      </c>
      <c r="N486" s="3">
        <v>19.489999999999998</v>
      </c>
      <c r="O486" s="3"/>
      <c r="P486" s="22">
        <v>45882</v>
      </c>
      <c r="Q486" s="22">
        <v>45882</v>
      </c>
      <c r="R486" s="3">
        <v>21.597999999999999</v>
      </c>
    </row>
    <row r="487" spans="1:19" x14ac:dyDescent="0.25">
      <c r="A487" s="9">
        <v>14</v>
      </c>
      <c r="B487" s="9">
        <v>5</v>
      </c>
      <c r="C487" s="9" t="s">
        <v>176</v>
      </c>
      <c r="D487" s="9" t="s">
        <v>16</v>
      </c>
      <c r="E487" s="9" t="s">
        <v>442</v>
      </c>
      <c r="F487" s="9" t="str">
        <f t="shared" si="5"/>
        <v>O_B77</v>
      </c>
      <c r="G487" s="3">
        <v>37.667999999999999</v>
      </c>
      <c r="H487" s="3">
        <f>IFERROR(INDEX('Tagging key'!D:D, MATCH(F487,'Tagging key'!C:C,0)),"")</f>
        <v>75.33</v>
      </c>
      <c r="I487" s="3">
        <f>IFERROR(INDEX('Tagging key'!E:E, MATCH(F487,'Tagging key'!C:C,0)),"")</f>
        <v>47.97</v>
      </c>
      <c r="J487" s="3">
        <f>IFERROR(INDEX('Tagging key'!F:F, MATCH(F487,'Tagging key'!C:C,0)),"")</f>
        <v>16</v>
      </c>
      <c r="K487" s="3">
        <v>37.844000000000001</v>
      </c>
      <c r="L487" s="3">
        <v>76.17</v>
      </c>
      <c r="M487" s="3">
        <v>46.73</v>
      </c>
      <c r="N487" s="3">
        <v>19.32</v>
      </c>
      <c r="O487" s="3"/>
      <c r="P487" s="22">
        <v>45886</v>
      </c>
      <c r="Q487" s="22">
        <v>45886</v>
      </c>
      <c r="R487" s="3">
        <v>23.167999999999999</v>
      </c>
    </row>
    <row r="488" spans="1:19" x14ac:dyDescent="0.25">
      <c r="A488" s="9">
        <v>14</v>
      </c>
      <c r="B488" s="9">
        <v>5</v>
      </c>
      <c r="C488" s="9" t="s">
        <v>176</v>
      </c>
      <c r="D488" s="9" t="s">
        <v>16</v>
      </c>
      <c r="E488" s="9" t="s">
        <v>868</v>
      </c>
      <c r="F488" s="9" t="str">
        <f t="shared" si="5"/>
        <v>O_W2</v>
      </c>
      <c r="G488" s="3">
        <v>46.790999999999997</v>
      </c>
      <c r="H488" s="3">
        <f>IFERROR(INDEX('Tagging key'!D:D, MATCH(F488,'Tagging key'!C:C,0)),"")</f>
        <v>79.06</v>
      </c>
      <c r="I488" s="3">
        <f>IFERROR(INDEX('Tagging key'!E:E, MATCH(F488,'Tagging key'!C:C,0)),"")</f>
        <v>54.15</v>
      </c>
      <c r="J488" s="3">
        <f>IFERROR(INDEX('Tagging key'!F:F, MATCH(F488,'Tagging key'!C:C,0)),"")</f>
        <v>20.71</v>
      </c>
      <c r="K488" s="3">
        <v>46.811999999999998</v>
      </c>
      <c r="L488" s="3">
        <v>79.78</v>
      </c>
      <c r="M488" s="3">
        <v>54.07</v>
      </c>
      <c r="N488" s="3">
        <v>23.19</v>
      </c>
      <c r="O488" s="3"/>
      <c r="P488" s="22">
        <v>45879</v>
      </c>
      <c r="Q488" s="22">
        <v>45879</v>
      </c>
      <c r="R488" s="3"/>
    </row>
    <row r="489" spans="1:19" x14ac:dyDescent="0.25">
      <c r="A489" s="9">
        <v>14</v>
      </c>
      <c r="B489" s="9">
        <v>5</v>
      </c>
      <c r="C489" s="9" t="s">
        <v>176</v>
      </c>
      <c r="D489" s="9" t="s">
        <v>16</v>
      </c>
      <c r="E489" s="9" t="s">
        <v>251</v>
      </c>
      <c r="F489" s="9" t="str">
        <f t="shared" si="5"/>
        <v>O_B26</v>
      </c>
      <c r="G489" s="3">
        <v>28.212</v>
      </c>
      <c r="H489" s="3">
        <f>IFERROR(INDEX('Tagging key'!D:D, MATCH(F489,'Tagging key'!C:C,0)),"")</f>
        <v>63.44</v>
      </c>
      <c r="I489" s="3">
        <f>IFERROR(INDEX('Tagging key'!E:E, MATCH(F489,'Tagging key'!C:C,0)),"")</f>
        <v>47.71</v>
      </c>
      <c r="J489" s="3">
        <f>IFERROR(INDEX('Tagging key'!F:F, MATCH(F489,'Tagging key'!C:C,0)),"")</f>
        <v>17.38</v>
      </c>
      <c r="K489" s="3">
        <v>27.928000000000001</v>
      </c>
      <c r="L489" s="3">
        <v>64.989999999999995</v>
      </c>
      <c r="M489" s="3">
        <v>43.52</v>
      </c>
      <c r="N489" s="3">
        <v>18.52</v>
      </c>
      <c r="O489" s="3"/>
      <c r="P489" s="22">
        <v>45877</v>
      </c>
      <c r="Q489" s="22">
        <v>45877</v>
      </c>
      <c r="R489" s="3"/>
    </row>
    <row r="490" spans="1:19" x14ac:dyDescent="0.25">
      <c r="A490" s="8">
        <v>14</v>
      </c>
      <c r="B490" s="8">
        <v>6</v>
      </c>
      <c r="C490" s="8" t="s">
        <v>176</v>
      </c>
      <c r="D490" s="8" t="s">
        <v>16</v>
      </c>
      <c r="E490" s="8" t="s">
        <v>786</v>
      </c>
      <c r="F490" s="8" t="str">
        <f t="shared" si="5"/>
        <v>O_B66</v>
      </c>
      <c r="G490" s="3">
        <v>48.881999999999998</v>
      </c>
      <c r="H490" s="3">
        <f>IFERROR(INDEX('Tagging key'!D:D, MATCH(F490,'Tagging key'!C:C,0)),"")</f>
        <v>71.58</v>
      </c>
      <c r="I490" s="3">
        <f>IFERROR(INDEX('Tagging key'!E:E, MATCH(F490,'Tagging key'!C:C,0)),"")</f>
        <v>48.32</v>
      </c>
      <c r="J490" s="3">
        <f>IFERROR(INDEX('Tagging key'!F:F, MATCH(F490,'Tagging key'!C:C,0)),"")</f>
        <v>22.87</v>
      </c>
      <c r="K490" s="3">
        <v>48.643999999999998</v>
      </c>
      <c r="L490" s="3">
        <v>73.900000000000006</v>
      </c>
      <c r="M490" s="3">
        <v>48.61</v>
      </c>
      <c r="N490" s="3">
        <v>27.82</v>
      </c>
      <c r="O490" s="3"/>
      <c r="P490" s="22">
        <v>45877</v>
      </c>
      <c r="Q490" s="22">
        <v>45877</v>
      </c>
      <c r="R490" s="3"/>
    </row>
    <row r="491" spans="1:19" x14ac:dyDescent="0.25">
      <c r="A491" s="8">
        <v>14</v>
      </c>
      <c r="B491" s="8">
        <v>6</v>
      </c>
      <c r="C491" s="8" t="s">
        <v>176</v>
      </c>
      <c r="D491" s="8" t="s">
        <v>16</v>
      </c>
      <c r="E491" s="8" t="s">
        <v>869</v>
      </c>
      <c r="F491" s="8" t="str">
        <f t="shared" si="5"/>
        <v>O_R22</v>
      </c>
      <c r="G491" s="3">
        <v>25.614000000000001</v>
      </c>
      <c r="H491" s="3">
        <f>IFERROR(INDEX('Tagging key'!D:D, MATCH(F491,'Tagging key'!C:C,0)),"")</f>
        <v>69.94</v>
      </c>
      <c r="I491" s="3">
        <f>IFERROR(INDEX('Tagging key'!E:E, MATCH(F491,'Tagging key'!C:C,0)),"")</f>
        <v>48.94</v>
      </c>
      <c r="J491" s="3">
        <f>IFERROR(INDEX('Tagging key'!F:F, MATCH(F491,'Tagging key'!C:C,0)),"")</f>
        <v>19.079999999999998</v>
      </c>
      <c r="K491" s="3">
        <v>25.431000000000001</v>
      </c>
      <c r="L491" s="3">
        <v>69.2</v>
      </c>
      <c r="M491" s="3">
        <v>43.54</v>
      </c>
      <c r="N491" s="3">
        <v>14.92</v>
      </c>
      <c r="O491" s="3"/>
      <c r="P491" s="22">
        <v>45879</v>
      </c>
      <c r="Q491" s="22">
        <v>45879</v>
      </c>
      <c r="R491" s="3"/>
    </row>
    <row r="492" spans="1:19" x14ac:dyDescent="0.25">
      <c r="A492" s="8">
        <v>14</v>
      </c>
      <c r="B492" s="8">
        <v>6</v>
      </c>
      <c r="C492" s="8" t="s">
        <v>176</v>
      </c>
      <c r="D492" s="8" t="s">
        <v>16</v>
      </c>
      <c r="E492" s="8" t="s">
        <v>772</v>
      </c>
      <c r="F492" s="8" t="str">
        <f t="shared" si="5"/>
        <v>O_B15</v>
      </c>
      <c r="G492" s="3">
        <v>39.451999999999998</v>
      </c>
      <c r="H492" s="3">
        <f>IFERROR(INDEX('Tagging key'!D:D, MATCH(F492,'Tagging key'!C:C,0)),"")</f>
        <v>80.430000000000007</v>
      </c>
      <c r="I492" s="3">
        <f>IFERROR(INDEX('Tagging key'!E:E, MATCH(F492,'Tagging key'!C:C,0)),"")</f>
        <v>43.15</v>
      </c>
      <c r="J492" s="3">
        <f>IFERROR(INDEX('Tagging key'!F:F, MATCH(F492,'Tagging key'!C:C,0)),"")</f>
        <v>16.440000000000001</v>
      </c>
      <c r="K492" s="3">
        <v>39.537999999999997</v>
      </c>
      <c r="L492" s="3">
        <v>79.5</v>
      </c>
      <c r="M492" s="3">
        <v>42.73</v>
      </c>
      <c r="N492" s="3">
        <v>18.61</v>
      </c>
      <c r="O492" s="3"/>
      <c r="P492" s="22">
        <v>45882</v>
      </c>
      <c r="Q492" s="22">
        <v>45882</v>
      </c>
      <c r="R492" s="3">
        <v>27.151</v>
      </c>
    </row>
    <row r="493" spans="1:19" x14ac:dyDescent="0.25">
      <c r="A493" s="8">
        <v>14</v>
      </c>
      <c r="B493" s="8">
        <v>6</v>
      </c>
      <c r="C493" s="8" t="s">
        <v>176</v>
      </c>
      <c r="D493" s="8" t="s">
        <v>16</v>
      </c>
      <c r="E493" s="8" t="s">
        <v>870</v>
      </c>
      <c r="F493" s="8" t="str">
        <f t="shared" si="5"/>
        <v>O_W28</v>
      </c>
      <c r="G493" s="3">
        <v>28.291</v>
      </c>
      <c r="H493" s="3">
        <f>IFERROR(INDEX('Tagging key'!D:D, MATCH(F493,'Tagging key'!C:C,0)),"")</f>
        <v>63.2</v>
      </c>
      <c r="I493" s="3">
        <f>IFERROR(INDEX('Tagging key'!E:E, MATCH(F493,'Tagging key'!C:C,0)),"")</f>
        <v>46.65</v>
      </c>
      <c r="J493" s="3">
        <f>IFERROR(INDEX('Tagging key'!F:F, MATCH(F493,'Tagging key'!C:C,0)),"")</f>
        <v>21.31</v>
      </c>
      <c r="K493" s="3">
        <v>28.41</v>
      </c>
      <c r="L493" s="3">
        <v>64.069999999999993</v>
      </c>
      <c r="M493" s="3">
        <v>44.5</v>
      </c>
      <c r="N493" s="3">
        <v>21.8</v>
      </c>
      <c r="O493" s="3"/>
      <c r="P493" s="22">
        <v>45886</v>
      </c>
      <c r="Q493" s="22">
        <v>45886</v>
      </c>
      <c r="R493" s="3">
        <v>17.047000000000001</v>
      </c>
    </row>
    <row r="494" spans="1:19" x14ac:dyDescent="0.25">
      <c r="A494" s="11">
        <v>14</v>
      </c>
      <c r="B494" s="11">
        <v>7</v>
      </c>
      <c r="C494" s="11" t="s">
        <v>176</v>
      </c>
      <c r="D494" s="11" t="s">
        <v>46</v>
      </c>
      <c r="E494" s="11" t="s">
        <v>32</v>
      </c>
      <c r="F494" s="11" t="str">
        <f t="shared" si="5"/>
        <v>M_B5</v>
      </c>
      <c r="G494" s="3">
        <v>43.287999999999997</v>
      </c>
      <c r="H494" s="3">
        <f>IFERROR(INDEX('Tagging key'!D:D, MATCH(F494,'Tagging key'!C:C,0)),"")</f>
        <v>76.44</v>
      </c>
      <c r="I494" s="3">
        <f>IFERROR(INDEX('Tagging key'!E:E, MATCH(F494,'Tagging key'!C:C,0)),"")</f>
        <v>40.21</v>
      </c>
      <c r="J494" s="3">
        <f>IFERROR(INDEX('Tagging key'!F:F, MATCH(F494,'Tagging key'!C:C,0)),"")</f>
        <v>26.93</v>
      </c>
      <c r="K494" s="3">
        <v>43.595999999999997</v>
      </c>
      <c r="L494" s="3">
        <v>77.09</v>
      </c>
      <c r="M494" s="3">
        <v>39.18</v>
      </c>
      <c r="N494" s="3">
        <v>28.17</v>
      </c>
      <c r="O494" s="3"/>
      <c r="P494" s="22">
        <v>45877</v>
      </c>
      <c r="Q494" s="22">
        <v>45877</v>
      </c>
      <c r="R494" s="3"/>
    </row>
    <row r="495" spans="1:19" x14ac:dyDescent="0.25">
      <c r="A495" s="11">
        <v>14</v>
      </c>
      <c r="B495" s="11">
        <v>7</v>
      </c>
      <c r="C495" s="11" t="s">
        <v>176</v>
      </c>
      <c r="D495" s="11" t="s">
        <v>46</v>
      </c>
      <c r="E495" s="11" t="s">
        <v>871</v>
      </c>
      <c r="F495" s="11" t="str">
        <f t="shared" si="5"/>
        <v>M_R86</v>
      </c>
      <c r="G495" s="3">
        <v>43.466000000000001</v>
      </c>
      <c r="H495" s="3">
        <f>IFERROR(INDEX('Tagging key'!D:D, MATCH(F495,'Tagging key'!C:C,0)),"")</f>
        <v>75.77</v>
      </c>
      <c r="I495" s="3">
        <f>IFERROR(INDEX('Tagging key'!E:E, MATCH(F495,'Tagging key'!C:C,0)),"")</f>
        <v>37.93</v>
      </c>
      <c r="J495" s="3">
        <f>IFERROR(INDEX('Tagging key'!F:F, MATCH(F495,'Tagging key'!C:C,0)),"")</f>
        <v>28.94</v>
      </c>
      <c r="K495" s="3">
        <v>43.975999999999999</v>
      </c>
      <c r="L495" s="3">
        <v>75.17</v>
      </c>
      <c r="M495" s="3">
        <v>37.07</v>
      </c>
      <c r="N495" s="3">
        <v>29.23</v>
      </c>
      <c r="O495" s="3"/>
      <c r="P495" s="22">
        <v>45882</v>
      </c>
      <c r="Q495" s="22">
        <v>45882</v>
      </c>
      <c r="R495" s="3">
        <v>15.329000000000001</v>
      </c>
    </row>
    <row r="496" spans="1:19" x14ac:dyDescent="0.25">
      <c r="A496" s="11">
        <v>14</v>
      </c>
      <c r="B496" s="11">
        <v>7</v>
      </c>
      <c r="C496" s="11" t="s">
        <v>176</v>
      </c>
      <c r="D496" s="11" t="s">
        <v>46</v>
      </c>
      <c r="E496" s="11" t="s">
        <v>872</v>
      </c>
      <c r="F496" s="11" t="str">
        <f t="shared" si="5"/>
        <v>M_R31</v>
      </c>
      <c r="G496" s="3">
        <v>38.084000000000003</v>
      </c>
      <c r="H496" s="3">
        <f>IFERROR(INDEX('Tagging key'!D:D, MATCH(F496,'Tagging key'!C:C,0)),"")</f>
        <v>64.45</v>
      </c>
      <c r="I496" s="3">
        <f>IFERROR(INDEX('Tagging key'!E:E, MATCH(F496,'Tagging key'!C:C,0)),"")</f>
        <v>32.71</v>
      </c>
      <c r="J496" s="3">
        <f>IFERROR(INDEX('Tagging key'!F:F, MATCH(F496,'Tagging key'!C:C,0)),"")</f>
        <v>31.76</v>
      </c>
      <c r="K496" s="3">
        <v>33.384</v>
      </c>
      <c r="L496" s="3">
        <v>64.27</v>
      </c>
      <c r="M496" s="3">
        <v>30.31</v>
      </c>
      <c r="N496" s="3">
        <v>31.4</v>
      </c>
      <c r="O496" s="3"/>
      <c r="P496" s="22">
        <v>45886</v>
      </c>
      <c r="Q496" s="22">
        <v>45886</v>
      </c>
      <c r="R496" s="3">
        <v>13.151</v>
      </c>
      <c r="S496" s="3">
        <v>17.109000000000002</v>
      </c>
    </row>
    <row r="497" spans="1:19" x14ac:dyDescent="0.25">
      <c r="A497" s="11">
        <v>14</v>
      </c>
      <c r="B497" s="11">
        <v>7</v>
      </c>
      <c r="C497" s="11" t="s">
        <v>176</v>
      </c>
      <c r="D497" s="11" t="s">
        <v>46</v>
      </c>
      <c r="E497" s="11" t="s">
        <v>222</v>
      </c>
      <c r="F497" s="11" t="str">
        <f t="shared" si="5"/>
        <v>M_R65</v>
      </c>
      <c r="G497" s="3">
        <v>41.183</v>
      </c>
      <c r="H497" s="3">
        <f>IFERROR(INDEX('Tagging key'!D:D, MATCH(F497,'Tagging key'!C:C,0)),"")</f>
        <v>72.989999999999995</v>
      </c>
      <c r="I497" s="3">
        <f>IFERROR(INDEX('Tagging key'!E:E, MATCH(F497,'Tagging key'!C:C,0)),"")</f>
        <v>43.04</v>
      </c>
      <c r="J497" s="3">
        <f>IFERROR(INDEX('Tagging key'!F:F, MATCH(F497,'Tagging key'!C:C,0)),"")</f>
        <v>29.57</v>
      </c>
      <c r="K497" s="3">
        <v>42.470999999999997</v>
      </c>
      <c r="L497" s="3">
        <v>74.28</v>
      </c>
      <c r="M497" s="3">
        <v>39.67</v>
      </c>
      <c r="N497" s="3">
        <v>30.08</v>
      </c>
      <c r="O497" s="3"/>
      <c r="P497" s="22">
        <v>45879</v>
      </c>
      <c r="Q497" s="22">
        <v>45879</v>
      </c>
      <c r="R497" s="3"/>
    </row>
    <row r="498" spans="1:19" x14ac:dyDescent="0.25">
      <c r="A498" s="12">
        <v>14</v>
      </c>
      <c r="B498" s="12">
        <v>8</v>
      </c>
      <c r="C498" s="12" t="s">
        <v>176</v>
      </c>
      <c r="D498" s="12" t="s">
        <v>46</v>
      </c>
      <c r="E498" s="12" t="s">
        <v>599</v>
      </c>
      <c r="F498" s="12" t="str">
        <f t="shared" si="5"/>
        <v>M_B11</v>
      </c>
      <c r="G498" s="3">
        <v>43.869</v>
      </c>
      <c r="H498" s="3">
        <f>IFERROR(INDEX('Tagging key'!D:D, MATCH(F498,'Tagging key'!C:C,0)),"")</f>
        <v>73</v>
      </c>
      <c r="I498" s="3">
        <f>IFERROR(INDEX('Tagging key'!E:E, MATCH(F498,'Tagging key'!C:C,0)),"")</f>
        <v>39</v>
      </c>
      <c r="J498" s="3">
        <f>IFERROR(INDEX('Tagging key'!F:F, MATCH(F498,'Tagging key'!C:C,0)),"")</f>
        <v>29</v>
      </c>
      <c r="K498" s="3">
        <v>44.195</v>
      </c>
      <c r="L498" s="3">
        <v>73.13</v>
      </c>
      <c r="M498" s="3">
        <v>39.06</v>
      </c>
      <c r="N498" s="3">
        <v>29.04</v>
      </c>
      <c r="O498" s="3"/>
      <c r="P498" s="22">
        <v>45882</v>
      </c>
      <c r="Q498" s="22">
        <v>45882</v>
      </c>
      <c r="R498" s="3">
        <v>15.474</v>
      </c>
    </row>
    <row r="499" spans="1:19" x14ac:dyDescent="0.25">
      <c r="A499" s="12">
        <v>14</v>
      </c>
      <c r="B499" s="12">
        <v>8</v>
      </c>
      <c r="C499" s="12" t="s">
        <v>176</v>
      </c>
      <c r="D499" s="12" t="s">
        <v>46</v>
      </c>
      <c r="E499" s="12" t="s">
        <v>838</v>
      </c>
      <c r="F499" s="12" t="str">
        <f t="shared" si="5"/>
        <v>M_R16</v>
      </c>
      <c r="G499" s="3">
        <v>22.693999999999999</v>
      </c>
      <c r="H499" s="3">
        <f>IFERROR(INDEX('Tagging key'!D:D, MATCH(F499,'Tagging key'!C:C,0)),"")</f>
        <v>61.77</v>
      </c>
      <c r="I499" s="3">
        <f>IFERROR(INDEX('Tagging key'!E:E, MATCH(F499,'Tagging key'!C:C,0)),"")</f>
        <v>36.42</v>
      </c>
      <c r="J499" s="3">
        <f>IFERROR(INDEX('Tagging key'!F:F, MATCH(F499,'Tagging key'!C:C,0)),"")</f>
        <v>22.85</v>
      </c>
      <c r="K499" s="3">
        <v>22.666</v>
      </c>
      <c r="L499" s="3">
        <v>62.42</v>
      </c>
      <c r="M499" s="3">
        <v>33.96</v>
      </c>
      <c r="N499" s="3">
        <v>23.13</v>
      </c>
      <c r="O499" s="3"/>
      <c r="P499" s="22">
        <v>45877</v>
      </c>
      <c r="Q499" s="22">
        <v>45877</v>
      </c>
      <c r="R499" s="3"/>
    </row>
    <row r="500" spans="1:19" x14ac:dyDescent="0.25">
      <c r="A500" s="12">
        <v>14</v>
      </c>
      <c r="B500" s="12">
        <v>8</v>
      </c>
      <c r="C500" s="12" t="s">
        <v>176</v>
      </c>
      <c r="D500" s="12" t="s">
        <v>46</v>
      </c>
      <c r="E500" s="12" t="s">
        <v>538</v>
      </c>
      <c r="F500" s="12" t="str">
        <f t="shared" si="5"/>
        <v>M_R87</v>
      </c>
      <c r="G500" s="3">
        <v>45.075000000000003</v>
      </c>
      <c r="H500" s="3">
        <f>IFERROR(INDEX('Tagging key'!D:D, MATCH(F500,'Tagging key'!C:C,0)),"")</f>
        <v>77.239999999999995</v>
      </c>
      <c r="I500" s="3">
        <f>IFERROR(INDEX('Tagging key'!E:E, MATCH(F500,'Tagging key'!C:C,0)),"")</f>
        <v>44.21</v>
      </c>
      <c r="J500" s="3">
        <f>IFERROR(INDEX('Tagging key'!F:F, MATCH(F500,'Tagging key'!C:C,0)),"")</f>
        <v>27.84</v>
      </c>
      <c r="K500" s="3">
        <v>45.860999999999997</v>
      </c>
      <c r="L500" s="3">
        <v>78.69</v>
      </c>
      <c r="M500" s="3">
        <v>41.59</v>
      </c>
      <c r="N500" s="3">
        <v>29.85</v>
      </c>
      <c r="O500" s="3"/>
      <c r="P500" s="22">
        <v>45882</v>
      </c>
      <c r="Q500" s="22">
        <v>45882</v>
      </c>
      <c r="R500" s="3"/>
    </row>
    <row r="501" spans="1:19" x14ac:dyDescent="0.25">
      <c r="A501" s="12">
        <v>14</v>
      </c>
      <c r="B501" s="12">
        <v>8</v>
      </c>
      <c r="C501" s="12" t="s">
        <v>176</v>
      </c>
      <c r="D501" s="12" t="s">
        <v>46</v>
      </c>
      <c r="E501" s="12" t="s">
        <v>873</v>
      </c>
      <c r="F501" s="12" t="str">
        <f t="shared" si="5"/>
        <v>M_R98</v>
      </c>
      <c r="G501" s="3">
        <v>23.847999999999999</v>
      </c>
      <c r="H501" s="3">
        <f>IFERROR(INDEX('Tagging key'!D:D, MATCH(F501,'Tagging key'!C:C,0)),"")</f>
        <v>64.010000000000005</v>
      </c>
      <c r="I501" s="3">
        <f>IFERROR(INDEX('Tagging key'!E:E, MATCH(F501,'Tagging key'!C:C,0)),"")</f>
        <v>30.8</v>
      </c>
      <c r="J501" s="3">
        <f>IFERROR(INDEX('Tagging key'!F:F, MATCH(F501,'Tagging key'!C:C,0)),"")</f>
        <v>22.21</v>
      </c>
      <c r="K501" s="3">
        <v>24.518000000000001</v>
      </c>
      <c r="L501" s="3">
        <v>64.13</v>
      </c>
      <c r="M501" s="3">
        <v>34.06</v>
      </c>
      <c r="N501" s="3">
        <v>21.93</v>
      </c>
      <c r="O501" s="3"/>
      <c r="P501" s="22">
        <v>45886</v>
      </c>
      <c r="Q501" s="22">
        <v>45886</v>
      </c>
      <c r="R501" s="3">
        <v>8.9220000000000006</v>
      </c>
    </row>
    <row r="502" spans="1:19" x14ac:dyDescent="0.25">
      <c r="A502" s="11">
        <v>14</v>
      </c>
      <c r="B502" s="11">
        <v>9</v>
      </c>
      <c r="C502" s="11" t="s">
        <v>176</v>
      </c>
      <c r="D502" s="11" t="s">
        <v>46</v>
      </c>
      <c r="E502" s="11" t="s">
        <v>670</v>
      </c>
      <c r="F502" s="11" t="str">
        <f t="shared" si="5"/>
        <v>M_B23</v>
      </c>
      <c r="G502" s="3">
        <v>59.128999999999998</v>
      </c>
      <c r="H502" s="3">
        <f>IFERROR(INDEX('Tagging key'!D:D, MATCH(F502,'Tagging key'!C:C,0)),"")</f>
        <v>81.069999999999993</v>
      </c>
      <c r="I502" s="3">
        <f>IFERROR(INDEX('Tagging key'!E:E, MATCH(F502,'Tagging key'!C:C,0)),"")</f>
        <v>43.87</v>
      </c>
      <c r="J502" s="3">
        <f>IFERROR(INDEX('Tagging key'!F:F, MATCH(F502,'Tagging key'!C:C,0)),"")</f>
        <v>31.13</v>
      </c>
      <c r="K502" s="3">
        <v>59.445</v>
      </c>
      <c r="L502" s="3">
        <v>80.959999999999994</v>
      </c>
      <c r="M502" s="3">
        <v>43.61</v>
      </c>
      <c r="N502" s="3">
        <v>33.19</v>
      </c>
      <c r="O502" s="3"/>
      <c r="P502" s="22">
        <v>45879</v>
      </c>
      <c r="Q502" s="22">
        <v>45879</v>
      </c>
      <c r="R502" s="3"/>
    </row>
    <row r="503" spans="1:19" x14ac:dyDescent="0.25">
      <c r="A503" s="11">
        <v>14</v>
      </c>
      <c r="B503" s="11">
        <v>9</v>
      </c>
      <c r="C503" s="11" t="s">
        <v>176</v>
      </c>
      <c r="D503" s="11" t="s">
        <v>46</v>
      </c>
      <c r="E503" s="11" t="s">
        <v>620</v>
      </c>
      <c r="F503" s="11" t="str">
        <f t="shared" si="5"/>
        <v>M_R64</v>
      </c>
      <c r="G503" s="3">
        <v>60.914000000000001</v>
      </c>
      <c r="H503" s="3">
        <f>IFERROR(INDEX('Tagging key'!D:D, MATCH(F503,'Tagging key'!C:C,0)),"")</f>
        <v>84</v>
      </c>
      <c r="I503" s="3">
        <f>IFERROR(INDEX('Tagging key'!E:E, MATCH(F503,'Tagging key'!C:C,0)),"")</f>
        <v>39</v>
      </c>
      <c r="J503" s="3">
        <f>IFERROR(INDEX('Tagging key'!F:F, MATCH(F503,'Tagging key'!C:C,0)),"")</f>
        <v>31</v>
      </c>
      <c r="K503" s="3">
        <v>60.584000000000003</v>
      </c>
      <c r="L503" s="3">
        <v>85.27</v>
      </c>
      <c r="M503" s="3">
        <v>39.700000000000003</v>
      </c>
      <c r="N503" s="3">
        <v>34.14</v>
      </c>
      <c r="O503" s="3"/>
      <c r="P503" s="22">
        <v>45877</v>
      </c>
      <c r="Q503" s="22">
        <v>45877</v>
      </c>
      <c r="R503" s="3"/>
    </row>
    <row r="504" spans="1:19" x14ac:dyDescent="0.25">
      <c r="A504" s="11">
        <v>14</v>
      </c>
      <c r="B504" s="11">
        <v>9</v>
      </c>
      <c r="C504" s="11" t="s">
        <v>176</v>
      </c>
      <c r="D504" s="11" t="s">
        <v>46</v>
      </c>
      <c r="E504" s="11" t="s">
        <v>386</v>
      </c>
      <c r="F504" s="11" t="str">
        <f t="shared" si="5"/>
        <v>M_B98</v>
      </c>
      <c r="G504" s="3">
        <v>37.424999999999997</v>
      </c>
      <c r="H504" s="3">
        <f>IFERROR(INDEX('Tagging key'!D:D, MATCH(F504,'Tagging key'!C:C,0)),"")</f>
        <v>70</v>
      </c>
      <c r="I504" s="3">
        <f>IFERROR(INDEX('Tagging key'!E:E, MATCH(F504,'Tagging key'!C:C,0)),"")</f>
        <v>36</v>
      </c>
      <c r="J504" s="3">
        <f>IFERROR(INDEX('Tagging key'!F:F, MATCH(F504,'Tagging key'!C:C,0)),"")</f>
        <v>27</v>
      </c>
      <c r="K504" s="3">
        <v>37.520000000000003</v>
      </c>
      <c r="L504" s="3">
        <v>70.13</v>
      </c>
      <c r="M504" s="3">
        <v>35.96</v>
      </c>
      <c r="N504" s="3">
        <v>28.83</v>
      </c>
      <c r="O504" s="3"/>
      <c r="P504" s="22">
        <v>45886</v>
      </c>
      <c r="Q504" s="22">
        <v>45886</v>
      </c>
      <c r="R504" s="3"/>
    </row>
    <row r="505" spans="1:19" x14ac:dyDescent="0.25">
      <c r="A505" s="11">
        <v>14</v>
      </c>
      <c r="B505" s="11">
        <v>9</v>
      </c>
      <c r="C505" s="11" t="s">
        <v>176</v>
      </c>
      <c r="D505" s="11" t="s">
        <v>46</v>
      </c>
      <c r="E505" s="11" t="s">
        <v>608</v>
      </c>
      <c r="F505" s="11" t="str">
        <f t="shared" si="5"/>
        <v>M_B14</v>
      </c>
      <c r="G505" s="3">
        <v>57.197000000000003</v>
      </c>
      <c r="H505" s="3">
        <f>IFERROR(INDEX('Tagging key'!D:D, MATCH(F505,'Tagging key'!C:C,0)),"")</f>
        <v>83</v>
      </c>
      <c r="I505" s="3">
        <f>IFERROR(INDEX('Tagging key'!E:E, MATCH(F505,'Tagging key'!C:C,0)),"")</f>
        <v>38</v>
      </c>
      <c r="J505" s="3">
        <f>IFERROR(INDEX('Tagging key'!F:F, MATCH(F505,'Tagging key'!C:C,0)),"")</f>
        <v>31</v>
      </c>
      <c r="K505" s="3">
        <v>57.960999999999999</v>
      </c>
      <c r="L505" s="3">
        <v>84.23</v>
      </c>
      <c r="M505" s="3">
        <v>40.020000000000003</v>
      </c>
      <c r="N505" s="3">
        <v>30.42</v>
      </c>
      <c r="O505" s="3"/>
      <c r="P505" s="22">
        <v>45882</v>
      </c>
      <c r="Q505" s="22">
        <v>45882</v>
      </c>
      <c r="R505" s="3">
        <v>21.951000000000001</v>
      </c>
    </row>
    <row r="506" spans="1:19" x14ac:dyDescent="0.25">
      <c r="A506" s="8">
        <v>15</v>
      </c>
      <c r="B506" s="8">
        <v>1</v>
      </c>
      <c r="C506" s="8" t="s">
        <v>15</v>
      </c>
      <c r="D506" s="8" t="s">
        <v>16</v>
      </c>
      <c r="E506" s="8" t="s">
        <v>874</v>
      </c>
      <c r="F506" s="8" t="str">
        <f t="shared" si="5"/>
        <v>O_W45</v>
      </c>
      <c r="G506" s="3">
        <v>43.838999999999999</v>
      </c>
      <c r="H506" s="3">
        <f>IFERROR(INDEX('Tagging key'!D:D, MATCH(F506,'Tagging key'!C:C,0)),"")</f>
        <v>65.209999999999994</v>
      </c>
      <c r="I506" s="3">
        <f>IFERROR(INDEX('Tagging key'!E:E, MATCH(F506,'Tagging key'!C:C,0)),"")</f>
        <v>56.84</v>
      </c>
      <c r="J506" s="3">
        <f>IFERROR(INDEX('Tagging key'!F:F, MATCH(F506,'Tagging key'!C:C,0)),"")</f>
        <v>16.27</v>
      </c>
      <c r="K506" s="3">
        <v>43.664999999999999</v>
      </c>
      <c r="L506" s="3">
        <v>60.27</v>
      </c>
      <c r="M506" s="3">
        <v>45.9</v>
      </c>
      <c r="N506" s="3">
        <v>16.8</v>
      </c>
      <c r="O506" s="3"/>
      <c r="P506" s="22">
        <v>45877</v>
      </c>
      <c r="Q506" s="22">
        <v>45877</v>
      </c>
      <c r="R506" s="3"/>
    </row>
    <row r="507" spans="1:19" x14ac:dyDescent="0.25">
      <c r="A507" s="8">
        <v>15</v>
      </c>
      <c r="B507" s="8">
        <v>1</v>
      </c>
      <c r="C507" s="8" t="s">
        <v>15</v>
      </c>
      <c r="D507" s="8" t="s">
        <v>16</v>
      </c>
      <c r="E507" s="8" t="s">
        <v>875</v>
      </c>
      <c r="F507" s="8" t="str">
        <f t="shared" si="5"/>
        <v>O_W19</v>
      </c>
      <c r="G507" s="3">
        <v>23.427</v>
      </c>
      <c r="H507" s="3">
        <f>IFERROR(INDEX('Tagging key'!D:D, MATCH(F507,'Tagging key'!C:C,0)),"")</f>
        <v>71.08</v>
      </c>
      <c r="I507" s="3">
        <f>IFERROR(INDEX('Tagging key'!E:E, MATCH(F507,'Tagging key'!C:C,0)),"")</f>
        <v>40.159999999999997</v>
      </c>
      <c r="J507" s="3">
        <f>IFERROR(INDEX('Tagging key'!F:F, MATCH(F507,'Tagging key'!C:C,0)),"")</f>
        <v>13.37</v>
      </c>
      <c r="K507" s="3">
        <v>23.524000000000001</v>
      </c>
      <c r="L507" s="3">
        <v>70.84</v>
      </c>
      <c r="M507" s="3">
        <v>40.49</v>
      </c>
      <c r="N507" s="3">
        <v>14.61</v>
      </c>
      <c r="O507" s="3"/>
      <c r="P507" s="22">
        <v>45886</v>
      </c>
      <c r="Q507" s="22">
        <v>45886</v>
      </c>
      <c r="R507" s="3">
        <v>15.257999999999999</v>
      </c>
    </row>
    <row r="508" spans="1:19" x14ac:dyDescent="0.25">
      <c r="A508" s="8">
        <v>15</v>
      </c>
      <c r="B508" s="8">
        <v>1</v>
      </c>
      <c r="C508" s="8" t="s">
        <v>15</v>
      </c>
      <c r="D508" s="8" t="s">
        <v>16</v>
      </c>
      <c r="E508" s="8" t="s">
        <v>876</v>
      </c>
      <c r="F508" s="8" t="str">
        <f t="shared" si="5"/>
        <v>O_W46</v>
      </c>
      <c r="G508" s="3">
        <v>31.693000000000001</v>
      </c>
      <c r="H508" s="3">
        <f>IFERROR(INDEX('Tagging key'!D:D, MATCH(F508,'Tagging key'!C:C,0)),"")</f>
        <v>68.81</v>
      </c>
      <c r="I508" s="3">
        <f>IFERROR(INDEX('Tagging key'!E:E, MATCH(F508,'Tagging key'!C:C,0)),"")</f>
        <v>48.12</v>
      </c>
      <c r="J508" s="3">
        <f>IFERROR(INDEX('Tagging key'!F:F, MATCH(F508,'Tagging key'!C:C,0)),"")</f>
        <v>17.559999999999999</v>
      </c>
      <c r="K508" s="3">
        <v>31.219000000000001</v>
      </c>
      <c r="L508" s="3">
        <v>69.61</v>
      </c>
      <c r="M508" s="3">
        <v>49.15</v>
      </c>
      <c r="N508" s="3">
        <v>20.25</v>
      </c>
      <c r="O508" s="3"/>
      <c r="P508" s="22">
        <v>45879</v>
      </c>
      <c r="Q508" s="22">
        <v>45879</v>
      </c>
      <c r="R508" s="3"/>
    </row>
    <row r="509" spans="1:19" x14ac:dyDescent="0.25">
      <c r="A509" s="8">
        <v>15</v>
      </c>
      <c r="B509" s="8">
        <v>1</v>
      </c>
      <c r="C509" s="8" t="s">
        <v>15</v>
      </c>
      <c r="D509" s="8" t="s">
        <v>16</v>
      </c>
      <c r="E509" s="8" t="s">
        <v>873</v>
      </c>
      <c r="F509" s="8" t="str">
        <f t="shared" si="5"/>
        <v>O_R98</v>
      </c>
      <c r="G509" s="3">
        <v>26.951000000000001</v>
      </c>
      <c r="H509" s="3">
        <f>IFERROR(INDEX('Tagging key'!D:D, MATCH(F509,'Tagging key'!C:C,0)),"")</f>
        <v>68.69</v>
      </c>
      <c r="I509" s="3">
        <f>IFERROR(INDEX('Tagging key'!E:E, MATCH(F509,'Tagging key'!C:C,0)),"")</f>
        <v>38.049999999999997</v>
      </c>
      <c r="J509" s="3">
        <f>IFERROR(INDEX('Tagging key'!F:F, MATCH(F509,'Tagging key'!C:C,0)),"")</f>
        <v>13.62</v>
      </c>
      <c r="K509" s="3">
        <v>26.927</v>
      </c>
      <c r="L509" s="3">
        <v>69.319999999999993</v>
      </c>
      <c r="M509" s="3">
        <v>40.33</v>
      </c>
      <c r="N509" s="3">
        <v>15.91</v>
      </c>
      <c r="O509" s="3"/>
      <c r="P509" s="22">
        <v>45882</v>
      </c>
      <c r="Q509" s="22">
        <v>45882</v>
      </c>
      <c r="R509" s="3">
        <v>16.754000000000001</v>
      </c>
    </row>
    <row r="510" spans="1:19" x14ac:dyDescent="0.25">
      <c r="A510" s="9">
        <v>15</v>
      </c>
      <c r="B510" s="9">
        <v>2</v>
      </c>
      <c r="C510" s="9" t="s">
        <v>15</v>
      </c>
      <c r="D510" s="9" t="s">
        <v>16</v>
      </c>
      <c r="E510" s="9" t="s">
        <v>877</v>
      </c>
      <c r="F510" s="9" t="str">
        <f t="shared" si="5"/>
        <v>O_R17</v>
      </c>
      <c r="G510" s="3">
        <v>37.322000000000003</v>
      </c>
      <c r="H510" s="3">
        <f>IFERROR(INDEX('Tagging key'!D:D, MATCH(F510,'Tagging key'!C:C,0)),"")</f>
        <v>78.06</v>
      </c>
      <c r="I510" s="3">
        <f>IFERROR(INDEX('Tagging key'!E:E, MATCH(F510,'Tagging key'!C:C,0)),"")</f>
        <v>55.62</v>
      </c>
      <c r="J510" s="3">
        <f>IFERROR(INDEX('Tagging key'!F:F, MATCH(F510,'Tagging key'!C:C,0)),"")</f>
        <v>27.44</v>
      </c>
      <c r="K510" s="3">
        <v>34.21</v>
      </c>
      <c r="L510" s="3">
        <v>72.28</v>
      </c>
      <c r="M510" s="3">
        <v>40.79</v>
      </c>
      <c r="N510" s="3">
        <v>17.63</v>
      </c>
      <c r="O510" s="3"/>
      <c r="P510" s="22">
        <v>45877</v>
      </c>
      <c r="Q510" s="22">
        <v>45877</v>
      </c>
      <c r="R510" s="3"/>
      <c r="S510" t="s">
        <v>878</v>
      </c>
    </row>
    <row r="511" spans="1:19" x14ac:dyDescent="0.25">
      <c r="A511" s="9">
        <v>15</v>
      </c>
      <c r="B511" s="9">
        <v>2</v>
      </c>
      <c r="C511" s="9" t="s">
        <v>15</v>
      </c>
      <c r="D511" s="9" t="s">
        <v>16</v>
      </c>
      <c r="E511" s="9" t="s">
        <v>389</v>
      </c>
      <c r="F511" s="9" t="str">
        <f t="shared" si="5"/>
        <v>O_B82</v>
      </c>
      <c r="G511" s="3">
        <v>35.393999999999998</v>
      </c>
      <c r="H511" s="3">
        <f>IFERROR(INDEX('Tagging key'!D:D, MATCH(F511,'Tagging key'!C:C,0)),"")</f>
        <v>64.989999999999995</v>
      </c>
      <c r="I511" s="3">
        <f>IFERROR(INDEX('Tagging key'!E:E, MATCH(F511,'Tagging key'!C:C,0)),"")</f>
        <v>51.64</v>
      </c>
      <c r="J511" s="3">
        <f>IFERROR(INDEX('Tagging key'!F:F, MATCH(F511,'Tagging key'!C:C,0)),"")</f>
        <v>21.83</v>
      </c>
      <c r="K511" s="3">
        <v>35.511000000000003</v>
      </c>
      <c r="L511" s="3">
        <v>64.319999999999993</v>
      </c>
      <c r="M511" s="3">
        <v>51.44</v>
      </c>
      <c r="N511" s="3">
        <v>20.57</v>
      </c>
      <c r="O511" s="3"/>
      <c r="P511" s="22">
        <v>45882</v>
      </c>
      <c r="Q511" s="22">
        <v>45882</v>
      </c>
      <c r="R511" s="3">
        <v>20.823</v>
      </c>
    </row>
    <row r="512" spans="1:19" x14ac:dyDescent="0.25">
      <c r="A512" s="9">
        <v>15</v>
      </c>
      <c r="B512" s="9">
        <v>2</v>
      </c>
      <c r="C512" s="9" t="s">
        <v>15</v>
      </c>
      <c r="D512" s="9" t="s">
        <v>16</v>
      </c>
      <c r="E512" s="9" t="s">
        <v>879</v>
      </c>
      <c r="F512" s="9" t="str">
        <f t="shared" si="5"/>
        <v>O_W36</v>
      </c>
      <c r="G512" s="3">
        <v>40.454999999999998</v>
      </c>
      <c r="H512" s="3">
        <f>IFERROR(INDEX('Tagging key'!D:D, MATCH(F512,'Tagging key'!C:C,0)),"")</f>
        <v>72.790000000000006</v>
      </c>
      <c r="I512" s="3">
        <f>IFERROR(INDEX('Tagging key'!E:E, MATCH(F512,'Tagging key'!C:C,0)),"")</f>
        <v>55.14</v>
      </c>
      <c r="J512" s="3">
        <f>IFERROR(INDEX('Tagging key'!F:F, MATCH(F512,'Tagging key'!C:C,0)),"")</f>
        <v>18.93</v>
      </c>
      <c r="K512" s="3">
        <v>40.122</v>
      </c>
      <c r="L512" s="3">
        <v>72.86</v>
      </c>
      <c r="M512" s="3">
        <v>47.37</v>
      </c>
      <c r="N512" s="3">
        <v>21.63</v>
      </c>
      <c r="O512" s="3"/>
      <c r="P512" s="22">
        <v>45886</v>
      </c>
      <c r="Q512" s="22">
        <v>45886</v>
      </c>
      <c r="R512" s="3">
        <v>23.606000000000002</v>
      </c>
    </row>
    <row r="513" spans="1:19" x14ac:dyDescent="0.25">
      <c r="A513" s="9">
        <v>15</v>
      </c>
      <c r="B513" s="9">
        <v>2</v>
      </c>
      <c r="C513" s="9" t="s">
        <v>15</v>
      </c>
      <c r="D513" s="9" t="s">
        <v>16</v>
      </c>
      <c r="E513" s="9" t="s">
        <v>425</v>
      </c>
      <c r="F513" s="9" t="str">
        <f t="shared" si="5"/>
        <v>O_R76</v>
      </c>
      <c r="G513" s="3">
        <v>46.746000000000002</v>
      </c>
      <c r="H513" s="3">
        <f>IFERROR(INDEX('Tagging key'!D:D, MATCH(F513,'Tagging key'!C:C,0)),"")</f>
        <v>83.2</v>
      </c>
      <c r="I513" s="3">
        <f>IFERROR(INDEX('Tagging key'!E:E, MATCH(F513,'Tagging key'!C:C,0)),"")</f>
        <v>53.55</v>
      </c>
      <c r="J513" s="3">
        <f>IFERROR(INDEX('Tagging key'!F:F, MATCH(F513,'Tagging key'!C:C,0)),"")</f>
        <v>17.05</v>
      </c>
      <c r="K513" s="3">
        <v>46.341000000000001</v>
      </c>
      <c r="L513" s="3">
        <v>85.9</v>
      </c>
      <c r="M513" s="3">
        <v>45.47</v>
      </c>
      <c r="N513" s="3">
        <v>19.149999999999999</v>
      </c>
      <c r="O513" s="3"/>
      <c r="P513" s="22">
        <v>45879</v>
      </c>
      <c r="Q513" s="22">
        <v>45879</v>
      </c>
      <c r="R513" s="3"/>
    </row>
    <row r="514" spans="1:19" x14ac:dyDescent="0.25">
      <c r="A514" s="8">
        <v>15</v>
      </c>
      <c r="B514" s="8">
        <v>3</v>
      </c>
      <c r="C514" s="8" t="s">
        <v>15</v>
      </c>
      <c r="D514" s="8" t="s">
        <v>16</v>
      </c>
      <c r="E514" s="8" t="s">
        <v>725</v>
      </c>
      <c r="F514" s="8" t="str">
        <f t="shared" si="5"/>
        <v>O_R79</v>
      </c>
      <c r="G514" s="3">
        <v>27.571999999999999</v>
      </c>
      <c r="H514" s="3">
        <f>IFERROR(INDEX('Tagging key'!D:D, MATCH(F514,'Tagging key'!C:C,0)),"")</f>
        <v>56.09</v>
      </c>
      <c r="I514" s="3">
        <f>IFERROR(INDEX('Tagging key'!E:E, MATCH(F514,'Tagging key'!C:C,0)),"")</f>
        <v>54.63</v>
      </c>
      <c r="J514" s="3">
        <f>IFERROR(INDEX('Tagging key'!F:F, MATCH(F514,'Tagging key'!C:C,0)),"")</f>
        <v>16.850000000000001</v>
      </c>
      <c r="K514" s="3">
        <v>27.454999999999998</v>
      </c>
      <c r="L514" s="3">
        <v>55.74</v>
      </c>
      <c r="M514" s="3">
        <v>48.37</v>
      </c>
      <c r="N514" s="3">
        <v>18.170000000000002</v>
      </c>
      <c r="O514" s="3"/>
      <c r="P514" s="22">
        <v>45879</v>
      </c>
      <c r="Q514" s="22">
        <v>45879</v>
      </c>
      <c r="R514" s="3"/>
    </row>
    <row r="515" spans="1:19" x14ac:dyDescent="0.25">
      <c r="A515" s="8">
        <v>15</v>
      </c>
      <c r="B515" s="8">
        <v>3</v>
      </c>
      <c r="C515" s="8" t="s">
        <v>15</v>
      </c>
      <c r="D515" s="8" t="s">
        <v>16</v>
      </c>
      <c r="E515" s="8" t="s">
        <v>880</v>
      </c>
      <c r="F515" s="8" t="str">
        <f t="shared" si="5"/>
        <v>O_W29</v>
      </c>
      <c r="G515" s="3">
        <v>28.108000000000001</v>
      </c>
      <c r="H515" s="3">
        <f>IFERROR(INDEX('Tagging key'!D:D, MATCH(F515,'Tagging key'!C:C,0)),"")</f>
        <v>58.71</v>
      </c>
      <c r="I515" s="3">
        <f>IFERROR(INDEX('Tagging key'!E:E, MATCH(F515,'Tagging key'!C:C,0)),"")</f>
        <v>46.6</v>
      </c>
      <c r="J515" s="3">
        <f>IFERROR(INDEX('Tagging key'!F:F, MATCH(F515,'Tagging key'!C:C,0)),"")</f>
        <v>15.85</v>
      </c>
      <c r="K515" s="3">
        <v>27.954999999999998</v>
      </c>
      <c r="L515" s="3">
        <v>58.53</v>
      </c>
      <c r="M515" s="3">
        <v>46.47</v>
      </c>
      <c r="N515" s="3">
        <v>16.47</v>
      </c>
      <c r="O515" s="3"/>
      <c r="P515" s="22">
        <v>45882</v>
      </c>
      <c r="Q515" s="22">
        <v>45882</v>
      </c>
      <c r="R515" s="3">
        <v>18.843</v>
      </c>
    </row>
    <row r="516" spans="1:19" x14ac:dyDescent="0.25">
      <c r="A516" s="8">
        <v>15</v>
      </c>
      <c r="B516" s="8">
        <v>3</v>
      </c>
      <c r="C516" s="8" t="s">
        <v>15</v>
      </c>
      <c r="D516" s="8" t="s">
        <v>16</v>
      </c>
      <c r="E516" s="8" t="s">
        <v>660</v>
      </c>
      <c r="F516" s="8" t="str">
        <f t="shared" si="5"/>
        <v>O_R74</v>
      </c>
      <c r="G516" s="3">
        <v>29.184999999999999</v>
      </c>
      <c r="H516" s="3">
        <f>IFERROR(INDEX('Tagging key'!D:D, MATCH(F516,'Tagging key'!C:C,0)),"")</f>
        <v>65.09</v>
      </c>
      <c r="I516" s="3">
        <f>IFERROR(INDEX('Tagging key'!E:E, MATCH(F516,'Tagging key'!C:C,0)),"")</f>
        <v>52.35</v>
      </c>
      <c r="J516" s="3">
        <f>IFERROR(INDEX('Tagging key'!F:F, MATCH(F516,'Tagging key'!C:C,0)),"")</f>
        <v>17.72</v>
      </c>
      <c r="K516" s="3">
        <v>28.917999999999999</v>
      </c>
      <c r="L516" s="3">
        <v>60.48</v>
      </c>
      <c r="M516" s="3">
        <v>39.450000000000003</v>
      </c>
      <c r="N516" s="3">
        <v>14.09</v>
      </c>
      <c r="O516" s="3"/>
      <c r="P516" s="22">
        <v>45877</v>
      </c>
      <c r="Q516" s="22">
        <v>45877</v>
      </c>
      <c r="R516" s="3"/>
    </row>
    <row r="517" spans="1:19" x14ac:dyDescent="0.25">
      <c r="A517" s="19">
        <v>15</v>
      </c>
      <c r="B517" s="19">
        <v>3</v>
      </c>
      <c r="C517" s="19" t="s">
        <v>15</v>
      </c>
      <c r="D517" s="19" t="s">
        <v>16</v>
      </c>
      <c r="E517" s="19" t="s">
        <v>374</v>
      </c>
      <c r="F517" s="19" t="str">
        <f t="shared" si="5"/>
        <v>O_B12</v>
      </c>
      <c r="G517" s="19">
        <v>37.787999999999997</v>
      </c>
      <c r="H517" s="19">
        <f>IFERROR(INDEX('Tagging key'!D:D, MATCH(F517,'Tagging key'!C:C,0)),"")</f>
        <v>58.7</v>
      </c>
      <c r="I517" s="19">
        <f>IFERROR(INDEX('Tagging key'!E:E, MATCH(F517,'Tagging key'!C:C,0)),"")</f>
        <v>59.58</v>
      </c>
      <c r="J517" s="19">
        <f>IFERROR(INDEX('Tagging key'!F:F, MATCH(F517,'Tagging key'!C:C,0)),"")</f>
        <v>20.54</v>
      </c>
      <c r="K517" s="19"/>
      <c r="L517" s="19"/>
      <c r="M517" s="19"/>
      <c r="N517" s="19"/>
      <c r="O517" s="19"/>
      <c r="P517" s="27"/>
      <c r="Q517" s="27"/>
      <c r="R517" s="19"/>
      <c r="S517" t="s">
        <v>605</v>
      </c>
    </row>
    <row r="518" spans="1:19" x14ac:dyDescent="0.25">
      <c r="A518" s="13">
        <v>15</v>
      </c>
      <c r="B518" s="13">
        <v>4</v>
      </c>
      <c r="C518" s="13" t="s">
        <v>15</v>
      </c>
      <c r="D518" s="13" t="s">
        <v>72</v>
      </c>
      <c r="E518" s="13" t="s">
        <v>185</v>
      </c>
      <c r="F518" s="13" t="str">
        <f t="shared" si="5"/>
        <v>S_G17</v>
      </c>
      <c r="G518" s="3">
        <v>50.134999999999998</v>
      </c>
      <c r="H518" s="3">
        <f>IFERROR(INDEX('Tagging key'!D:D, MATCH(F518,'Tagging key'!C:C,0)),"")</f>
        <v>71.41</v>
      </c>
      <c r="I518" s="3">
        <f>IFERROR(INDEX('Tagging key'!E:E, MATCH(F518,'Tagging key'!C:C,0)),"")</f>
        <v>70.849999999999994</v>
      </c>
      <c r="J518" s="3">
        <f>IFERROR(INDEX('Tagging key'!F:F, MATCH(F518,'Tagging key'!C:C,0)),"")</f>
        <v>18.5</v>
      </c>
      <c r="K518" s="3">
        <v>46.59</v>
      </c>
      <c r="L518" s="3">
        <v>72.349999999999994</v>
      </c>
      <c r="M518" s="3">
        <v>74.180000000000007</v>
      </c>
      <c r="N518" s="3">
        <v>20.27</v>
      </c>
      <c r="O518" s="3"/>
      <c r="P518" s="22">
        <v>45882</v>
      </c>
      <c r="Q518" s="22">
        <v>45882</v>
      </c>
      <c r="R518" s="3">
        <v>21.02</v>
      </c>
    </row>
    <row r="519" spans="1:19" x14ac:dyDescent="0.25">
      <c r="A519" s="13">
        <v>15</v>
      </c>
      <c r="B519" s="13">
        <v>4</v>
      </c>
      <c r="C519" s="13" t="s">
        <v>15</v>
      </c>
      <c r="D519" s="13" t="s">
        <v>72</v>
      </c>
      <c r="E519" s="13" t="s">
        <v>881</v>
      </c>
      <c r="F519" s="13" t="str">
        <f t="shared" si="5"/>
        <v>S_G63</v>
      </c>
      <c r="G519" s="3">
        <v>59.481000000000002</v>
      </c>
      <c r="H519" s="3">
        <f>IFERROR(INDEX('Tagging key'!D:D, MATCH(F519,'Tagging key'!C:C,0)),"")</f>
        <v>71</v>
      </c>
      <c r="I519" s="3">
        <f>IFERROR(INDEX('Tagging key'!E:E, MATCH(F519,'Tagging key'!C:C,0)),"")</f>
        <v>73</v>
      </c>
      <c r="J519" s="3">
        <f>IFERROR(INDEX('Tagging key'!F:F, MATCH(F519,'Tagging key'!C:C,0)),"")</f>
        <v>19</v>
      </c>
      <c r="K519" s="3">
        <v>58.197000000000003</v>
      </c>
      <c r="L519" s="3">
        <v>74.19</v>
      </c>
      <c r="M519" s="3">
        <v>75.569999999999993</v>
      </c>
      <c r="N519" s="3">
        <v>24.41</v>
      </c>
      <c r="O519" s="3"/>
      <c r="P519" s="22">
        <v>45879</v>
      </c>
      <c r="Q519" s="22">
        <v>45879</v>
      </c>
      <c r="R519" s="3"/>
    </row>
    <row r="520" spans="1:19" x14ac:dyDescent="0.25">
      <c r="A520" s="13">
        <v>15</v>
      </c>
      <c r="B520" s="13">
        <v>4</v>
      </c>
      <c r="C520" s="13" t="s">
        <v>15</v>
      </c>
      <c r="D520" s="13" t="s">
        <v>72</v>
      </c>
      <c r="E520" s="13" t="s">
        <v>482</v>
      </c>
      <c r="F520" s="13" t="str">
        <f t="shared" si="5"/>
        <v>S_G16</v>
      </c>
      <c r="G520" s="3">
        <v>48.078000000000003</v>
      </c>
      <c r="H520" s="3">
        <f>IFERROR(INDEX('Tagging key'!D:D, MATCH(F520,'Tagging key'!C:C,0)),"")</f>
        <v>69.77</v>
      </c>
      <c r="I520" s="3">
        <f>IFERROR(INDEX('Tagging key'!E:E, MATCH(F520,'Tagging key'!C:C,0)),"")</f>
        <v>75.87</v>
      </c>
      <c r="J520" s="3">
        <f>IFERROR(INDEX('Tagging key'!F:F, MATCH(F520,'Tagging key'!C:C,0)),"")</f>
        <v>17.940000000000001</v>
      </c>
      <c r="K520" s="3">
        <v>43.884999999999998</v>
      </c>
      <c r="L520" s="3">
        <v>69.95</v>
      </c>
      <c r="M520" s="3">
        <v>76.97</v>
      </c>
      <c r="N520" s="3">
        <v>20.12</v>
      </c>
      <c r="O520" s="3"/>
      <c r="P520" s="22">
        <v>45886</v>
      </c>
      <c r="Q520" s="22">
        <v>45886</v>
      </c>
      <c r="R520" s="3">
        <v>19.385000000000002</v>
      </c>
    </row>
    <row r="521" spans="1:19" x14ac:dyDescent="0.25">
      <c r="A521" s="13">
        <v>15</v>
      </c>
      <c r="B521" s="13">
        <v>4</v>
      </c>
      <c r="C521" s="13" t="s">
        <v>15</v>
      </c>
      <c r="D521" s="13" t="s">
        <v>72</v>
      </c>
      <c r="E521" s="13" t="s">
        <v>480</v>
      </c>
      <c r="F521" s="13" t="str">
        <f t="shared" si="5"/>
        <v>S_G32</v>
      </c>
      <c r="G521" s="3">
        <v>46.921999999999997</v>
      </c>
      <c r="H521" s="3">
        <f>IFERROR(INDEX('Tagging key'!D:D, MATCH(F521,'Tagging key'!C:C,0)),"")</f>
        <v>72.13</v>
      </c>
      <c r="I521" s="3">
        <f>IFERROR(INDEX('Tagging key'!E:E, MATCH(F521,'Tagging key'!C:C,0)),"")</f>
        <v>71.16</v>
      </c>
      <c r="J521" s="3">
        <f>IFERROR(INDEX('Tagging key'!F:F, MATCH(F521,'Tagging key'!C:C,0)),"")</f>
        <v>18.600000000000001</v>
      </c>
      <c r="K521" s="3">
        <v>44.393999999999998</v>
      </c>
      <c r="L521" s="3">
        <v>72.86</v>
      </c>
      <c r="M521" s="3">
        <v>73.11</v>
      </c>
      <c r="N521" s="3">
        <v>19.07</v>
      </c>
      <c r="O521" s="3"/>
      <c r="P521" s="22">
        <v>45877</v>
      </c>
      <c r="Q521" s="22">
        <v>45877</v>
      </c>
      <c r="R521" s="3"/>
    </row>
    <row r="522" spans="1:19" x14ac:dyDescent="0.25">
      <c r="A522" s="14">
        <v>15</v>
      </c>
      <c r="B522" s="14">
        <v>5</v>
      </c>
      <c r="C522" s="14" t="s">
        <v>15</v>
      </c>
      <c r="D522" s="14" t="s">
        <v>72</v>
      </c>
      <c r="E522" s="14" t="s">
        <v>882</v>
      </c>
      <c r="F522" s="14" t="str">
        <f t="shared" si="5"/>
        <v>S_W59</v>
      </c>
      <c r="G522" s="3">
        <v>53.113999999999997</v>
      </c>
      <c r="H522" s="3">
        <f>IFERROR(INDEX('Tagging key'!D:D, MATCH(F522,'Tagging key'!C:C,0)),"")</f>
        <v>73</v>
      </c>
      <c r="I522" s="3">
        <f>IFERROR(INDEX('Tagging key'!E:E, MATCH(F522,'Tagging key'!C:C,0)),"")</f>
        <v>75</v>
      </c>
      <c r="J522" s="3">
        <f>IFERROR(INDEX('Tagging key'!F:F, MATCH(F522,'Tagging key'!C:C,0)),"")</f>
        <v>17</v>
      </c>
      <c r="K522" s="3">
        <v>48.38</v>
      </c>
      <c r="L522" s="3">
        <v>74.790000000000006</v>
      </c>
      <c r="M522" s="3">
        <v>77.569999999999993</v>
      </c>
      <c r="N522" s="3">
        <v>19.79</v>
      </c>
      <c r="O522" s="3"/>
      <c r="P522" s="22">
        <v>45886</v>
      </c>
      <c r="Q522" s="22">
        <v>45886</v>
      </c>
    </row>
    <row r="523" spans="1:19" x14ac:dyDescent="0.25">
      <c r="A523" s="14">
        <v>15</v>
      </c>
      <c r="B523" s="14">
        <v>5</v>
      </c>
      <c r="C523" s="14" t="s">
        <v>15</v>
      </c>
      <c r="D523" s="14" t="s">
        <v>72</v>
      </c>
      <c r="E523" s="14" t="s">
        <v>883</v>
      </c>
      <c r="F523" s="14" t="str">
        <f t="shared" si="5"/>
        <v>S_W66</v>
      </c>
      <c r="G523" s="3">
        <v>46.302999999999997</v>
      </c>
      <c r="H523" s="3">
        <f>IFERROR(INDEX('Tagging key'!D:D, MATCH(F523,'Tagging key'!C:C,0)),"")</f>
        <v>70</v>
      </c>
      <c r="I523" s="3">
        <f>IFERROR(INDEX('Tagging key'!E:E, MATCH(F523,'Tagging key'!C:C,0)),"")</f>
        <v>70</v>
      </c>
      <c r="J523" s="3">
        <f>IFERROR(INDEX('Tagging key'!F:F, MATCH(F523,'Tagging key'!C:C,0)),"")</f>
        <v>16</v>
      </c>
      <c r="K523" s="3">
        <v>42.927999999999997</v>
      </c>
      <c r="L523" s="3">
        <v>65.56</v>
      </c>
      <c r="M523" s="3">
        <v>65.239999999999995</v>
      </c>
      <c r="N523" s="3">
        <v>15.94</v>
      </c>
      <c r="O523" s="3"/>
      <c r="P523" s="22">
        <v>45879</v>
      </c>
      <c r="Q523" s="22">
        <v>45879</v>
      </c>
      <c r="R523" s="3"/>
    </row>
    <row r="524" spans="1:19" x14ac:dyDescent="0.25">
      <c r="A524" s="14">
        <v>15</v>
      </c>
      <c r="B524" s="14">
        <v>5</v>
      </c>
      <c r="C524" s="14" t="s">
        <v>15</v>
      </c>
      <c r="D524" s="14" t="s">
        <v>72</v>
      </c>
      <c r="E524" s="14" t="s">
        <v>884</v>
      </c>
      <c r="F524" s="14" t="str">
        <f t="shared" si="5"/>
        <v>S_G5</v>
      </c>
      <c r="G524" s="3">
        <v>57.055</v>
      </c>
      <c r="H524" s="3">
        <f>IFERROR(INDEX('Tagging key'!D:D, MATCH(F524,'Tagging key'!C:C,0)),"")</f>
        <v>75.08</v>
      </c>
      <c r="I524" s="3">
        <f>IFERROR(INDEX('Tagging key'!E:E, MATCH(F524,'Tagging key'!C:C,0)),"")</f>
        <v>78.260000000000005</v>
      </c>
      <c r="J524" s="3">
        <f>IFERROR(INDEX('Tagging key'!F:F, MATCH(F524,'Tagging key'!C:C,0)),"")</f>
        <v>19.350000000000001</v>
      </c>
      <c r="K524" s="3">
        <v>53.884</v>
      </c>
      <c r="L524" s="3">
        <v>75.180000000000007</v>
      </c>
      <c r="M524" s="3">
        <v>78.87</v>
      </c>
      <c r="N524" s="3">
        <v>20.96</v>
      </c>
      <c r="O524" s="3"/>
      <c r="P524" s="22">
        <v>45882</v>
      </c>
      <c r="Q524" s="22">
        <v>45882</v>
      </c>
      <c r="R524" s="3">
        <v>26.875</v>
      </c>
    </row>
    <row r="525" spans="1:19" x14ac:dyDescent="0.25">
      <c r="A525" s="14">
        <v>15</v>
      </c>
      <c r="B525" s="14">
        <v>5</v>
      </c>
      <c r="C525" s="14" t="s">
        <v>15</v>
      </c>
      <c r="D525" s="14" t="s">
        <v>72</v>
      </c>
      <c r="E525" s="14" t="s">
        <v>885</v>
      </c>
      <c r="F525" s="14" t="str">
        <f t="shared" si="5"/>
        <v>S_Y52</v>
      </c>
      <c r="G525" s="3">
        <v>45.944000000000003</v>
      </c>
      <c r="H525" s="3">
        <f>IFERROR(INDEX('Tagging key'!D:D, MATCH(F525,'Tagging key'!C:C,0)),"")</f>
        <v>69</v>
      </c>
      <c r="I525" s="3">
        <f>IFERROR(INDEX('Tagging key'!E:E, MATCH(F525,'Tagging key'!C:C,0)),"")</f>
        <v>73</v>
      </c>
      <c r="J525" s="3">
        <f>IFERROR(INDEX('Tagging key'!F:F, MATCH(F525,'Tagging key'!C:C,0)),"")</f>
        <v>18</v>
      </c>
      <c r="K525" s="3">
        <v>44.906999999999996</v>
      </c>
      <c r="L525" s="3">
        <v>64.900000000000006</v>
      </c>
      <c r="M525" s="3">
        <v>69.19</v>
      </c>
      <c r="N525" s="3">
        <v>14.45</v>
      </c>
      <c r="O525" s="3"/>
      <c r="P525" s="22">
        <v>45877</v>
      </c>
      <c r="Q525" s="22">
        <v>45877</v>
      </c>
      <c r="R525" s="3"/>
    </row>
    <row r="526" spans="1:19" x14ac:dyDescent="0.25">
      <c r="A526" s="13">
        <v>15</v>
      </c>
      <c r="B526" s="13">
        <v>6</v>
      </c>
      <c r="C526" s="13" t="s">
        <v>15</v>
      </c>
      <c r="D526" s="13" t="s">
        <v>72</v>
      </c>
      <c r="E526" s="13" t="s">
        <v>886</v>
      </c>
      <c r="F526" s="13" t="str">
        <f t="shared" si="5"/>
        <v>S_G94</v>
      </c>
      <c r="G526" s="3">
        <v>46.005000000000003</v>
      </c>
      <c r="H526" s="3">
        <f>IFERROR(INDEX('Tagging key'!D:D, MATCH(F526,'Tagging key'!C:C,0)),"")</f>
        <v>70</v>
      </c>
      <c r="I526" s="3">
        <f>IFERROR(INDEX('Tagging key'!E:E, MATCH(F526,'Tagging key'!C:C,0)),"")</f>
        <v>75</v>
      </c>
      <c r="J526" s="3">
        <f>IFERROR(INDEX('Tagging key'!F:F, MATCH(F526,'Tagging key'!C:C,0)),"")</f>
        <v>19</v>
      </c>
      <c r="K526" s="3">
        <v>43.957000000000001</v>
      </c>
      <c r="L526" s="3">
        <v>70.73</v>
      </c>
      <c r="M526" s="3">
        <v>78.37</v>
      </c>
      <c r="N526" s="3">
        <v>14.37</v>
      </c>
      <c r="O526" s="3"/>
      <c r="P526" s="22">
        <v>45879</v>
      </c>
      <c r="Q526" s="22">
        <v>45879</v>
      </c>
      <c r="R526" s="3"/>
    </row>
    <row r="527" spans="1:19" x14ac:dyDescent="0.25">
      <c r="A527" s="13">
        <v>15</v>
      </c>
      <c r="B527" s="13">
        <v>6</v>
      </c>
      <c r="C527" s="13" t="s">
        <v>15</v>
      </c>
      <c r="D527" s="13" t="s">
        <v>72</v>
      </c>
      <c r="E527" s="13" t="s">
        <v>887</v>
      </c>
      <c r="F527" s="13" t="str">
        <f t="shared" si="5"/>
        <v>S_G64</v>
      </c>
      <c r="G527" s="3">
        <v>56.042000000000002</v>
      </c>
      <c r="H527" s="3">
        <f>IFERROR(INDEX('Tagging key'!D:D, MATCH(F527,'Tagging key'!C:C,0)),"")</f>
        <v>74</v>
      </c>
      <c r="I527" s="3">
        <f>IFERROR(INDEX('Tagging key'!E:E, MATCH(F527,'Tagging key'!C:C,0)),"")</f>
        <v>76</v>
      </c>
      <c r="J527" s="3">
        <f>IFERROR(INDEX('Tagging key'!F:F, MATCH(F527,'Tagging key'!C:C,0)),"")</f>
        <v>19</v>
      </c>
      <c r="K527" s="3">
        <v>53.366999999999997</v>
      </c>
      <c r="L527" s="3">
        <v>69.319999999999993</v>
      </c>
      <c r="M527" s="3">
        <v>73.95</v>
      </c>
      <c r="N527" s="3">
        <v>16.3</v>
      </c>
      <c r="O527" s="3"/>
      <c r="P527" s="22">
        <v>45877</v>
      </c>
      <c r="Q527" s="22">
        <v>45877</v>
      </c>
      <c r="R527" s="3"/>
    </row>
    <row r="528" spans="1:19" x14ac:dyDescent="0.25">
      <c r="A528" s="13">
        <v>15</v>
      </c>
      <c r="B528" s="13">
        <v>6</v>
      </c>
      <c r="C528" s="13" t="s">
        <v>15</v>
      </c>
      <c r="D528" s="13" t="s">
        <v>72</v>
      </c>
      <c r="E528" s="13" t="s">
        <v>888</v>
      </c>
      <c r="F528" s="13" t="str">
        <f t="shared" si="5"/>
        <v>S_Y95</v>
      </c>
      <c r="G528" s="3">
        <v>59.671999999999997</v>
      </c>
      <c r="H528" s="3">
        <f>IFERROR(INDEX('Tagging key'!D:D, MATCH(F528,'Tagging key'!C:C,0)),"")</f>
        <v>76</v>
      </c>
      <c r="I528" s="3">
        <f>IFERROR(INDEX('Tagging key'!E:E, MATCH(F528,'Tagging key'!C:C,0)),"")</f>
        <v>79</v>
      </c>
      <c r="J528" s="3">
        <f>IFERROR(INDEX('Tagging key'!F:F, MATCH(F528,'Tagging key'!C:C,0)),"")</f>
        <v>20</v>
      </c>
      <c r="K528" s="3">
        <v>56.264000000000003</v>
      </c>
      <c r="L528" s="3">
        <v>76.599999999999994</v>
      </c>
      <c r="M528" s="3">
        <v>80</v>
      </c>
      <c r="N528" s="3">
        <v>23.02</v>
      </c>
      <c r="O528" s="3"/>
      <c r="P528" s="22">
        <v>45882</v>
      </c>
      <c r="Q528" s="22">
        <v>45882</v>
      </c>
      <c r="R528" s="3">
        <v>24.105</v>
      </c>
    </row>
    <row r="529" spans="1:18" x14ac:dyDescent="0.25">
      <c r="A529" s="13">
        <v>15</v>
      </c>
      <c r="B529" s="13">
        <v>6</v>
      </c>
      <c r="C529" s="13" t="s">
        <v>15</v>
      </c>
      <c r="D529" s="13" t="s">
        <v>72</v>
      </c>
      <c r="E529" s="13" t="s">
        <v>889</v>
      </c>
      <c r="F529" s="13" t="str">
        <f t="shared" si="5"/>
        <v>S_G81</v>
      </c>
      <c r="G529" s="3">
        <v>72.658000000000001</v>
      </c>
      <c r="H529" s="3">
        <f>IFERROR(INDEX('Tagging key'!D:D, MATCH(F529,'Tagging key'!C:C,0)),"")</f>
        <v>79</v>
      </c>
      <c r="I529" s="3">
        <f>IFERROR(INDEX('Tagging key'!E:E, MATCH(F529,'Tagging key'!C:C,0)),"")</f>
        <v>81</v>
      </c>
      <c r="J529" s="3">
        <f>IFERROR(INDEX('Tagging key'!F:F, MATCH(F529,'Tagging key'!C:C,0)),"")</f>
        <v>21</v>
      </c>
      <c r="K529" s="3">
        <v>66.816999999999993</v>
      </c>
      <c r="L529" s="3">
        <v>80.53</v>
      </c>
      <c r="M529" s="3">
        <v>82.44</v>
      </c>
      <c r="N529" s="3">
        <v>22.53</v>
      </c>
      <c r="O529" s="3"/>
      <c r="P529" s="22">
        <v>45886</v>
      </c>
      <c r="Q529" s="22">
        <v>45886</v>
      </c>
      <c r="R529" s="3">
        <v>33.369</v>
      </c>
    </row>
    <row r="530" spans="1:18" x14ac:dyDescent="0.25">
      <c r="A530" s="11">
        <v>15</v>
      </c>
      <c r="B530" s="11">
        <v>7</v>
      </c>
      <c r="C530" s="11" t="s">
        <v>15</v>
      </c>
      <c r="D530" s="11" t="s">
        <v>46</v>
      </c>
      <c r="E530" s="11" t="s">
        <v>554</v>
      </c>
      <c r="F530" s="11" t="str">
        <f t="shared" si="5"/>
        <v>M_B72</v>
      </c>
      <c r="G530" s="3">
        <v>76.605999999999995</v>
      </c>
      <c r="H530" s="3">
        <f>IFERROR(INDEX('Tagging key'!D:D, MATCH(F530,'Tagging key'!C:C,0)),"")</f>
        <v>86</v>
      </c>
      <c r="I530" s="3">
        <f>IFERROR(INDEX('Tagging key'!E:E, MATCH(F530,'Tagging key'!C:C,0)),"")</f>
        <v>47</v>
      </c>
      <c r="J530" s="3">
        <f>IFERROR(INDEX('Tagging key'!F:F, MATCH(F530,'Tagging key'!C:C,0)),"")</f>
        <v>33</v>
      </c>
      <c r="K530" s="3">
        <v>77.156000000000006</v>
      </c>
      <c r="L530" s="3">
        <v>89.12</v>
      </c>
      <c r="M530" s="3">
        <v>47.54</v>
      </c>
      <c r="N530" s="3">
        <v>33.369999999999997</v>
      </c>
      <c r="O530" s="3"/>
      <c r="P530" s="22">
        <v>45886</v>
      </c>
      <c r="Q530" s="22">
        <v>45886</v>
      </c>
      <c r="R530" s="3">
        <v>27.652000000000001</v>
      </c>
    </row>
    <row r="531" spans="1:18" x14ac:dyDescent="0.25">
      <c r="A531" s="11">
        <v>15</v>
      </c>
      <c r="B531" s="11">
        <v>7</v>
      </c>
      <c r="C531" s="11" t="s">
        <v>15</v>
      </c>
      <c r="D531" s="11" t="s">
        <v>46</v>
      </c>
      <c r="E531" s="11" t="s">
        <v>216</v>
      </c>
      <c r="F531" s="11" t="str">
        <f t="shared" si="5"/>
        <v>M_B35</v>
      </c>
      <c r="G531" s="3">
        <v>62.716000000000001</v>
      </c>
      <c r="H531" s="3">
        <f>IFERROR(INDEX('Tagging key'!D:D, MATCH(F531,'Tagging key'!C:C,0)),"")</f>
        <v>85.75</v>
      </c>
      <c r="I531" s="3">
        <f>IFERROR(INDEX('Tagging key'!E:E, MATCH(F531,'Tagging key'!C:C,0)),"")</f>
        <v>41.71</v>
      </c>
      <c r="J531" s="3">
        <f>IFERROR(INDEX('Tagging key'!F:F, MATCH(F531,'Tagging key'!C:C,0)),"")</f>
        <v>31.39</v>
      </c>
      <c r="K531" s="3">
        <v>63.194000000000003</v>
      </c>
      <c r="L531" s="3">
        <v>85.32</v>
      </c>
      <c r="M531" s="3">
        <v>39.22</v>
      </c>
      <c r="N531" s="3">
        <v>33.700000000000003</v>
      </c>
      <c r="O531" s="3"/>
      <c r="P531" s="22">
        <v>45882</v>
      </c>
      <c r="Q531" s="22">
        <v>45882</v>
      </c>
      <c r="R531" s="3">
        <v>21.706</v>
      </c>
    </row>
    <row r="532" spans="1:18" x14ac:dyDescent="0.25">
      <c r="A532" s="11">
        <v>15</v>
      </c>
      <c r="B532" s="11">
        <v>7</v>
      </c>
      <c r="C532" s="11" t="s">
        <v>15</v>
      </c>
      <c r="D532" s="11" t="s">
        <v>46</v>
      </c>
      <c r="E532" s="11" t="s">
        <v>214</v>
      </c>
      <c r="F532" s="11" t="str">
        <f t="shared" si="5"/>
        <v>M_B96</v>
      </c>
      <c r="G532" s="3">
        <v>72.766999999999996</v>
      </c>
      <c r="H532" s="3">
        <f>IFERROR(INDEX('Tagging key'!D:D, MATCH(F532,'Tagging key'!C:C,0)),"")</f>
        <v>92</v>
      </c>
      <c r="I532" s="3">
        <f>IFERROR(INDEX('Tagging key'!E:E, MATCH(F532,'Tagging key'!C:C,0)),"")</f>
        <v>45</v>
      </c>
      <c r="J532" s="3">
        <f>IFERROR(INDEX('Tagging key'!F:F, MATCH(F532,'Tagging key'!C:C,0)),"")</f>
        <v>33</v>
      </c>
      <c r="K532" s="3">
        <v>73.332999999999998</v>
      </c>
      <c r="L532" s="3">
        <v>95.09</v>
      </c>
      <c r="M532" s="3">
        <v>47.1</v>
      </c>
      <c r="N532" s="3">
        <v>35.83</v>
      </c>
      <c r="O532" s="3"/>
      <c r="P532" s="22">
        <v>45879</v>
      </c>
      <c r="Q532" s="22">
        <v>45879</v>
      </c>
      <c r="R532" s="3"/>
    </row>
    <row r="533" spans="1:18" x14ac:dyDescent="0.25">
      <c r="A533" s="11">
        <v>15</v>
      </c>
      <c r="B533" s="11">
        <v>7</v>
      </c>
      <c r="C533" s="11" t="s">
        <v>15</v>
      </c>
      <c r="D533" s="11" t="s">
        <v>46</v>
      </c>
      <c r="E533" s="11" t="s">
        <v>449</v>
      </c>
      <c r="F533" s="11" t="str">
        <f t="shared" si="5"/>
        <v>M_R43</v>
      </c>
      <c r="G533" s="3">
        <v>35.357999999999997</v>
      </c>
      <c r="H533" s="3">
        <f>IFERROR(INDEX('Tagging key'!D:D, MATCH(F533,'Tagging key'!C:C,0)),"")</f>
        <v>72.5</v>
      </c>
      <c r="I533" s="3">
        <f>IFERROR(INDEX('Tagging key'!E:E, MATCH(F533,'Tagging key'!C:C,0)),"")</f>
        <v>39.99</v>
      </c>
      <c r="J533" s="3">
        <f>IFERROR(INDEX('Tagging key'!F:F, MATCH(F533,'Tagging key'!C:C,0)),"")</f>
        <v>26.72</v>
      </c>
      <c r="K533" s="3">
        <v>35.901000000000003</v>
      </c>
      <c r="L533" s="3">
        <v>67.37</v>
      </c>
      <c r="M533" s="3">
        <v>32.369999999999997</v>
      </c>
      <c r="N533" s="3">
        <v>22.28</v>
      </c>
      <c r="O533" s="3"/>
      <c r="P533" s="22">
        <v>45877</v>
      </c>
      <c r="Q533" s="22">
        <v>45877</v>
      </c>
      <c r="R533" s="3"/>
    </row>
    <row r="534" spans="1:18" x14ac:dyDescent="0.25">
      <c r="A534" s="12">
        <v>15</v>
      </c>
      <c r="B534" s="12">
        <v>8</v>
      </c>
      <c r="C534" s="12" t="s">
        <v>15</v>
      </c>
      <c r="D534" s="12" t="s">
        <v>46</v>
      </c>
      <c r="E534" s="12" t="s">
        <v>456</v>
      </c>
      <c r="F534" s="12" t="str">
        <f t="shared" si="5"/>
        <v>M_B74</v>
      </c>
      <c r="G534" s="3">
        <v>28.844999999999999</v>
      </c>
      <c r="H534" s="3">
        <f>IFERROR(INDEX('Tagging key'!D:D, MATCH(F534,'Tagging key'!C:C,0)),"")</f>
        <v>65.77</v>
      </c>
      <c r="I534" s="3">
        <f>IFERROR(INDEX('Tagging key'!E:E, MATCH(F534,'Tagging key'!C:C,0)),"")</f>
        <v>38.18</v>
      </c>
      <c r="J534" s="3">
        <f>IFERROR(INDEX('Tagging key'!F:F, MATCH(F534,'Tagging key'!C:C,0)),"")</f>
        <v>24.89</v>
      </c>
      <c r="K534" s="3">
        <v>29.879000000000001</v>
      </c>
      <c r="L534" s="3">
        <v>60.61</v>
      </c>
      <c r="M534" s="3">
        <v>30.77</v>
      </c>
      <c r="N534" s="3">
        <v>19.649999999999999</v>
      </c>
      <c r="O534" s="3"/>
      <c r="P534" s="22">
        <v>45877</v>
      </c>
      <c r="Q534" s="22">
        <v>45877</v>
      </c>
      <c r="R534" s="3"/>
    </row>
    <row r="535" spans="1:18" x14ac:dyDescent="0.25">
      <c r="A535" s="12">
        <v>15</v>
      </c>
      <c r="B535" s="12">
        <v>8</v>
      </c>
      <c r="C535" s="12" t="s">
        <v>15</v>
      </c>
      <c r="D535" s="12" t="s">
        <v>46</v>
      </c>
      <c r="E535" s="12" t="s">
        <v>890</v>
      </c>
      <c r="F535" s="12" t="str">
        <f t="shared" ref="F535:F598" si="6">LEFT(D535,1)&amp;"_"&amp;E535</f>
        <v>M_R19</v>
      </c>
      <c r="G535" s="3">
        <v>29.141999999999999</v>
      </c>
      <c r="H535" s="3">
        <f>IFERROR(INDEX('Tagging key'!D:D, MATCH(F535,'Tagging key'!C:C,0)),"")</f>
        <v>67.02</v>
      </c>
      <c r="I535" s="3">
        <f>IFERROR(INDEX('Tagging key'!E:E, MATCH(F535,'Tagging key'!C:C,0)),"")</f>
        <v>36.32</v>
      </c>
      <c r="J535" s="3">
        <f>IFERROR(INDEX('Tagging key'!F:F, MATCH(F535,'Tagging key'!C:C,0)),"")</f>
        <v>24.72</v>
      </c>
      <c r="K535" s="3">
        <v>29.768000000000001</v>
      </c>
      <c r="L535" s="3">
        <v>66.88</v>
      </c>
      <c r="M535" s="3">
        <v>35.96</v>
      </c>
      <c r="N535" s="3">
        <v>24.94</v>
      </c>
      <c r="O535" s="3"/>
      <c r="P535" s="22">
        <v>45882</v>
      </c>
      <c r="Q535" s="22">
        <v>45882</v>
      </c>
      <c r="R535" s="3"/>
    </row>
    <row r="536" spans="1:18" x14ac:dyDescent="0.25">
      <c r="A536" s="12">
        <v>15</v>
      </c>
      <c r="B536" s="12">
        <v>8</v>
      </c>
      <c r="C536" s="12" t="s">
        <v>15</v>
      </c>
      <c r="D536" s="12" t="s">
        <v>46</v>
      </c>
      <c r="E536" s="12" t="s">
        <v>835</v>
      </c>
      <c r="F536" s="12" t="str">
        <f t="shared" si="6"/>
        <v>M_B70</v>
      </c>
      <c r="G536" s="3">
        <v>61.345999999999997</v>
      </c>
      <c r="H536" s="3">
        <f>IFERROR(INDEX('Tagging key'!D:D, MATCH(F536,'Tagging key'!C:C,0)),"")</f>
        <v>88.88</v>
      </c>
      <c r="I536" s="3">
        <f>IFERROR(INDEX('Tagging key'!E:E, MATCH(F536,'Tagging key'!C:C,0)),"")</f>
        <v>42.31</v>
      </c>
      <c r="J536" s="3">
        <f>IFERROR(INDEX('Tagging key'!F:F, MATCH(F536,'Tagging key'!C:C,0)),"")</f>
        <v>29.85</v>
      </c>
      <c r="K536" s="3">
        <v>61.47</v>
      </c>
      <c r="L536" s="3">
        <v>88.19</v>
      </c>
      <c r="M536" s="3">
        <v>40.659999999999997</v>
      </c>
      <c r="N536" s="3">
        <v>31.62</v>
      </c>
      <c r="O536" s="3"/>
      <c r="P536" s="22">
        <v>45886</v>
      </c>
      <c r="Q536" s="22">
        <v>45886</v>
      </c>
      <c r="R536" s="3">
        <v>22.92</v>
      </c>
    </row>
    <row r="537" spans="1:18" x14ac:dyDescent="0.25">
      <c r="A537" s="12">
        <v>15</v>
      </c>
      <c r="B537" s="12">
        <v>8</v>
      </c>
      <c r="C537" s="12" t="s">
        <v>15</v>
      </c>
      <c r="D537" s="12" t="s">
        <v>46</v>
      </c>
      <c r="E537" s="12" t="s">
        <v>891</v>
      </c>
      <c r="F537" s="12" t="str">
        <f t="shared" si="6"/>
        <v>M_B63</v>
      </c>
      <c r="G537" s="3">
        <v>34.293999999999997</v>
      </c>
      <c r="H537" s="3">
        <f>IFERROR(INDEX('Tagging key'!D:D, MATCH(F537,'Tagging key'!C:C,0)),"")</f>
        <v>70.81</v>
      </c>
      <c r="I537" s="3">
        <f>IFERROR(INDEX('Tagging key'!E:E, MATCH(F537,'Tagging key'!C:C,0)),"")</f>
        <v>36.82</v>
      </c>
      <c r="J537" s="3">
        <f>IFERROR(INDEX('Tagging key'!F:F, MATCH(F537,'Tagging key'!C:C,0)),"")</f>
        <v>27.51</v>
      </c>
      <c r="K537" s="3">
        <v>35.270000000000003</v>
      </c>
      <c r="L537" s="3">
        <v>71.510000000000005</v>
      </c>
      <c r="M537" s="3">
        <v>34.47</v>
      </c>
      <c r="N537" s="3">
        <v>28.36</v>
      </c>
      <c r="O537" s="3"/>
      <c r="P537" s="22">
        <v>45879</v>
      </c>
      <c r="Q537" s="22">
        <v>45879</v>
      </c>
      <c r="R537" s="3"/>
    </row>
    <row r="538" spans="1:18" x14ac:dyDescent="0.25">
      <c r="A538" s="11">
        <v>15</v>
      </c>
      <c r="B538" s="11">
        <v>9</v>
      </c>
      <c r="C538" s="11" t="s">
        <v>15</v>
      </c>
      <c r="D538" s="11" t="s">
        <v>46</v>
      </c>
      <c r="E538" s="11" t="s">
        <v>542</v>
      </c>
      <c r="F538" s="11" t="str">
        <f t="shared" si="6"/>
        <v>M_R44</v>
      </c>
      <c r="G538" s="3">
        <v>37.207999999999998</v>
      </c>
      <c r="H538" s="3">
        <f>IFERROR(INDEX('Tagging key'!D:D, MATCH(F538,'Tagging key'!C:C,0)),"")</f>
        <v>72.91</v>
      </c>
      <c r="I538" s="3">
        <f>IFERROR(INDEX('Tagging key'!E:E, MATCH(F538,'Tagging key'!C:C,0)),"")</f>
        <v>39.729999999999997</v>
      </c>
      <c r="J538" s="3">
        <f>IFERROR(INDEX('Tagging key'!F:F, MATCH(F538,'Tagging key'!C:C,0)),"")</f>
        <v>26.31</v>
      </c>
      <c r="K538" s="3">
        <v>37.462000000000003</v>
      </c>
      <c r="L538" s="3">
        <v>72.510000000000005</v>
      </c>
      <c r="M538" s="3">
        <v>36.51</v>
      </c>
      <c r="N538" s="3">
        <v>26.49</v>
      </c>
      <c r="O538" s="3"/>
      <c r="P538" s="22">
        <v>45882</v>
      </c>
      <c r="Q538" s="22">
        <v>45882</v>
      </c>
      <c r="R538" s="3">
        <v>13.034000000000001</v>
      </c>
    </row>
    <row r="539" spans="1:18" x14ac:dyDescent="0.25">
      <c r="A539" s="11">
        <v>15</v>
      </c>
      <c r="B539" s="11">
        <v>9</v>
      </c>
      <c r="C539" s="11" t="s">
        <v>15</v>
      </c>
      <c r="D539" s="11" t="s">
        <v>46</v>
      </c>
      <c r="E539" s="11" t="s">
        <v>892</v>
      </c>
      <c r="F539" s="11" t="str">
        <f t="shared" si="6"/>
        <v>M_R71</v>
      </c>
      <c r="G539" s="3">
        <v>37.590000000000003</v>
      </c>
      <c r="H539" s="3">
        <f>IFERROR(INDEX('Tagging key'!D:D, MATCH(F539,'Tagging key'!C:C,0)),"")</f>
        <v>72</v>
      </c>
      <c r="I539" s="3">
        <f>IFERROR(INDEX('Tagging key'!E:E, MATCH(F539,'Tagging key'!C:C,0)),"")</f>
        <v>39</v>
      </c>
      <c r="J539" s="3">
        <f>IFERROR(INDEX('Tagging key'!F:F, MATCH(F539,'Tagging key'!C:C,0)),"")</f>
        <v>26</v>
      </c>
      <c r="K539" s="3">
        <v>37.811</v>
      </c>
      <c r="L539" s="3">
        <v>73.27</v>
      </c>
      <c r="M539" s="3">
        <v>38.58</v>
      </c>
      <c r="N539" s="3">
        <v>27.45</v>
      </c>
      <c r="O539" s="3"/>
      <c r="P539" s="22">
        <v>45877</v>
      </c>
      <c r="Q539" s="22">
        <v>45877</v>
      </c>
      <c r="R539" s="3"/>
    </row>
    <row r="540" spans="1:18" x14ac:dyDescent="0.25">
      <c r="A540" s="11">
        <v>15</v>
      </c>
      <c r="B540" s="11">
        <v>9</v>
      </c>
      <c r="C540" s="11" t="s">
        <v>15</v>
      </c>
      <c r="D540" s="11" t="s">
        <v>46</v>
      </c>
      <c r="E540" s="11" t="s">
        <v>893</v>
      </c>
      <c r="F540" s="11" t="str">
        <f t="shared" si="6"/>
        <v>M_R70</v>
      </c>
      <c r="G540" s="3">
        <v>37.104999999999997</v>
      </c>
      <c r="H540" s="3">
        <f>IFERROR(INDEX('Tagging key'!D:D, MATCH(F540,'Tagging key'!C:C,0)),"")</f>
        <v>74.63</v>
      </c>
      <c r="I540" s="3">
        <f>IFERROR(INDEX('Tagging key'!E:E, MATCH(F540,'Tagging key'!C:C,0)),"")</f>
        <v>38.24</v>
      </c>
      <c r="J540" s="3">
        <f>IFERROR(INDEX('Tagging key'!F:F, MATCH(F540,'Tagging key'!C:C,0)),"")</f>
        <v>25.86</v>
      </c>
      <c r="K540" s="3">
        <v>37.630000000000003</v>
      </c>
      <c r="L540" s="3">
        <v>74.11</v>
      </c>
      <c r="M540" s="3">
        <v>35.229999999999997</v>
      </c>
      <c r="N540" s="3">
        <v>26.45</v>
      </c>
      <c r="O540" s="3"/>
      <c r="P540" s="22">
        <v>45886</v>
      </c>
      <c r="Q540" s="22">
        <v>45886</v>
      </c>
      <c r="R540" s="3">
        <v>13.111000000000001</v>
      </c>
    </row>
    <row r="541" spans="1:18" x14ac:dyDescent="0.25">
      <c r="A541" s="11">
        <v>15</v>
      </c>
      <c r="B541" s="11">
        <v>9</v>
      </c>
      <c r="C541" s="11" t="s">
        <v>15</v>
      </c>
      <c r="D541" s="11" t="s">
        <v>46</v>
      </c>
      <c r="E541" s="11" t="s">
        <v>558</v>
      </c>
      <c r="F541" s="11" t="str">
        <f t="shared" si="6"/>
        <v>M_G40</v>
      </c>
      <c r="G541" s="3">
        <v>59.386000000000003</v>
      </c>
      <c r="H541" s="3">
        <f>IFERROR(INDEX('Tagging key'!D:D, MATCH(F541,'Tagging key'!C:C,0)),"")</f>
        <v>83</v>
      </c>
      <c r="I541" s="3">
        <f>IFERROR(INDEX('Tagging key'!E:E, MATCH(F541,'Tagging key'!C:C,0)),"")</f>
        <v>38</v>
      </c>
      <c r="J541" s="3">
        <f>IFERROR(INDEX('Tagging key'!F:F, MATCH(F541,'Tagging key'!C:C,0)),"")</f>
        <v>33</v>
      </c>
      <c r="K541" s="3">
        <v>60.405000000000001</v>
      </c>
      <c r="L541" s="3">
        <v>85.64</v>
      </c>
      <c r="M541" s="3">
        <v>38.46</v>
      </c>
      <c r="N541" s="3">
        <v>35.03</v>
      </c>
      <c r="O541" s="3"/>
      <c r="P541" s="22">
        <v>45879</v>
      </c>
      <c r="Q541" s="22">
        <v>45879</v>
      </c>
      <c r="R541" s="3"/>
    </row>
    <row r="542" spans="1:18" x14ac:dyDescent="0.25">
      <c r="A542" s="13">
        <v>16</v>
      </c>
      <c r="B542" s="13">
        <v>1</v>
      </c>
      <c r="C542" s="13" t="s">
        <v>105</v>
      </c>
      <c r="D542" s="13" t="s">
        <v>72</v>
      </c>
      <c r="E542" s="13" t="s">
        <v>894</v>
      </c>
      <c r="F542" s="13" t="str">
        <f t="shared" si="6"/>
        <v>S_W50</v>
      </c>
      <c r="G542" s="3">
        <v>48.005000000000003</v>
      </c>
      <c r="H542" s="3">
        <f>IFERROR(INDEX('Tagging key'!D:D, MATCH(F542,'Tagging key'!C:C,0)),"")</f>
        <v>73</v>
      </c>
      <c r="I542" s="3">
        <f>IFERROR(INDEX('Tagging key'!E:E, MATCH(F542,'Tagging key'!C:C,0)),"")</f>
        <v>75</v>
      </c>
      <c r="J542" s="3">
        <f>IFERROR(INDEX('Tagging key'!F:F, MATCH(F542,'Tagging key'!C:C,0)),"")</f>
        <v>18</v>
      </c>
      <c r="K542" s="3">
        <v>44.978000000000002</v>
      </c>
      <c r="L542" s="3">
        <v>74.23</v>
      </c>
      <c r="M542" s="3">
        <v>75.36</v>
      </c>
      <c r="N542" s="3">
        <v>22.14</v>
      </c>
      <c r="O542" s="3"/>
      <c r="P542" s="22">
        <v>45877</v>
      </c>
      <c r="Q542" s="22">
        <v>45877</v>
      </c>
      <c r="R542" s="3"/>
    </row>
    <row r="543" spans="1:18" x14ac:dyDescent="0.25">
      <c r="A543" s="13">
        <v>16</v>
      </c>
      <c r="B543" s="13">
        <v>1</v>
      </c>
      <c r="C543" s="13" t="s">
        <v>105</v>
      </c>
      <c r="D543" s="13" t="s">
        <v>72</v>
      </c>
      <c r="E543" s="13" t="s">
        <v>895</v>
      </c>
      <c r="F543" s="13" t="str">
        <f t="shared" si="6"/>
        <v>S_G43</v>
      </c>
      <c r="G543" s="3">
        <v>63.755000000000003</v>
      </c>
      <c r="H543" s="3">
        <f>IFERROR(INDEX('Tagging key'!D:D, MATCH(F543,'Tagging key'!C:C,0)),"")</f>
        <v>75.98</v>
      </c>
      <c r="I543" s="3">
        <f>IFERROR(INDEX('Tagging key'!E:E, MATCH(F543,'Tagging key'!C:C,0)),"")</f>
        <v>80.040000000000006</v>
      </c>
      <c r="J543" s="3">
        <f>IFERROR(INDEX('Tagging key'!F:F, MATCH(F543,'Tagging key'!C:C,0)),"")</f>
        <v>20.190000000000001</v>
      </c>
      <c r="K543" s="3">
        <v>56.935000000000002</v>
      </c>
      <c r="L543" s="3">
        <v>76.89</v>
      </c>
      <c r="M543" s="3">
        <v>80.38</v>
      </c>
      <c r="N543" s="3">
        <v>21.12</v>
      </c>
      <c r="O543" s="3"/>
      <c r="P543" s="22">
        <v>45886</v>
      </c>
      <c r="Q543" s="22">
        <v>45886</v>
      </c>
      <c r="R543" s="3"/>
    </row>
    <row r="544" spans="1:18" x14ac:dyDescent="0.25">
      <c r="A544" s="13">
        <v>16</v>
      </c>
      <c r="B544" s="13">
        <v>1</v>
      </c>
      <c r="C544" s="13" t="s">
        <v>105</v>
      </c>
      <c r="D544" s="13" t="s">
        <v>72</v>
      </c>
      <c r="E544" s="13" t="s">
        <v>896</v>
      </c>
      <c r="F544" s="13" t="str">
        <f t="shared" si="6"/>
        <v>S_G90</v>
      </c>
      <c r="G544" s="3">
        <v>61.436999999999998</v>
      </c>
      <c r="H544" s="3">
        <f>IFERROR(INDEX('Tagging key'!D:D, MATCH(F544,'Tagging key'!C:C,0)),"")</f>
        <v>79</v>
      </c>
      <c r="I544" s="3">
        <f>IFERROR(INDEX('Tagging key'!E:E, MATCH(F544,'Tagging key'!C:C,0)),"")</f>
        <v>78</v>
      </c>
      <c r="J544" s="3">
        <f>IFERROR(INDEX('Tagging key'!F:F, MATCH(F544,'Tagging key'!C:C,0)),"")</f>
        <v>18</v>
      </c>
      <c r="K544" s="3">
        <v>55.768000000000001</v>
      </c>
      <c r="L544" s="3">
        <v>79.28</v>
      </c>
      <c r="M544" s="3">
        <v>77.680000000000007</v>
      </c>
      <c r="N544" s="3">
        <v>19.22</v>
      </c>
      <c r="O544" s="3"/>
      <c r="P544" s="22">
        <v>45882</v>
      </c>
      <c r="Q544" s="22">
        <v>45882</v>
      </c>
      <c r="R544" s="3">
        <v>27.198</v>
      </c>
    </row>
    <row r="545" spans="1:19" x14ac:dyDescent="0.25">
      <c r="A545" s="13">
        <v>16</v>
      </c>
      <c r="B545" s="13">
        <v>1</v>
      </c>
      <c r="C545" s="13" t="s">
        <v>105</v>
      </c>
      <c r="D545" s="13" t="s">
        <v>72</v>
      </c>
      <c r="E545" s="13" t="s">
        <v>897</v>
      </c>
      <c r="F545" s="13" t="str">
        <f t="shared" si="6"/>
        <v>S_W62</v>
      </c>
      <c r="G545" s="3">
        <v>51.25</v>
      </c>
      <c r="H545" s="3">
        <f>IFERROR(INDEX('Tagging key'!D:D, MATCH(F545,'Tagging key'!C:C,0)),"")</f>
        <v>71</v>
      </c>
      <c r="I545" s="3">
        <f>IFERROR(INDEX('Tagging key'!E:E, MATCH(F545,'Tagging key'!C:C,0)),"")</f>
        <v>74</v>
      </c>
      <c r="J545" s="3">
        <f>IFERROR(INDEX('Tagging key'!F:F, MATCH(F545,'Tagging key'!C:C,0)),"")</f>
        <v>18</v>
      </c>
      <c r="K545" s="3">
        <v>45.442999999999998</v>
      </c>
      <c r="L545" s="3">
        <v>68.77</v>
      </c>
      <c r="M545" s="3">
        <v>75.64</v>
      </c>
      <c r="N545" s="3">
        <v>21.28</v>
      </c>
      <c r="O545" s="3"/>
      <c r="P545" s="22">
        <v>45879</v>
      </c>
      <c r="Q545" s="22">
        <v>45879</v>
      </c>
      <c r="R545" s="3"/>
    </row>
    <row r="546" spans="1:19" x14ac:dyDescent="0.25">
      <c r="A546" s="14">
        <v>16</v>
      </c>
      <c r="B546" s="14">
        <v>2</v>
      </c>
      <c r="C546" s="14" t="s">
        <v>105</v>
      </c>
      <c r="D546" s="14" t="s">
        <v>72</v>
      </c>
      <c r="E546" s="14" t="s">
        <v>377</v>
      </c>
      <c r="F546" s="14" t="str">
        <f t="shared" si="6"/>
        <v>S_G52</v>
      </c>
      <c r="G546" s="3">
        <v>69.995999999999995</v>
      </c>
      <c r="H546" s="3">
        <f>IFERROR(INDEX('Tagging key'!D:D, MATCH(F546,'Tagging key'!C:C,0)),"")</f>
        <v>77</v>
      </c>
      <c r="I546" s="3">
        <f>IFERROR(INDEX('Tagging key'!E:E, MATCH(F546,'Tagging key'!C:C,0)),"")</f>
        <v>81</v>
      </c>
      <c r="J546" s="3">
        <f>IFERROR(INDEX('Tagging key'!F:F, MATCH(F546,'Tagging key'!C:C,0)),"")</f>
        <v>21</v>
      </c>
      <c r="K546" s="3">
        <v>64.656000000000006</v>
      </c>
      <c r="L546" s="3">
        <v>77.069999999999993</v>
      </c>
      <c r="M546" s="3">
        <v>82.77</v>
      </c>
      <c r="N546" s="3">
        <v>22.29</v>
      </c>
      <c r="O546" s="3"/>
      <c r="P546" s="22">
        <v>45886</v>
      </c>
      <c r="Q546" s="22">
        <v>45886</v>
      </c>
      <c r="R546" s="3">
        <v>30.327999999999999</v>
      </c>
    </row>
    <row r="547" spans="1:19" x14ac:dyDescent="0.25">
      <c r="A547" s="14">
        <v>16</v>
      </c>
      <c r="B547" s="14">
        <v>2</v>
      </c>
      <c r="C547" s="14" t="s">
        <v>105</v>
      </c>
      <c r="D547" s="14" t="s">
        <v>72</v>
      </c>
      <c r="E547" s="14" t="s">
        <v>898</v>
      </c>
      <c r="F547" s="14" t="str">
        <f t="shared" si="6"/>
        <v>S_G67</v>
      </c>
      <c r="G547" s="3">
        <v>48.228999999999999</v>
      </c>
      <c r="H547" s="3">
        <f>IFERROR(INDEX('Tagging key'!D:D, MATCH(F547,'Tagging key'!C:C,0)),"")</f>
        <v>70</v>
      </c>
      <c r="I547" s="3">
        <f>IFERROR(INDEX('Tagging key'!E:E, MATCH(F547,'Tagging key'!C:C,0)),"")</f>
        <v>71</v>
      </c>
      <c r="J547" s="3">
        <f>IFERROR(INDEX('Tagging key'!F:F, MATCH(F547,'Tagging key'!C:C,0)),"")</f>
        <v>18</v>
      </c>
      <c r="K547" s="3">
        <v>45.131</v>
      </c>
      <c r="L547" s="3">
        <v>71.459999999999994</v>
      </c>
      <c r="M547" s="3">
        <v>71.25</v>
      </c>
      <c r="N547" s="3">
        <v>20.67</v>
      </c>
      <c r="O547" s="3"/>
      <c r="P547" s="22">
        <v>45882</v>
      </c>
      <c r="Q547" s="22">
        <v>45882</v>
      </c>
      <c r="R547" s="3">
        <v>22.864999999999998</v>
      </c>
    </row>
    <row r="548" spans="1:19" x14ac:dyDescent="0.25">
      <c r="A548" s="14">
        <v>16</v>
      </c>
      <c r="B548" s="14">
        <v>2</v>
      </c>
      <c r="C548" s="14" t="s">
        <v>105</v>
      </c>
      <c r="D548" s="14" t="s">
        <v>72</v>
      </c>
      <c r="E548" s="14" t="s">
        <v>899</v>
      </c>
      <c r="F548" s="14" t="str">
        <f t="shared" si="6"/>
        <v>S_W70</v>
      </c>
      <c r="G548" s="3">
        <v>70.933000000000007</v>
      </c>
      <c r="H548" s="3">
        <f>IFERROR(INDEX('Tagging key'!D:D, MATCH(F548,'Tagging key'!C:C,0)),"")</f>
        <v>77</v>
      </c>
      <c r="I548" s="3">
        <f>IFERROR(INDEX('Tagging key'!E:E, MATCH(F548,'Tagging key'!C:C,0)),"")</f>
        <v>81</v>
      </c>
      <c r="J548" s="3">
        <f>IFERROR(INDEX('Tagging key'!F:F, MATCH(F548,'Tagging key'!C:C,0)),"")</f>
        <v>18</v>
      </c>
      <c r="K548" s="3">
        <v>66.105000000000004</v>
      </c>
      <c r="L548" s="3">
        <v>78.959999999999994</v>
      </c>
      <c r="M548" s="3">
        <v>81.02</v>
      </c>
      <c r="N548" s="3">
        <v>22.42</v>
      </c>
      <c r="O548" s="3"/>
      <c r="P548" s="22">
        <v>45877</v>
      </c>
      <c r="Q548" s="22">
        <v>45877</v>
      </c>
      <c r="R548" s="3"/>
    </row>
    <row r="549" spans="1:19" x14ac:dyDescent="0.25">
      <c r="A549" s="14">
        <v>16</v>
      </c>
      <c r="B549" s="14">
        <v>2</v>
      </c>
      <c r="C549" s="14" t="s">
        <v>105</v>
      </c>
      <c r="D549" s="14" t="s">
        <v>72</v>
      </c>
      <c r="E549" s="14" t="s">
        <v>900</v>
      </c>
      <c r="F549" s="14" t="str">
        <f t="shared" si="6"/>
        <v>S_Y91</v>
      </c>
      <c r="G549" s="3">
        <v>64.364000000000004</v>
      </c>
      <c r="H549" s="3">
        <f>IFERROR(INDEX('Tagging key'!D:D, MATCH(F549,'Tagging key'!C:C,0)),"")</f>
        <v>78</v>
      </c>
      <c r="I549" s="3">
        <f>IFERROR(INDEX('Tagging key'!E:E, MATCH(F549,'Tagging key'!C:C,0)),"")</f>
        <v>80</v>
      </c>
      <c r="J549" s="3">
        <f>IFERROR(INDEX('Tagging key'!F:F, MATCH(F549,'Tagging key'!C:C,0)),"")</f>
        <v>21</v>
      </c>
      <c r="K549" s="3">
        <v>60.442</v>
      </c>
      <c r="L549" s="3">
        <v>79.02</v>
      </c>
      <c r="M549" s="3">
        <v>81.14</v>
      </c>
      <c r="N549" s="3">
        <v>20.11</v>
      </c>
      <c r="O549" s="3"/>
      <c r="P549" s="22">
        <v>45879</v>
      </c>
      <c r="Q549" s="22">
        <v>45879</v>
      </c>
      <c r="R549" s="3"/>
    </row>
    <row r="550" spans="1:19" x14ac:dyDescent="0.25">
      <c r="A550" s="13">
        <v>16</v>
      </c>
      <c r="B550" s="13">
        <v>3</v>
      </c>
      <c r="C550" s="13" t="s">
        <v>105</v>
      </c>
      <c r="D550" s="13" t="s">
        <v>72</v>
      </c>
      <c r="E550" s="13" t="s">
        <v>901</v>
      </c>
      <c r="F550" s="13" t="str">
        <f t="shared" si="6"/>
        <v>S_Y36</v>
      </c>
      <c r="G550" s="3">
        <v>56.575000000000003</v>
      </c>
      <c r="H550" s="3">
        <f>IFERROR(INDEX('Tagging key'!D:D, MATCH(F550,'Tagging key'!C:C,0)),"")</f>
        <v>74.5</v>
      </c>
      <c r="I550" s="3">
        <f>IFERROR(INDEX('Tagging key'!E:E, MATCH(F550,'Tagging key'!C:C,0)),"")</f>
        <v>77</v>
      </c>
      <c r="J550" s="3">
        <f>IFERROR(INDEX('Tagging key'!F:F, MATCH(F550,'Tagging key'!C:C,0)),"")</f>
        <v>19.5</v>
      </c>
      <c r="K550" s="3">
        <v>53.326000000000001</v>
      </c>
      <c r="L550" s="3">
        <v>74.290000000000006</v>
      </c>
      <c r="M550" s="3">
        <v>76.540000000000006</v>
      </c>
      <c r="N550" s="3">
        <v>22.46</v>
      </c>
      <c r="O550" s="3"/>
      <c r="P550" s="22">
        <v>45877</v>
      </c>
      <c r="Q550" s="22">
        <v>45877</v>
      </c>
      <c r="R550" s="3"/>
    </row>
    <row r="551" spans="1:19" x14ac:dyDescent="0.25">
      <c r="A551" s="19">
        <v>16</v>
      </c>
      <c r="B551" s="19">
        <v>3</v>
      </c>
      <c r="C551" s="19" t="s">
        <v>105</v>
      </c>
      <c r="D551" s="19" t="s">
        <v>72</v>
      </c>
      <c r="E551" s="19" t="s">
        <v>902</v>
      </c>
      <c r="F551" s="19" t="str">
        <f t="shared" si="6"/>
        <v>S_G83</v>
      </c>
      <c r="G551" s="19">
        <v>40.890999999999998</v>
      </c>
      <c r="H551" s="19">
        <f>IFERROR(INDEX('Tagging key'!D:D, MATCH(F551,'Tagging key'!C:C,0)),"")</f>
        <v>66</v>
      </c>
      <c r="I551" s="19">
        <f>IFERROR(INDEX('Tagging key'!E:E, MATCH(F551,'Tagging key'!C:C,0)),"")</f>
        <v>69</v>
      </c>
      <c r="J551" s="19">
        <f>IFERROR(INDEX('Tagging key'!F:F, MATCH(F551,'Tagging key'!C:C,0)),"")</f>
        <v>16</v>
      </c>
      <c r="K551" s="19"/>
      <c r="L551" s="19"/>
      <c r="M551" s="19"/>
      <c r="N551" s="19"/>
      <c r="O551" s="19"/>
      <c r="P551" s="19"/>
      <c r="Q551" s="19"/>
      <c r="R551" s="19"/>
      <c r="S551" t="s">
        <v>903</v>
      </c>
    </row>
    <row r="552" spans="1:19" x14ac:dyDescent="0.25">
      <c r="A552" s="19">
        <v>16</v>
      </c>
      <c r="B552" s="19">
        <v>3</v>
      </c>
      <c r="C552" s="19" t="s">
        <v>105</v>
      </c>
      <c r="D552" s="19" t="s">
        <v>72</v>
      </c>
      <c r="E552" s="19" t="s">
        <v>904</v>
      </c>
      <c r="F552" s="19" t="str">
        <f t="shared" si="6"/>
        <v>S_Y14</v>
      </c>
      <c r="G552" s="19">
        <v>46.067</v>
      </c>
      <c r="H552" s="19">
        <f>IFERROR(INDEX('Tagging key'!D:D, MATCH(F552,'Tagging key'!C:C,0)),"")</f>
        <v>71</v>
      </c>
      <c r="I552" s="19">
        <f>IFERROR(INDEX('Tagging key'!E:E, MATCH(F552,'Tagging key'!C:C,0)),"")</f>
        <v>74</v>
      </c>
      <c r="J552" s="19">
        <f>IFERROR(INDEX('Tagging key'!F:F, MATCH(F552,'Tagging key'!C:C,0)),"")</f>
        <v>17.5</v>
      </c>
      <c r="K552" s="19"/>
      <c r="L552" s="19"/>
      <c r="M552" s="19"/>
      <c r="N552" s="19"/>
      <c r="O552" s="19"/>
      <c r="P552" s="19"/>
      <c r="Q552" s="19"/>
      <c r="R552" s="19"/>
      <c r="S552" t="s">
        <v>905</v>
      </c>
    </row>
    <row r="553" spans="1:19" x14ac:dyDescent="0.25">
      <c r="A553" s="19">
        <v>16</v>
      </c>
      <c r="B553" s="19">
        <v>3</v>
      </c>
      <c r="C553" s="19" t="s">
        <v>105</v>
      </c>
      <c r="D553" s="19" t="s">
        <v>72</v>
      </c>
      <c r="E553" s="19" t="s">
        <v>906</v>
      </c>
      <c r="F553" s="19" t="str">
        <f t="shared" si="6"/>
        <v>S_Y29</v>
      </c>
      <c r="G553" s="19">
        <v>67.974999999999994</v>
      </c>
      <c r="H553" s="19">
        <f>IFERROR(INDEX('Tagging key'!D:D, MATCH(F553,'Tagging key'!C:C,0)),"")</f>
        <v>78.5</v>
      </c>
      <c r="I553" s="19">
        <f>IFERROR(INDEX('Tagging key'!E:E, MATCH(F553,'Tagging key'!C:C,0)),"")</f>
        <v>83.5</v>
      </c>
      <c r="J553" s="19">
        <f>IFERROR(INDEX('Tagging key'!F:F, MATCH(F553,'Tagging key'!C:C,0)),"")</f>
        <v>20</v>
      </c>
      <c r="K553" s="19"/>
      <c r="L553" s="19"/>
      <c r="M553" s="19"/>
      <c r="N553" s="19"/>
      <c r="O553" s="19"/>
      <c r="P553" s="19"/>
      <c r="Q553" s="19"/>
      <c r="R553" s="19"/>
      <c r="S553" t="s">
        <v>907</v>
      </c>
    </row>
    <row r="554" spans="1:19" x14ac:dyDescent="0.25">
      <c r="A554" s="11">
        <v>16</v>
      </c>
      <c r="B554" s="11">
        <v>4</v>
      </c>
      <c r="C554" s="11" t="s">
        <v>105</v>
      </c>
      <c r="D554" s="11" t="s">
        <v>46</v>
      </c>
      <c r="E554" s="11" t="s">
        <v>908</v>
      </c>
      <c r="F554" s="11" t="str">
        <f t="shared" si="6"/>
        <v>M_G19</v>
      </c>
      <c r="G554" s="3">
        <v>45.646000000000001</v>
      </c>
      <c r="H554" s="3">
        <f>IFERROR(INDEX('Tagging key'!D:D, MATCH(F554,'Tagging key'!C:C,0)),"")</f>
        <v>81</v>
      </c>
      <c r="I554" s="3">
        <f>IFERROR(INDEX('Tagging key'!E:E, MATCH(F554,'Tagging key'!C:C,0)),"")</f>
        <v>38</v>
      </c>
      <c r="J554" s="3">
        <f>IFERROR(INDEX('Tagging key'!F:F, MATCH(F554,'Tagging key'!C:C,0)),"")</f>
        <v>27</v>
      </c>
      <c r="K554" s="3">
        <v>46.845999999999997</v>
      </c>
      <c r="L554" s="3">
        <v>83.04</v>
      </c>
      <c r="M554" s="3">
        <v>37.5</v>
      </c>
      <c r="N554" s="3">
        <v>27.89</v>
      </c>
      <c r="O554" s="3"/>
      <c r="P554" s="22">
        <v>45882</v>
      </c>
      <c r="Q554" s="22">
        <v>45882</v>
      </c>
      <c r="R554" s="3">
        <v>16.815000000000001</v>
      </c>
    </row>
    <row r="555" spans="1:19" x14ac:dyDescent="0.25">
      <c r="A555" s="11">
        <v>16</v>
      </c>
      <c r="B555" s="11">
        <v>4</v>
      </c>
      <c r="C555" s="11" t="s">
        <v>105</v>
      </c>
      <c r="D555" s="11" t="s">
        <v>46</v>
      </c>
      <c r="E555" s="11" t="s">
        <v>459</v>
      </c>
      <c r="F555" s="11" t="str">
        <f t="shared" si="6"/>
        <v>M_B13</v>
      </c>
      <c r="G555" s="3">
        <v>36.497</v>
      </c>
      <c r="H555" s="3">
        <f>IFERROR(INDEX('Tagging key'!D:D, MATCH(F555,'Tagging key'!C:C,0)),"")</f>
        <v>66.91</v>
      </c>
      <c r="I555" s="3">
        <f>IFERROR(INDEX('Tagging key'!E:E, MATCH(F555,'Tagging key'!C:C,0)),"")</f>
        <v>43.2</v>
      </c>
      <c r="J555" s="3">
        <f>IFERROR(INDEX('Tagging key'!F:F, MATCH(F555,'Tagging key'!C:C,0)),"")</f>
        <v>27.97</v>
      </c>
      <c r="K555" s="3">
        <v>37.177</v>
      </c>
      <c r="L555" s="3">
        <v>68.38</v>
      </c>
      <c r="M555" s="3">
        <v>39.42</v>
      </c>
      <c r="N555" s="3">
        <v>28.96</v>
      </c>
      <c r="O555" s="3"/>
      <c r="P555" s="22">
        <v>45877</v>
      </c>
      <c r="Q555" s="22">
        <v>45877</v>
      </c>
      <c r="R555" s="3"/>
    </row>
    <row r="556" spans="1:19" x14ac:dyDescent="0.25">
      <c r="A556" s="11">
        <v>16</v>
      </c>
      <c r="B556" s="11">
        <v>4</v>
      </c>
      <c r="C556" s="11" t="s">
        <v>105</v>
      </c>
      <c r="D556" s="11" t="s">
        <v>46</v>
      </c>
      <c r="E556" s="11" t="s">
        <v>760</v>
      </c>
      <c r="F556" s="11" t="str">
        <f t="shared" si="6"/>
        <v>M_R14</v>
      </c>
      <c r="G556" s="3">
        <v>52.392000000000003</v>
      </c>
      <c r="H556" s="3">
        <f>IFERROR(INDEX('Tagging key'!D:D, MATCH(F556,'Tagging key'!C:C,0)),"")</f>
        <v>80.900000000000006</v>
      </c>
      <c r="I556" s="3">
        <f>IFERROR(INDEX('Tagging key'!E:E, MATCH(F556,'Tagging key'!C:C,0)),"")</f>
        <v>39.43</v>
      </c>
      <c r="J556" s="3">
        <f>IFERROR(INDEX('Tagging key'!F:F, MATCH(F556,'Tagging key'!C:C,0)),"")</f>
        <v>33.18</v>
      </c>
      <c r="K556" s="3">
        <v>53.322000000000003</v>
      </c>
      <c r="L556" s="3">
        <v>81.150000000000006</v>
      </c>
      <c r="M556" s="3">
        <v>38.57</v>
      </c>
      <c r="N556" s="3">
        <v>34.4</v>
      </c>
      <c r="O556" s="3"/>
      <c r="P556" s="22">
        <v>45879</v>
      </c>
      <c r="Q556" s="22">
        <v>45879</v>
      </c>
      <c r="R556" s="3"/>
    </row>
    <row r="557" spans="1:19" x14ac:dyDescent="0.25">
      <c r="A557" s="11">
        <v>16</v>
      </c>
      <c r="B557" s="11">
        <v>4</v>
      </c>
      <c r="C557" s="11" t="s">
        <v>105</v>
      </c>
      <c r="D557" s="11" t="s">
        <v>46</v>
      </c>
      <c r="E557" s="11" t="s">
        <v>763</v>
      </c>
      <c r="F557" s="11" t="str">
        <f t="shared" si="6"/>
        <v>M_B95</v>
      </c>
      <c r="G557" s="3">
        <v>32.179000000000002</v>
      </c>
      <c r="H557" s="3">
        <f>IFERROR(INDEX('Tagging key'!D:D, MATCH(F557,'Tagging key'!C:C,0)),"")</f>
        <v>67</v>
      </c>
      <c r="I557" s="3">
        <f>IFERROR(INDEX('Tagging key'!E:E, MATCH(F557,'Tagging key'!C:C,0)),"")</f>
        <v>35</v>
      </c>
      <c r="J557" s="3">
        <f>IFERROR(INDEX('Tagging key'!F:F, MATCH(F557,'Tagging key'!C:C,0)),"")</f>
        <v>25</v>
      </c>
      <c r="K557" s="3">
        <v>32.908000000000001</v>
      </c>
      <c r="L557" s="3">
        <v>68.87</v>
      </c>
      <c r="M557" s="3">
        <v>35.44</v>
      </c>
      <c r="N557" s="3">
        <v>26.04</v>
      </c>
      <c r="O557" s="3"/>
      <c r="P557" s="22">
        <v>45886</v>
      </c>
      <c r="Q557" s="22">
        <v>45886</v>
      </c>
      <c r="R557" s="3"/>
    </row>
    <row r="558" spans="1:19" x14ac:dyDescent="0.25">
      <c r="A558" s="12">
        <v>16</v>
      </c>
      <c r="B558" s="12">
        <v>5</v>
      </c>
      <c r="C558" s="12" t="s">
        <v>105</v>
      </c>
      <c r="D558" s="12" t="s">
        <v>46</v>
      </c>
      <c r="E558" s="12" t="s">
        <v>865</v>
      </c>
      <c r="F558" s="12" t="str">
        <f t="shared" si="6"/>
        <v>M_G39</v>
      </c>
      <c r="G558" s="3">
        <v>83.343999999999994</v>
      </c>
      <c r="H558" s="3">
        <f>IFERROR(INDEX('Tagging key'!D:D, MATCH(F558,'Tagging key'!C:C,0)),"")</f>
        <v>93</v>
      </c>
      <c r="I558" s="3">
        <f>IFERROR(INDEX('Tagging key'!E:E, MATCH(F558,'Tagging key'!C:C,0)),"")</f>
        <v>45</v>
      </c>
      <c r="J558" s="3">
        <f>IFERROR(INDEX('Tagging key'!F:F, MATCH(F558,'Tagging key'!C:C,0)),"")</f>
        <v>33</v>
      </c>
      <c r="K558" s="3">
        <v>83.745999999999995</v>
      </c>
      <c r="L558" s="3">
        <v>96</v>
      </c>
      <c r="M558" s="3">
        <v>46.3</v>
      </c>
      <c r="N558" s="3">
        <v>33.549999999999997</v>
      </c>
      <c r="O558" s="3"/>
      <c r="P558" s="22">
        <v>45877</v>
      </c>
      <c r="Q558" s="22">
        <v>45877</v>
      </c>
      <c r="R558" s="3"/>
    </row>
    <row r="559" spans="1:19" x14ac:dyDescent="0.25">
      <c r="A559" s="12">
        <v>16</v>
      </c>
      <c r="B559" s="12">
        <v>5</v>
      </c>
      <c r="C559" s="12" t="s">
        <v>105</v>
      </c>
      <c r="D559" s="12" t="s">
        <v>46</v>
      </c>
      <c r="E559" s="12" t="s">
        <v>833</v>
      </c>
      <c r="F559" s="12" t="str">
        <f t="shared" si="6"/>
        <v>M_G24</v>
      </c>
      <c r="G559" s="3">
        <v>63.155999999999999</v>
      </c>
      <c r="H559" s="3">
        <f>IFERROR(INDEX('Tagging key'!D:D, MATCH(F559,'Tagging key'!C:C,0)),"")</f>
        <v>86</v>
      </c>
      <c r="I559" s="3">
        <f>IFERROR(INDEX('Tagging key'!E:E, MATCH(F559,'Tagging key'!C:C,0)),"")</f>
        <v>42</v>
      </c>
      <c r="J559" s="3">
        <f>IFERROR(INDEX('Tagging key'!F:F, MATCH(F559,'Tagging key'!C:C,0)),"")</f>
        <v>33</v>
      </c>
      <c r="K559" s="3">
        <v>63.741999999999997</v>
      </c>
      <c r="L559" s="3">
        <v>89.17</v>
      </c>
      <c r="M559" s="3">
        <v>43.88</v>
      </c>
      <c r="N559" s="3">
        <v>33.700000000000003</v>
      </c>
      <c r="O559" s="3"/>
      <c r="P559" s="22">
        <v>45882</v>
      </c>
      <c r="Q559" s="22">
        <v>45882</v>
      </c>
      <c r="R559" s="3">
        <v>20.379000000000001</v>
      </c>
    </row>
    <row r="560" spans="1:19" x14ac:dyDescent="0.25">
      <c r="A560" s="12">
        <v>16</v>
      </c>
      <c r="B560" s="12">
        <v>5</v>
      </c>
      <c r="C560" s="12" t="s">
        <v>105</v>
      </c>
      <c r="D560" s="12" t="s">
        <v>46</v>
      </c>
      <c r="E560" s="12" t="s">
        <v>101</v>
      </c>
      <c r="F560" s="12" t="str">
        <f t="shared" si="6"/>
        <v>M_B1</v>
      </c>
      <c r="G560" s="3">
        <v>63.35</v>
      </c>
      <c r="H560" s="3">
        <f>IFERROR(INDEX('Tagging key'!D:D, MATCH(F560,'Tagging key'!C:C,0)),"")</f>
        <v>90</v>
      </c>
      <c r="I560" s="3">
        <f>IFERROR(INDEX('Tagging key'!E:E, MATCH(F560,'Tagging key'!C:C,0)),"")</f>
        <v>41</v>
      </c>
      <c r="J560" s="3">
        <f>IFERROR(INDEX('Tagging key'!F:F, MATCH(F560,'Tagging key'!C:C,0)),"")</f>
        <v>30</v>
      </c>
      <c r="K560" s="3">
        <v>63.694000000000003</v>
      </c>
      <c r="L560" s="3">
        <v>89.86</v>
      </c>
      <c r="M560" s="3">
        <v>41.42</v>
      </c>
      <c r="N560" s="3">
        <v>29.48</v>
      </c>
      <c r="O560" s="3"/>
      <c r="P560" s="22">
        <v>45886</v>
      </c>
      <c r="Q560" s="22">
        <v>45886</v>
      </c>
      <c r="R560" s="3">
        <v>24.905999999999999</v>
      </c>
    </row>
    <row r="561" spans="1:19" x14ac:dyDescent="0.25">
      <c r="A561" s="12">
        <v>16</v>
      </c>
      <c r="B561" s="12">
        <v>5</v>
      </c>
      <c r="C561" s="12" t="s">
        <v>105</v>
      </c>
      <c r="D561" s="12" t="s">
        <v>46</v>
      </c>
      <c r="E561" s="12" t="s">
        <v>877</v>
      </c>
      <c r="F561" s="12" t="str">
        <f t="shared" si="6"/>
        <v>M_R17</v>
      </c>
      <c r="G561" s="3">
        <v>26.332999999999998</v>
      </c>
      <c r="H561" s="3">
        <f>IFERROR(INDEX('Tagging key'!D:D, MATCH(F561,'Tagging key'!C:C,0)),"")</f>
        <v>71.650000000000006</v>
      </c>
      <c r="I561" s="3">
        <f>IFERROR(INDEX('Tagging key'!E:E, MATCH(F561,'Tagging key'!C:C,0)),"")</f>
        <v>41.09</v>
      </c>
      <c r="J561" s="3">
        <f>IFERROR(INDEX('Tagging key'!F:F, MATCH(F561,'Tagging key'!C:C,0)),"")</f>
        <v>30.04</v>
      </c>
      <c r="K561" s="3">
        <v>28.661999999999999</v>
      </c>
      <c r="L561" s="3">
        <v>68.52</v>
      </c>
      <c r="M561" s="3">
        <v>35.06</v>
      </c>
      <c r="N561" s="3">
        <v>24.93</v>
      </c>
      <c r="O561" s="3"/>
      <c r="P561" s="22">
        <v>45879</v>
      </c>
      <c r="Q561" s="22">
        <v>45879</v>
      </c>
      <c r="R561" s="3"/>
    </row>
    <row r="562" spans="1:19" x14ac:dyDescent="0.25">
      <c r="A562" s="19">
        <v>16</v>
      </c>
      <c r="B562" s="19">
        <v>6</v>
      </c>
      <c r="C562" s="19" t="s">
        <v>105</v>
      </c>
      <c r="D562" s="19" t="s">
        <v>46</v>
      </c>
      <c r="E562" s="19" t="s">
        <v>708</v>
      </c>
      <c r="F562" s="19" t="str">
        <f t="shared" si="6"/>
        <v>M_G6</v>
      </c>
      <c r="G562" s="19">
        <v>61.043999999999997</v>
      </c>
      <c r="H562" s="19">
        <f>IFERROR(INDEX('Tagging key'!D:D, MATCH(F562,'Tagging key'!C:C,0)),"")</f>
        <v>86</v>
      </c>
      <c r="I562" s="19">
        <f>IFERROR(INDEX('Tagging key'!E:E, MATCH(F562,'Tagging key'!C:C,0)),"")</f>
        <v>40</v>
      </c>
      <c r="J562" s="19">
        <f>IFERROR(INDEX('Tagging key'!F:F, MATCH(F562,'Tagging key'!C:C,0)),"")</f>
        <v>29</v>
      </c>
      <c r="K562" s="19"/>
      <c r="L562" s="19"/>
      <c r="M562" s="19"/>
      <c r="N562" s="19"/>
      <c r="O562" s="19"/>
      <c r="P562" s="19"/>
      <c r="Q562" s="19"/>
      <c r="R562" s="19"/>
      <c r="S562" t="s">
        <v>909</v>
      </c>
    </row>
    <row r="563" spans="1:19" x14ac:dyDescent="0.25">
      <c r="A563" s="11">
        <v>16</v>
      </c>
      <c r="B563" s="11">
        <v>6</v>
      </c>
      <c r="C563" s="11" t="s">
        <v>105</v>
      </c>
      <c r="D563" s="11" t="s">
        <v>46</v>
      </c>
      <c r="E563" s="11" t="s">
        <v>410</v>
      </c>
      <c r="F563" s="11" t="str">
        <f t="shared" si="6"/>
        <v>M_G25</v>
      </c>
      <c r="G563" s="3">
        <v>29.529</v>
      </c>
      <c r="H563" s="3">
        <f>IFERROR(INDEX('Tagging key'!D:D, MATCH(F563,'Tagging key'!C:C,0)),"")</f>
        <v>66</v>
      </c>
      <c r="I563" s="3">
        <f>IFERROR(INDEX('Tagging key'!E:E, MATCH(F563,'Tagging key'!C:C,0)),"")</f>
        <v>35</v>
      </c>
      <c r="J563" s="3">
        <f>IFERROR(INDEX('Tagging key'!F:F, MATCH(F563,'Tagging key'!C:C,0)),"")</f>
        <v>24</v>
      </c>
      <c r="K563" s="3">
        <v>29.969000000000001</v>
      </c>
      <c r="L563" s="3">
        <v>68.239999999999995</v>
      </c>
      <c r="M563" s="3">
        <v>38.28</v>
      </c>
      <c r="N563" s="3">
        <v>24.18</v>
      </c>
      <c r="O563" s="3"/>
      <c r="P563" s="22">
        <v>45879</v>
      </c>
      <c r="Q563" s="22">
        <v>45879</v>
      </c>
      <c r="R563" s="3"/>
    </row>
    <row r="564" spans="1:19" x14ac:dyDescent="0.25">
      <c r="A564" s="11">
        <v>16</v>
      </c>
      <c r="B564" s="11">
        <v>6</v>
      </c>
      <c r="C564" s="11" t="s">
        <v>105</v>
      </c>
      <c r="D564" s="11" t="s">
        <v>46</v>
      </c>
      <c r="E564" s="11" t="s">
        <v>910</v>
      </c>
      <c r="F564" s="11" t="str">
        <f t="shared" si="6"/>
        <v>M_G34</v>
      </c>
      <c r="G564" s="3">
        <v>15.361000000000001</v>
      </c>
      <c r="H564" s="3">
        <f>IFERROR(INDEX('Tagging key'!D:D, MATCH(F564,'Tagging key'!C:C,0)),"")</f>
        <v>76</v>
      </c>
      <c r="I564" s="3">
        <f>IFERROR(INDEX('Tagging key'!E:E, MATCH(F564,'Tagging key'!C:C,0)),"")</f>
        <v>40</v>
      </c>
      <c r="J564" s="3">
        <f>IFERROR(INDEX('Tagging key'!F:F, MATCH(F564,'Tagging key'!C:C,0)),"")</f>
        <v>29</v>
      </c>
      <c r="K564" s="3">
        <v>51.512999999999998</v>
      </c>
      <c r="L564" s="3">
        <v>77.44</v>
      </c>
      <c r="M564" s="3">
        <v>40.049999999999997</v>
      </c>
      <c r="N564" s="3">
        <v>30.32</v>
      </c>
      <c r="O564" s="3"/>
      <c r="P564" s="22">
        <v>45877</v>
      </c>
      <c r="Q564" s="22">
        <v>45877</v>
      </c>
      <c r="R564" s="3"/>
    </row>
    <row r="565" spans="1:19" x14ac:dyDescent="0.25">
      <c r="A565" s="19">
        <v>16</v>
      </c>
      <c r="B565" s="19">
        <v>6</v>
      </c>
      <c r="C565" s="19" t="s">
        <v>105</v>
      </c>
      <c r="D565" s="19" t="s">
        <v>46</v>
      </c>
      <c r="E565" s="19" t="s">
        <v>556</v>
      </c>
      <c r="F565" s="19" t="str">
        <f t="shared" si="6"/>
        <v>M_R62</v>
      </c>
      <c r="G565" s="19">
        <v>26.765999999999998</v>
      </c>
      <c r="H565" s="19">
        <f>IFERROR(INDEX('Tagging key'!D:D, MATCH(F565,'Tagging key'!C:C,0)),"")</f>
        <v>64.59</v>
      </c>
      <c r="I565" s="19">
        <f>IFERROR(INDEX('Tagging key'!E:E, MATCH(F565,'Tagging key'!C:C,0)),"")</f>
        <v>35.03</v>
      </c>
      <c r="J565" s="19">
        <f>IFERROR(INDEX('Tagging key'!F:F, MATCH(F565,'Tagging key'!C:C,0)),"")</f>
        <v>24.73</v>
      </c>
      <c r="K565" s="19"/>
      <c r="L565" s="19"/>
      <c r="M565" s="19"/>
      <c r="N565" s="19"/>
      <c r="O565" s="19"/>
      <c r="P565" s="19"/>
      <c r="Q565" s="19"/>
      <c r="R565" s="19"/>
      <c r="S565" t="s">
        <v>911</v>
      </c>
    </row>
    <row r="566" spans="1:19" x14ac:dyDescent="0.25">
      <c r="A566" s="8">
        <v>16</v>
      </c>
      <c r="B566" s="8">
        <v>7</v>
      </c>
      <c r="C566" s="8" t="s">
        <v>105</v>
      </c>
      <c r="D566" s="8" t="s">
        <v>16</v>
      </c>
      <c r="E566" s="8" t="s">
        <v>649</v>
      </c>
      <c r="F566" s="8" t="str">
        <f t="shared" si="6"/>
        <v>O_R80</v>
      </c>
      <c r="G566" s="3">
        <v>36.770000000000003</v>
      </c>
      <c r="H566" s="3">
        <f>IFERROR(INDEX('Tagging key'!D:D, MATCH(F566,'Tagging key'!C:C,0)),"")</f>
        <v>74.349999999999994</v>
      </c>
      <c r="I566" s="3">
        <f>IFERROR(INDEX('Tagging key'!E:E, MATCH(F566,'Tagging key'!C:C,0)),"")</f>
        <v>47.94</v>
      </c>
      <c r="J566" s="3">
        <f>IFERROR(INDEX('Tagging key'!F:F, MATCH(F566,'Tagging key'!C:C,0)),"")</f>
        <v>17.79</v>
      </c>
      <c r="K566" s="3">
        <v>36.732999999999997</v>
      </c>
      <c r="L566" s="3">
        <v>75.430000000000007</v>
      </c>
      <c r="M566" s="3">
        <v>41.98</v>
      </c>
      <c r="N566" s="3">
        <v>16.96</v>
      </c>
      <c r="O566" s="3"/>
      <c r="P566" s="22">
        <v>45882</v>
      </c>
      <c r="Q566" s="22">
        <v>45882</v>
      </c>
      <c r="R566" s="3"/>
    </row>
    <row r="567" spans="1:19" x14ac:dyDescent="0.25">
      <c r="A567" s="8">
        <v>16</v>
      </c>
      <c r="B567" s="8">
        <v>7</v>
      </c>
      <c r="C567" s="8" t="s">
        <v>105</v>
      </c>
      <c r="D567" s="8" t="s">
        <v>16</v>
      </c>
      <c r="E567" s="8" t="s">
        <v>912</v>
      </c>
      <c r="F567" s="8" t="str">
        <f t="shared" si="6"/>
        <v>O_W24</v>
      </c>
      <c r="G567" s="3">
        <v>26.776</v>
      </c>
      <c r="H567" s="3">
        <f>IFERROR(INDEX('Tagging key'!D:D, MATCH(F567,'Tagging key'!C:C,0)),"")</f>
        <v>88</v>
      </c>
      <c r="I567" s="3">
        <f>IFERROR(INDEX('Tagging key'!E:E, MATCH(F567,'Tagging key'!C:C,0)),"")</f>
        <v>38.5</v>
      </c>
      <c r="J567" s="3">
        <f>IFERROR(INDEX('Tagging key'!F:F, MATCH(F567,'Tagging key'!C:C,0)),"")</f>
        <v>9.5</v>
      </c>
      <c r="K567" s="3">
        <v>26.661999999999999</v>
      </c>
      <c r="L567" s="3">
        <v>89.48</v>
      </c>
      <c r="M567" s="3">
        <v>38.78</v>
      </c>
      <c r="N567" s="3">
        <v>14.72</v>
      </c>
      <c r="O567" s="3"/>
      <c r="P567" s="22">
        <v>45879</v>
      </c>
      <c r="Q567" s="22">
        <v>45879</v>
      </c>
      <c r="R567" s="3"/>
    </row>
    <row r="568" spans="1:19" x14ac:dyDescent="0.25">
      <c r="A568" s="8">
        <v>16</v>
      </c>
      <c r="B568" s="8">
        <v>7</v>
      </c>
      <c r="C568" s="8" t="s">
        <v>105</v>
      </c>
      <c r="D568" s="8" t="s">
        <v>16</v>
      </c>
      <c r="E568" s="8" t="s">
        <v>913</v>
      </c>
      <c r="F568" s="8" t="str">
        <f t="shared" si="6"/>
        <v>O_W7</v>
      </c>
      <c r="G568" s="3">
        <v>31.018999999999998</v>
      </c>
      <c r="H568" s="3">
        <f>IFERROR(INDEX('Tagging key'!D:D, MATCH(F568,'Tagging key'!C:C,0)),"")</f>
        <v>68.31</v>
      </c>
      <c r="I568" s="3">
        <f>IFERROR(INDEX('Tagging key'!E:E, MATCH(F568,'Tagging key'!C:C,0)),"")</f>
        <v>45.82</v>
      </c>
      <c r="J568" s="3">
        <f>IFERROR(INDEX('Tagging key'!F:F, MATCH(F568,'Tagging key'!C:C,0)),"")</f>
        <v>17.399999999999999</v>
      </c>
      <c r="K568" s="3">
        <v>30.896999999999998</v>
      </c>
      <c r="L568" s="3">
        <v>68.569999999999993</v>
      </c>
      <c r="M568" s="3">
        <v>44.71</v>
      </c>
      <c r="N568" s="3">
        <v>17.510000000000002</v>
      </c>
      <c r="O568" s="3"/>
      <c r="P568" s="22">
        <v>45886</v>
      </c>
      <c r="Q568" s="22">
        <v>45886</v>
      </c>
      <c r="R568" s="3"/>
    </row>
    <row r="569" spans="1:19" x14ac:dyDescent="0.25">
      <c r="A569" s="8">
        <v>16</v>
      </c>
      <c r="B569" s="8">
        <v>7</v>
      </c>
      <c r="C569" s="8" t="s">
        <v>105</v>
      </c>
      <c r="D569" s="8" t="s">
        <v>16</v>
      </c>
      <c r="E569" s="8" t="s">
        <v>914</v>
      </c>
      <c r="F569" s="8" t="str">
        <f t="shared" si="6"/>
        <v>O_W32</v>
      </c>
      <c r="G569" s="3">
        <v>33.933999999999997</v>
      </c>
      <c r="H569" s="3">
        <f>IFERROR(INDEX('Tagging key'!D:D, MATCH(F569,'Tagging key'!C:C,0)),"")</f>
        <v>71.099999999999994</v>
      </c>
      <c r="I569" s="3">
        <f>IFERROR(INDEX('Tagging key'!E:E, MATCH(F569,'Tagging key'!C:C,0)),"")</f>
        <v>48.73</v>
      </c>
      <c r="J569" s="3">
        <f>IFERROR(INDEX('Tagging key'!F:F, MATCH(F569,'Tagging key'!C:C,0)),"")</f>
        <v>17.41</v>
      </c>
      <c r="K569" s="3">
        <v>33.573</v>
      </c>
      <c r="L569" s="3">
        <v>70.040000000000006</v>
      </c>
      <c r="M569" s="3">
        <v>43.11</v>
      </c>
      <c r="N569" s="3">
        <v>18.95</v>
      </c>
      <c r="O569" s="3"/>
      <c r="P569" s="22">
        <v>45877</v>
      </c>
      <c r="Q569" s="22">
        <v>45877</v>
      </c>
      <c r="R569" s="3"/>
    </row>
    <row r="570" spans="1:19" x14ac:dyDescent="0.25">
      <c r="A570" s="9">
        <v>16</v>
      </c>
      <c r="B570" s="9">
        <v>8</v>
      </c>
      <c r="C570" s="9" t="s">
        <v>105</v>
      </c>
      <c r="D570" s="9" t="s">
        <v>16</v>
      </c>
      <c r="E570" s="9" t="s">
        <v>915</v>
      </c>
      <c r="F570" s="9" t="str">
        <f t="shared" si="6"/>
        <v>O_W30</v>
      </c>
      <c r="G570" s="3">
        <v>37.682000000000002</v>
      </c>
      <c r="H570" s="3">
        <f>IFERROR(INDEX('Tagging key'!D:D, MATCH(F570,'Tagging key'!C:C,0)),"")</f>
        <v>65.709999999999994</v>
      </c>
      <c r="I570" s="3">
        <f>IFERROR(INDEX('Tagging key'!E:E, MATCH(F570,'Tagging key'!C:C,0)),"")</f>
        <v>60.48</v>
      </c>
      <c r="J570" s="3">
        <f>IFERROR(INDEX('Tagging key'!F:F, MATCH(F570,'Tagging key'!C:C,0)),"")</f>
        <v>17.420000000000002</v>
      </c>
      <c r="K570" s="3">
        <v>37.377000000000002</v>
      </c>
      <c r="L570" s="3">
        <v>71.55</v>
      </c>
      <c r="M570" s="3">
        <v>41.9</v>
      </c>
      <c r="N570" s="3">
        <v>19.170000000000002</v>
      </c>
      <c r="O570" s="3"/>
      <c r="P570" s="22">
        <v>45877</v>
      </c>
      <c r="Q570" s="22">
        <v>45877</v>
      </c>
      <c r="R570" s="3"/>
    </row>
    <row r="571" spans="1:19" x14ac:dyDescent="0.25">
      <c r="A571" s="9">
        <v>16</v>
      </c>
      <c r="B571" s="9">
        <v>8</v>
      </c>
      <c r="C571" s="9" t="s">
        <v>105</v>
      </c>
      <c r="D571" s="9" t="s">
        <v>16</v>
      </c>
      <c r="E571" s="9" t="s">
        <v>916</v>
      </c>
      <c r="F571" s="9" t="str">
        <f t="shared" si="6"/>
        <v>O_W37</v>
      </c>
      <c r="G571" s="3">
        <v>37.222000000000001</v>
      </c>
      <c r="H571" s="3">
        <f>IFERROR(INDEX('Tagging key'!D:D, MATCH(F571,'Tagging key'!C:C,0)),"")</f>
        <v>86</v>
      </c>
      <c r="I571" s="3">
        <f>IFERROR(INDEX('Tagging key'!E:E, MATCH(F571,'Tagging key'!C:C,0)),"")</f>
        <v>45.53</v>
      </c>
      <c r="J571" s="3">
        <f>IFERROR(INDEX('Tagging key'!F:F, MATCH(F571,'Tagging key'!C:C,0)),"")</f>
        <v>14.65</v>
      </c>
      <c r="K571" s="3">
        <v>36.526000000000003</v>
      </c>
      <c r="L571" s="3">
        <v>87.01</v>
      </c>
      <c r="M571" s="3">
        <v>46.46</v>
      </c>
      <c r="N571" s="3">
        <v>16.46</v>
      </c>
      <c r="O571" s="3"/>
      <c r="P571" s="22">
        <v>45882</v>
      </c>
      <c r="Q571" s="22">
        <v>45882</v>
      </c>
      <c r="R571" s="3">
        <v>22.306999999999999</v>
      </c>
    </row>
    <row r="572" spans="1:19" x14ac:dyDescent="0.25">
      <c r="A572" s="9">
        <v>16</v>
      </c>
      <c r="B572" s="9">
        <v>8</v>
      </c>
      <c r="C572" s="9" t="s">
        <v>105</v>
      </c>
      <c r="D572" s="9" t="s">
        <v>16</v>
      </c>
      <c r="E572" s="9" t="s">
        <v>917</v>
      </c>
      <c r="F572" s="9" t="str">
        <f t="shared" si="6"/>
        <v>O_R8</v>
      </c>
      <c r="G572" s="3">
        <v>25.954000000000001</v>
      </c>
      <c r="H572" s="3">
        <f>IFERROR(INDEX('Tagging key'!D:D, MATCH(F572,'Tagging key'!C:C,0)),"")</f>
        <v>62.28</v>
      </c>
      <c r="I572" s="3">
        <f>IFERROR(INDEX('Tagging key'!E:E, MATCH(F572,'Tagging key'!C:C,0)),"")</f>
        <v>34.51</v>
      </c>
      <c r="J572" s="3">
        <f>IFERROR(INDEX('Tagging key'!F:F, MATCH(F572,'Tagging key'!C:C,0)),"")</f>
        <v>17.47</v>
      </c>
      <c r="K572" s="3">
        <v>25.516999999999999</v>
      </c>
      <c r="L572" s="3">
        <v>63</v>
      </c>
      <c r="M572" s="3">
        <v>36.29</v>
      </c>
      <c r="N572" s="3">
        <v>18.47</v>
      </c>
      <c r="P572" s="22">
        <v>45886</v>
      </c>
      <c r="Q572" s="22">
        <v>45886</v>
      </c>
      <c r="R572" s="3">
        <v>15.686999999999999</v>
      </c>
    </row>
    <row r="573" spans="1:19" x14ac:dyDescent="0.25">
      <c r="A573" s="9">
        <v>16</v>
      </c>
      <c r="B573" s="9">
        <v>8</v>
      </c>
      <c r="C573" s="9" t="s">
        <v>105</v>
      </c>
      <c r="D573" s="9" t="s">
        <v>16</v>
      </c>
      <c r="E573" s="9" t="s">
        <v>918</v>
      </c>
      <c r="F573" s="9" t="str">
        <f t="shared" si="6"/>
        <v>O_B73</v>
      </c>
      <c r="G573" s="3">
        <v>23.445</v>
      </c>
      <c r="H573" s="3">
        <f>IFERROR(INDEX('Tagging key'!D:D, MATCH(F573,'Tagging key'!C:C,0)),"")</f>
        <v>71.95</v>
      </c>
      <c r="I573" s="3">
        <f>IFERROR(INDEX('Tagging key'!E:E, MATCH(F573,'Tagging key'!C:C,0)),"")</f>
        <v>42.32</v>
      </c>
      <c r="J573" s="3">
        <f>IFERROR(INDEX('Tagging key'!F:F, MATCH(F573,'Tagging key'!C:C,0)),"")</f>
        <v>17.739999999999998</v>
      </c>
      <c r="K573" s="3">
        <v>23.341999999999999</v>
      </c>
      <c r="L573" s="3">
        <v>71.94</v>
      </c>
      <c r="M573" s="3">
        <v>44.33</v>
      </c>
      <c r="N573" s="3">
        <v>18.45</v>
      </c>
      <c r="O573" s="3"/>
      <c r="P573" s="22">
        <v>45879</v>
      </c>
      <c r="Q573" s="22">
        <v>45879</v>
      </c>
      <c r="R573" s="3"/>
    </row>
    <row r="574" spans="1:19" x14ac:dyDescent="0.25">
      <c r="A574" s="8">
        <v>16</v>
      </c>
      <c r="B574" s="8">
        <v>9</v>
      </c>
      <c r="C574" s="8" t="s">
        <v>105</v>
      </c>
      <c r="D574" s="8" t="s">
        <v>16</v>
      </c>
      <c r="E574" s="8" t="s">
        <v>818</v>
      </c>
      <c r="F574" s="8" t="str">
        <f t="shared" si="6"/>
        <v>O_B87</v>
      </c>
      <c r="G574" s="3">
        <v>33.823</v>
      </c>
      <c r="H574" s="3">
        <f>IFERROR(INDEX('Tagging key'!D:D, MATCH(F574,'Tagging key'!C:C,0)),"")</f>
        <v>69.31</v>
      </c>
      <c r="I574" s="3">
        <f>IFERROR(INDEX('Tagging key'!E:E, MATCH(F574,'Tagging key'!C:C,0)),"")</f>
        <v>42.54</v>
      </c>
      <c r="J574" s="3">
        <f>IFERROR(INDEX('Tagging key'!F:F, MATCH(F574,'Tagging key'!C:C,0)),"")</f>
        <v>18.079999999999998</v>
      </c>
      <c r="K574" s="3">
        <v>33.68</v>
      </c>
      <c r="L574" s="3">
        <v>69.680000000000007</v>
      </c>
      <c r="M574" s="3">
        <v>41.7</v>
      </c>
      <c r="N574" s="3">
        <v>25.03</v>
      </c>
      <c r="O574" s="3"/>
      <c r="P574" s="22">
        <v>45877</v>
      </c>
      <c r="Q574" s="22">
        <v>45877</v>
      </c>
      <c r="R574" s="3"/>
    </row>
    <row r="575" spans="1:19" x14ac:dyDescent="0.25">
      <c r="A575" s="8">
        <v>16</v>
      </c>
      <c r="B575" s="8">
        <v>9</v>
      </c>
      <c r="C575" s="8" t="s">
        <v>105</v>
      </c>
      <c r="D575" s="8" t="s">
        <v>16</v>
      </c>
      <c r="E575" s="8" t="s">
        <v>440</v>
      </c>
      <c r="F575" s="8" t="str">
        <f t="shared" si="6"/>
        <v>O_B6</v>
      </c>
      <c r="G575" s="3">
        <v>32.177999999999997</v>
      </c>
      <c r="H575" s="3">
        <f>IFERROR(INDEX('Tagging key'!D:D, MATCH(F575,'Tagging key'!C:C,0)),"")</f>
        <v>72.12</v>
      </c>
      <c r="I575" s="3">
        <f>IFERROR(INDEX('Tagging key'!E:E, MATCH(F575,'Tagging key'!C:C,0)),"")</f>
        <v>47.84</v>
      </c>
      <c r="J575" s="3">
        <f>IFERROR(INDEX('Tagging key'!F:F, MATCH(F575,'Tagging key'!C:C,0)),"")</f>
        <v>16.95</v>
      </c>
      <c r="K575" s="3">
        <v>31.942</v>
      </c>
      <c r="L575" s="3">
        <v>74.44</v>
      </c>
      <c r="M575" s="3">
        <v>48.61</v>
      </c>
      <c r="N575" s="3">
        <v>17.97</v>
      </c>
      <c r="O575" s="3"/>
      <c r="P575" s="22">
        <v>45879</v>
      </c>
      <c r="Q575" s="22">
        <v>45879</v>
      </c>
      <c r="R575" s="3"/>
    </row>
    <row r="576" spans="1:19" x14ac:dyDescent="0.25">
      <c r="A576" s="8">
        <v>16</v>
      </c>
      <c r="B576" s="8">
        <v>9</v>
      </c>
      <c r="C576" s="8" t="s">
        <v>105</v>
      </c>
      <c r="D576" s="8" t="s">
        <v>16</v>
      </c>
      <c r="E576" s="8" t="s">
        <v>486</v>
      </c>
      <c r="F576" s="8" t="str">
        <f t="shared" si="6"/>
        <v>O_R69</v>
      </c>
      <c r="G576" s="3">
        <v>20.73</v>
      </c>
      <c r="H576" s="3">
        <f>IFERROR(INDEX('Tagging key'!D:D, MATCH(F576,'Tagging key'!C:C,0)),"")</f>
        <v>67.61</v>
      </c>
      <c r="I576" s="3">
        <f>IFERROR(INDEX('Tagging key'!E:E, MATCH(F576,'Tagging key'!C:C,0)),"")</f>
        <v>39.6</v>
      </c>
      <c r="J576" s="3">
        <f>IFERROR(INDEX('Tagging key'!F:F, MATCH(F576,'Tagging key'!C:C,0)),"")</f>
        <v>13.71</v>
      </c>
      <c r="K576" s="3">
        <v>20.571999999999999</v>
      </c>
      <c r="L576" s="3">
        <v>67.53</v>
      </c>
      <c r="M576" s="3">
        <v>39.15</v>
      </c>
      <c r="N576" s="3">
        <v>15.61</v>
      </c>
      <c r="O576" s="3"/>
      <c r="P576" s="22">
        <v>45886</v>
      </c>
      <c r="Q576" s="22">
        <v>45886</v>
      </c>
      <c r="R576" s="3">
        <v>10.548</v>
      </c>
    </row>
    <row r="577" spans="1:19" x14ac:dyDescent="0.25">
      <c r="A577" s="8">
        <v>16</v>
      </c>
      <c r="B577" s="8">
        <v>9</v>
      </c>
      <c r="C577" s="8" t="s">
        <v>105</v>
      </c>
      <c r="D577" s="8" t="s">
        <v>16</v>
      </c>
      <c r="E577" s="8" t="s">
        <v>469</v>
      </c>
      <c r="F577" s="8" t="str">
        <f t="shared" si="6"/>
        <v>O_R35</v>
      </c>
      <c r="G577" s="3">
        <v>23.548999999999999</v>
      </c>
      <c r="H577" s="3">
        <f>IFERROR(INDEX('Tagging key'!D:D, MATCH(F577,'Tagging key'!C:C,0)),"")</f>
        <v>68.69</v>
      </c>
      <c r="I577" s="3">
        <f>IFERROR(INDEX('Tagging key'!E:E, MATCH(F577,'Tagging key'!C:C,0)),"")</f>
        <v>43.03</v>
      </c>
      <c r="J577" s="3">
        <f>IFERROR(INDEX('Tagging key'!F:F, MATCH(F577,'Tagging key'!C:C,0)),"")</f>
        <v>15.04</v>
      </c>
      <c r="K577" s="3">
        <v>23.215</v>
      </c>
      <c r="L577" s="3">
        <v>68.11</v>
      </c>
      <c r="M577" s="3">
        <v>40.840000000000003</v>
      </c>
      <c r="N577" s="3">
        <v>15.08</v>
      </c>
      <c r="O577" s="3"/>
      <c r="P577" s="22">
        <v>45882</v>
      </c>
      <c r="Q577" s="22">
        <v>45882</v>
      </c>
      <c r="R577" s="3">
        <v>13.63</v>
      </c>
    </row>
    <row r="578" spans="1:19" x14ac:dyDescent="0.25">
      <c r="A578" s="9">
        <v>17</v>
      </c>
      <c r="B578" s="9">
        <v>1</v>
      </c>
      <c r="C578" s="9" t="s">
        <v>15</v>
      </c>
      <c r="D578" s="9" t="s">
        <v>16</v>
      </c>
      <c r="E578" s="9" t="s">
        <v>890</v>
      </c>
      <c r="F578" s="9" t="str">
        <f t="shared" si="6"/>
        <v>O_R19</v>
      </c>
      <c r="G578" s="3">
        <v>25.001000000000001</v>
      </c>
      <c r="H578" s="3">
        <f>IFERROR(INDEX('Tagging key'!D:D, MATCH(F578,'Tagging key'!C:C,0)),"")</f>
        <v>66.739999999999995</v>
      </c>
      <c r="I578" s="3">
        <f>IFERROR(INDEX('Tagging key'!E:E, MATCH(F578,'Tagging key'!C:C,0)),"")</f>
        <v>44.98</v>
      </c>
      <c r="J578" s="3">
        <f>IFERROR(INDEX('Tagging key'!F:F, MATCH(F578,'Tagging key'!C:C,0)),"")</f>
        <v>13.67</v>
      </c>
      <c r="K578" s="3">
        <v>24.992000000000001</v>
      </c>
      <c r="L578" s="3">
        <v>66.959999999999994</v>
      </c>
      <c r="M578" s="3">
        <v>42.64</v>
      </c>
      <c r="N578" s="3">
        <v>15.68</v>
      </c>
      <c r="O578" s="3"/>
      <c r="P578" s="22">
        <v>45882</v>
      </c>
      <c r="Q578" s="22">
        <v>45882</v>
      </c>
      <c r="R578" s="3">
        <v>16.542000000000002</v>
      </c>
    </row>
    <row r="579" spans="1:19" x14ac:dyDescent="0.25">
      <c r="A579" s="9">
        <v>17</v>
      </c>
      <c r="B579" s="9">
        <v>1</v>
      </c>
      <c r="C579" s="9" t="s">
        <v>15</v>
      </c>
      <c r="D579" s="9" t="s">
        <v>16</v>
      </c>
      <c r="E579" s="9" t="s">
        <v>919</v>
      </c>
      <c r="F579" s="9" t="str">
        <f t="shared" si="6"/>
        <v>O_W12</v>
      </c>
      <c r="G579" s="3">
        <v>18.844000000000001</v>
      </c>
      <c r="H579" s="3">
        <f>IFERROR(INDEX('Tagging key'!D:D, MATCH(F579,'Tagging key'!C:C,0)),"")</f>
        <v>74.66</v>
      </c>
      <c r="I579" s="3">
        <f>IFERROR(INDEX('Tagging key'!E:E, MATCH(F579,'Tagging key'!C:C,0)),"")</f>
        <v>42.18</v>
      </c>
      <c r="J579" s="3">
        <f>IFERROR(INDEX('Tagging key'!F:F, MATCH(F579,'Tagging key'!C:C,0)),"")</f>
        <v>10.29</v>
      </c>
      <c r="K579" s="3">
        <v>18.943999999999999</v>
      </c>
      <c r="L579" s="3">
        <v>74.73</v>
      </c>
      <c r="M579" s="3">
        <v>41.38</v>
      </c>
      <c r="N579" s="3">
        <v>12.35</v>
      </c>
      <c r="O579" s="3"/>
      <c r="P579" s="22">
        <v>45886</v>
      </c>
      <c r="Q579" s="22">
        <v>45886</v>
      </c>
      <c r="R579" s="3">
        <v>10.882999999999999</v>
      </c>
      <c r="S579" t="s">
        <v>920</v>
      </c>
    </row>
    <row r="580" spans="1:19" x14ac:dyDescent="0.25">
      <c r="A580" s="9">
        <v>17</v>
      </c>
      <c r="B580" s="9">
        <v>1</v>
      </c>
      <c r="C580" s="9" t="s">
        <v>15</v>
      </c>
      <c r="D580" s="9" t="s">
        <v>16</v>
      </c>
      <c r="E580" s="9" t="s">
        <v>720</v>
      </c>
      <c r="F580" s="9" t="str">
        <f t="shared" si="6"/>
        <v>O_R20</v>
      </c>
      <c r="G580" s="3">
        <v>31.21</v>
      </c>
      <c r="H580" s="3">
        <f>IFERROR(INDEX('Tagging key'!D:D, MATCH(F580,'Tagging key'!C:C,0)),"")</f>
        <v>65</v>
      </c>
      <c r="I580" s="3">
        <f>IFERROR(INDEX('Tagging key'!E:E, MATCH(F580,'Tagging key'!C:C,0)),"")</f>
        <v>43.53</v>
      </c>
      <c r="J580" s="3">
        <f>IFERROR(INDEX('Tagging key'!F:F, MATCH(F580,'Tagging key'!C:C,0)),"")</f>
        <v>16.920000000000002</v>
      </c>
      <c r="K580" s="3">
        <v>30.861999999999998</v>
      </c>
      <c r="L580" s="3">
        <v>69.989999999999995</v>
      </c>
      <c r="M580" s="3">
        <v>44.5</v>
      </c>
      <c r="N580" s="3">
        <v>17.829999999999998</v>
      </c>
      <c r="O580" s="3"/>
      <c r="P580" s="22">
        <v>45877</v>
      </c>
      <c r="Q580" s="22">
        <v>45877</v>
      </c>
      <c r="R580" s="3"/>
    </row>
    <row r="581" spans="1:19" x14ac:dyDescent="0.25">
      <c r="A581" s="9">
        <v>17</v>
      </c>
      <c r="B581" s="9">
        <v>1</v>
      </c>
      <c r="C581" s="9" t="s">
        <v>15</v>
      </c>
      <c r="D581" s="9" t="s">
        <v>16</v>
      </c>
      <c r="E581" s="9" t="s">
        <v>921</v>
      </c>
      <c r="F581" s="9" t="str">
        <f t="shared" si="6"/>
        <v>O_R48</v>
      </c>
      <c r="G581" s="3">
        <v>31.852</v>
      </c>
      <c r="H581" s="3">
        <f>IFERROR(INDEX('Tagging key'!D:D, MATCH(F581,'Tagging key'!C:C,0)),"")</f>
        <v>67.45</v>
      </c>
      <c r="I581" s="3">
        <f>IFERROR(INDEX('Tagging key'!E:E, MATCH(F581,'Tagging key'!C:C,0)),"")</f>
        <v>62.01</v>
      </c>
      <c r="J581" s="3">
        <f>IFERROR(INDEX('Tagging key'!F:F, MATCH(F581,'Tagging key'!C:C,0)),"")</f>
        <v>14.2</v>
      </c>
      <c r="K581" s="3">
        <v>31.559000000000001</v>
      </c>
      <c r="L581" s="3">
        <v>75.42</v>
      </c>
      <c r="M581" s="3">
        <v>39.46</v>
      </c>
      <c r="N581" s="3">
        <v>17.260000000000002</v>
      </c>
      <c r="O581" s="3"/>
      <c r="P581" s="22">
        <v>45879</v>
      </c>
      <c r="Q581" s="22">
        <v>45879</v>
      </c>
      <c r="R581" s="3"/>
    </row>
    <row r="582" spans="1:19" x14ac:dyDescent="0.25">
      <c r="A582" s="8">
        <v>17</v>
      </c>
      <c r="B582" s="8">
        <v>2</v>
      </c>
      <c r="C582" s="8" t="s">
        <v>15</v>
      </c>
      <c r="D582" s="8" t="s">
        <v>16</v>
      </c>
      <c r="E582" s="8" t="s">
        <v>582</v>
      </c>
      <c r="F582" s="8" t="str">
        <f t="shared" si="6"/>
        <v>O_B84</v>
      </c>
      <c r="G582" s="3">
        <v>30.103999999999999</v>
      </c>
      <c r="H582" s="3">
        <f>IFERROR(INDEX('Tagging key'!D:D, MATCH(F582,'Tagging key'!C:C,0)),"")</f>
        <v>51.33</v>
      </c>
      <c r="I582" s="3">
        <f>IFERROR(INDEX('Tagging key'!E:E, MATCH(F582,'Tagging key'!C:C,0)),"")</f>
        <v>54.12</v>
      </c>
      <c r="J582" s="3">
        <f>IFERROR(INDEX('Tagging key'!F:F, MATCH(F582,'Tagging key'!C:C,0)),"")</f>
        <v>20.58</v>
      </c>
      <c r="K582" s="3">
        <v>29.768999999999998</v>
      </c>
      <c r="L582" s="3">
        <v>52.48</v>
      </c>
      <c r="M582" s="3">
        <v>46.91</v>
      </c>
      <c r="N582" s="3">
        <v>19.25</v>
      </c>
      <c r="O582" s="3"/>
      <c r="P582" s="22">
        <v>45886</v>
      </c>
      <c r="Q582" s="22">
        <v>45886</v>
      </c>
      <c r="R582" s="3">
        <v>21.654</v>
      </c>
      <c r="S582" t="s">
        <v>922</v>
      </c>
    </row>
    <row r="583" spans="1:19" x14ac:dyDescent="0.25">
      <c r="A583" s="8">
        <v>17</v>
      </c>
      <c r="B583" s="8">
        <v>2</v>
      </c>
      <c r="C583" s="8" t="s">
        <v>15</v>
      </c>
      <c r="D583" s="8" t="s">
        <v>16</v>
      </c>
      <c r="E583" s="8" t="s">
        <v>727</v>
      </c>
      <c r="F583" s="8" t="str">
        <f t="shared" si="6"/>
        <v>O_R33</v>
      </c>
      <c r="G583" s="3">
        <v>34.406999999999996</v>
      </c>
      <c r="H583" s="3">
        <f>IFERROR(INDEX('Tagging key'!D:D, MATCH(F583,'Tagging key'!C:C,0)),"")</f>
        <v>73.84</v>
      </c>
      <c r="I583" s="3">
        <f>IFERROR(INDEX('Tagging key'!E:E, MATCH(F583,'Tagging key'!C:C,0)),"")</f>
        <v>43.78</v>
      </c>
      <c r="J583" s="3">
        <f>IFERROR(INDEX('Tagging key'!F:F, MATCH(F583,'Tagging key'!C:C,0)),"")</f>
        <v>19.690000000000001</v>
      </c>
      <c r="K583" s="3">
        <v>34.453000000000003</v>
      </c>
      <c r="L583" s="3">
        <v>74.02</v>
      </c>
      <c r="M583" s="3">
        <v>45.11</v>
      </c>
      <c r="N583" s="3">
        <v>16.96</v>
      </c>
      <c r="O583" s="3"/>
      <c r="P583" s="22">
        <v>45877</v>
      </c>
      <c r="Q583" s="22">
        <v>45877</v>
      </c>
      <c r="R583" s="3"/>
    </row>
    <row r="584" spans="1:19" x14ac:dyDescent="0.25">
      <c r="A584" s="8">
        <v>17</v>
      </c>
      <c r="B584" s="8">
        <v>2</v>
      </c>
      <c r="C584" s="8" t="s">
        <v>15</v>
      </c>
      <c r="D584" s="8" t="s">
        <v>16</v>
      </c>
      <c r="E584" s="8" t="s">
        <v>159</v>
      </c>
      <c r="F584" s="8" t="str">
        <f t="shared" si="6"/>
        <v>O_B38</v>
      </c>
      <c r="G584" s="3">
        <v>25.664000000000001</v>
      </c>
      <c r="H584" s="3">
        <f>IFERROR(INDEX('Tagging key'!D:D, MATCH(F584,'Tagging key'!C:C,0)),"")</f>
        <v>62.48</v>
      </c>
      <c r="I584" s="3">
        <f>IFERROR(INDEX('Tagging key'!E:E, MATCH(F584,'Tagging key'!C:C,0)),"")</f>
        <v>47.16</v>
      </c>
      <c r="J584" s="3">
        <f>IFERROR(INDEX('Tagging key'!F:F, MATCH(F584,'Tagging key'!C:C,0)),"")</f>
        <v>14.17</v>
      </c>
      <c r="K584" s="3">
        <v>25.635000000000002</v>
      </c>
      <c r="L584" s="3">
        <v>64.78</v>
      </c>
      <c r="M584" s="3">
        <v>44.8</v>
      </c>
      <c r="N584" s="3">
        <v>15.04</v>
      </c>
      <c r="O584" s="3"/>
      <c r="P584" s="22">
        <v>45879</v>
      </c>
      <c r="Q584" s="22">
        <v>45879</v>
      </c>
      <c r="R584" s="3"/>
    </row>
    <row r="585" spans="1:19" x14ac:dyDescent="0.25">
      <c r="A585" s="8">
        <v>17</v>
      </c>
      <c r="B585" s="8">
        <v>2</v>
      </c>
      <c r="C585" s="8" t="s">
        <v>15</v>
      </c>
      <c r="D585" s="8" t="s">
        <v>16</v>
      </c>
      <c r="E585" s="8" t="s">
        <v>652</v>
      </c>
      <c r="F585" s="8" t="str">
        <f t="shared" si="6"/>
        <v>O_R45</v>
      </c>
      <c r="G585" s="3">
        <v>33.363</v>
      </c>
      <c r="H585" s="3">
        <f>IFERROR(INDEX('Tagging key'!D:D, MATCH(F585,'Tagging key'!C:C,0)),"")</f>
        <v>70.91</v>
      </c>
      <c r="I585" s="3">
        <f>IFERROR(INDEX('Tagging key'!E:E, MATCH(F585,'Tagging key'!C:C,0)),"")</f>
        <v>53.97</v>
      </c>
      <c r="J585" s="3">
        <f>IFERROR(INDEX('Tagging key'!F:F, MATCH(F585,'Tagging key'!C:C,0)),"")</f>
        <v>17.239999999999998</v>
      </c>
      <c r="K585" s="3">
        <v>33.392000000000003</v>
      </c>
      <c r="L585" s="3">
        <v>76.23</v>
      </c>
      <c r="M585" s="3">
        <v>43</v>
      </c>
      <c r="N585" s="3">
        <v>16.14</v>
      </c>
      <c r="O585" s="3"/>
      <c r="P585" s="22">
        <v>45882</v>
      </c>
      <c r="Q585" s="22">
        <v>45882</v>
      </c>
      <c r="R585" s="3">
        <v>19.744</v>
      </c>
    </row>
    <row r="586" spans="1:19" x14ac:dyDescent="0.25">
      <c r="A586" s="9">
        <v>17</v>
      </c>
      <c r="B586" s="9">
        <v>3</v>
      </c>
      <c r="C586" s="9" t="s">
        <v>15</v>
      </c>
      <c r="D586" s="9" t="s">
        <v>16</v>
      </c>
      <c r="E586" s="9" t="s">
        <v>872</v>
      </c>
      <c r="F586" s="9" t="str">
        <f t="shared" si="6"/>
        <v>O_R31</v>
      </c>
      <c r="G586" s="3">
        <v>29.145</v>
      </c>
      <c r="H586" s="3">
        <f>IFERROR(INDEX('Tagging key'!D:D, MATCH(F586,'Tagging key'!C:C,0)),"")</f>
        <v>74.150000000000006</v>
      </c>
      <c r="I586" s="3">
        <f>IFERROR(INDEX('Tagging key'!E:E, MATCH(F586,'Tagging key'!C:C,0)),"")</f>
        <v>43.11</v>
      </c>
      <c r="J586" s="3">
        <f>IFERROR(INDEX('Tagging key'!F:F, MATCH(F586,'Tagging key'!C:C,0)),"")</f>
        <v>18.59</v>
      </c>
      <c r="K586" s="3">
        <v>29.13</v>
      </c>
      <c r="L586" s="3">
        <v>74.239999999999995</v>
      </c>
      <c r="M586" s="3">
        <v>42.32</v>
      </c>
      <c r="N586" s="3">
        <v>17.260000000000002</v>
      </c>
      <c r="O586" s="3"/>
      <c r="P586" s="22">
        <v>45886</v>
      </c>
      <c r="Q586" s="22">
        <v>45886</v>
      </c>
      <c r="R586" s="3"/>
    </row>
    <row r="587" spans="1:19" x14ac:dyDescent="0.25">
      <c r="A587" s="9">
        <v>17</v>
      </c>
      <c r="B587" s="9">
        <v>3</v>
      </c>
      <c r="C587" s="9" t="s">
        <v>15</v>
      </c>
      <c r="D587" s="9" t="s">
        <v>16</v>
      </c>
      <c r="E587" s="9" t="s">
        <v>923</v>
      </c>
      <c r="F587" s="9" t="str">
        <f t="shared" si="6"/>
        <v>O_W39</v>
      </c>
      <c r="G587" s="3">
        <v>34.040999999999997</v>
      </c>
      <c r="H587" s="3">
        <f>IFERROR(INDEX('Tagging key'!D:D, MATCH(F587,'Tagging key'!C:C,0)),"")</f>
        <v>67.14</v>
      </c>
      <c r="I587" s="3">
        <f>IFERROR(INDEX('Tagging key'!E:E, MATCH(F587,'Tagging key'!C:C,0)),"")</f>
        <v>50.4</v>
      </c>
      <c r="J587" s="3">
        <f>IFERROR(INDEX('Tagging key'!F:F, MATCH(F587,'Tagging key'!C:C,0)),"")</f>
        <v>21.52</v>
      </c>
      <c r="K587" s="3">
        <v>33.993000000000002</v>
      </c>
      <c r="L587" s="3">
        <v>68.73</v>
      </c>
      <c r="M587" s="3">
        <v>53.5</v>
      </c>
      <c r="N587" s="3">
        <v>19.690000000000001</v>
      </c>
      <c r="O587" s="3"/>
      <c r="P587" s="22">
        <v>45879</v>
      </c>
      <c r="Q587" s="22">
        <v>45879</v>
      </c>
      <c r="R587" s="3"/>
    </row>
    <row r="588" spans="1:19" x14ac:dyDescent="0.25">
      <c r="A588" s="9">
        <v>17</v>
      </c>
      <c r="B588" s="9">
        <v>3</v>
      </c>
      <c r="C588" s="9" t="s">
        <v>15</v>
      </c>
      <c r="D588" s="9" t="s">
        <v>16</v>
      </c>
      <c r="E588" s="9" t="s">
        <v>924</v>
      </c>
      <c r="F588" s="9" t="str">
        <f t="shared" si="6"/>
        <v>O_B81</v>
      </c>
      <c r="G588" s="3">
        <v>25.015999999999998</v>
      </c>
      <c r="H588" s="3">
        <f>IFERROR(INDEX('Tagging key'!D:D, MATCH(F588,'Tagging key'!C:C,0)),"")</f>
        <v>71.400000000000006</v>
      </c>
      <c r="I588" s="3">
        <f>IFERROR(INDEX('Tagging key'!E:E, MATCH(F588,'Tagging key'!C:C,0)),"")</f>
        <v>39.03</v>
      </c>
      <c r="J588" s="3">
        <f>IFERROR(INDEX('Tagging key'!F:F, MATCH(F588,'Tagging key'!C:C,0)),"")</f>
        <v>14.91</v>
      </c>
      <c r="K588" s="3">
        <v>24.771000000000001</v>
      </c>
      <c r="L588" s="3">
        <v>72.510000000000005</v>
      </c>
      <c r="M588" s="3">
        <v>39.130000000000003</v>
      </c>
      <c r="N588" s="3">
        <v>15.3</v>
      </c>
      <c r="O588" s="3"/>
      <c r="P588" s="22">
        <v>45877</v>
      </c>
      <c r="Q588" s="22">
        <v>45877</v>
      </c>
      <c r="R588" s="3"/>
      <c r="S588" t="s">
        <v>925</v>
      </c>
    </row>
    <row r="589" spans="1:19" x14ac:dyDescent="0.25">
      <c r="A589" s="9">
        <v>17</v>
      </c>
      <c r="B589" s="9">
        <v>3</v>
      </c>
      <c r="C589" s="9" t="s">
        <v>15</v>
      </c>
      <c r="D589" s="9" t="s">
        <v>16</v>
      </c>
      <c r="E589" s="9" t="s">
        <v>926</v>
      </c>
      <c r="F589" s="9" t="str">
        <f t="shared" si="6"/>
        <v>O_R1</v>
      </c>
      <c r="G589" s="3">
        <v>41.405999999999999</v>
      </c>
      <c r="H589" s="3">
        <f>IFERROR(INDEX('Tagging key'!D:D, MATCH(F589,'Tagging key'!C:C,0)),"")</f>
        <v>62.07</v>
      </c>
      <c r="I589" s="3">
        <f>IFERROR(INDEX('Tagging key'!E:E, MATCH(F589,'Tagging key'!C:C,0)),"")</f>
        <v>51.41</v>
      </c>
      <c r="J589" s="3">
        <f>IFERROR(INDEX('Tagging key'!F:F, MATCH(F589,'Tagging key'!C:C,0)),"")</f>
        <v>20.09</v>
      </c>
      <c r="K589" s="3">
        <v>41.356999999999999</v>
      </c>
      <c r="L589" s="3">
        <v>64.27</v>
      </c>
      <c r="M589" s="3">
        <v>50.51</v>
      </c>
      <c r="N589" s="3">
        <v>19.399999999999999</v>
      </c>
      <c r="O589" s="3"/>
      <c r="P589" s="22">
        <v>45882</v>
      </c>
      <c r="Q589" s="22">
        <v>45882</v>
      </c>
      <c r="R589" s="3">
        <v>31.603000000000002</v>
      </c>
    </row>
    <row r="590" spans="1:19" x14ac:dyDescent="0.25">
      <c r="A590" s="11">
        <v>17</v>
      </c>
      <c r="B590" s="11">
        <v>4</v>
      </c>
      <c r="C590" s="11" t="s">
        <v>15</v>
      </c>
      <c r="D590" s="11" t="s">
        <v>46</v>
      </c>
      <c r="E590" s="11" t="s">
        <v>616</v>
      </c>
      <c r="F590" s="11" t="str">
        <f t="shared" si="6"/>
        <v>M_R77</v>
      </c>
      <c r="G590" s="3">
        <v>34.576999999999998</v>
      </c>
      <c r="H590" s="3">
        <f>IFERROR(INDEX('Tagging key'!D:D, MATCH(F590,'Tagging key'!C:C,0)),"")</f>
        <v>69.59</v>
      </c>
      <c r="I590" s="3">
        <f>IFERROR(INDEX('Tagging key'!E:E, MATCH(F590,'Tagging key'!C:C,0)),"")</f>
        <v>41.15</v>
      </c>
      <c r="J590" s="3">
        <f>IFERROR(INDEX('Tagging key'!F:F, MATCH(F590,'Tagging key'!C:C,0)),"")</f>
        <v>25.91</v>
      </c>
      <c r="K590" s="3">
        <v>35.896999999999998</v>
      </c>
      <c r="L590" s="3">
        <v>70.22</v>
      </c>
      <c r="M590" s="3">
        <v>38.21</v>
      </c>
      <c r="N590" s="3">
        <v>28.11</v>
      </c>
      <c r="O590" s="3"/>
      <c r="P590" s="22">
        <v>45879</v>
      </c>
      <c r="Q590" s="22">
        <v>45879</v>
      </c>
      <c r="R590" s="3"/>
    </row>
    <row r="591" spans="1:19" x14ac:dyDescent="0.25">
      <c r="A591" s="11">
        <v>17</v>
      </c>
      <c r="B591" s="11">
        <v>4</v>
      </c>
      <c r="C591" s="11" t="s">
        <v>15</v>
      </c>
      <c r="D591" s="11" t="s">
        <v>46</v>
      </c>
      <c r="E591" s="11" t="s">
        <v>927</v>
      </c>
      <c r="F591" s="11" t="str">
        <f t="shared" si="6"/>
        <v>M_R18</v>
      </c>
      <c r="G591" s="3">
        <v>56.243000000000002</v>
      </c>
      <c r="H591" s="3">
        <f>IFERROR(INDEX('Tagging key'!D:D, MATCH(F591,'Tagging key'!C:C,0)),"")</f>
        <v>86.3</v>
      </c>
      <c r="I591" s="3">
        <f>IFERROR(INDEX('Tagging key'!E:E, MATCH(F591,'Tagging key'!C:C,0)),"")</f>
        <v>45.36</v>
      </c>
      <c r="J591" s="3">
        <f>IFERROR(INDEX('Tagging key'!F:F, MATCH(F591,'Tagging key'!C:C,0)),"")</f>
        <v>30.39</v>
      </c>
      <c r="K591" s="3">
        <v>56.670999999999999</v>
      </c>
      <c r="L591" s="3">
        <v>86.09</v>
      </c>
      <c r="M591" s="3">
        <v>43.21</v>
      </c>
      <c r="N591" s="3">
        <v>30.45</v>
      </c>
      <c r="O591" s="3"/>
      <c r="P591" s="22">
        <v>45886</v>
      </c>
      <c r="Q591" s="22">
        <v>45886</v>
      </c>
      <c r="R591" s="3">
        <v>17.899999999999999</v>
      </c>
    </row>
    <row r="592" spans="1:19" x14ac:dyDescent="0.25">
      <c r="A592" s="11">
        <v>17</v>
      </c>
      <c r="B592" s="11">
        <v>4</v>
      </c>
      <c r="C592" s="11" t="s">
        <v>15</v>
      </c>
      <c r="D592" s="11" t="s">
        <v>46</v>
      </c>
      <c r="E592" s="11" t="s">
        <v>679</v>
      </c>
      <c r="F592" s="11" t="str">
        <f t="shared" si="6"/>
        <v>M_R90</v>
      </c>
      <c r="G592" s="3">
        <v>24.667000000000002</v>
      </c>
      <c r="H592" s="3">
        <f>IFERROR(INDEX('Tagging key'!D:D, MATCH(F592,'Tagging key'!C:C,0)),"")</f>
        <v>64.459999999999994</v>
      </c>
      <c r="I592" s="3">
        <f>IFERROR(INDEX('Tagging key'!E:E, MATCH(F592,'Tagging key'!C:C,0)),"")</f>
        <v>37.11</v>
      </c>
      <c r="J592" s="3">
        <f>IFERROR(INDEX('Tagging key'!F:F, MATCH(F592,'Tagging key'!C:C,0)),"")</f>
        <v>22.9</v>
      </c>
      <c r="K592" s="3">
        <v>26.263999999999999</v>
      </c>
      <c r="L592" s="3">
        <v>64.58</v>
      </c>
      <c r="M592" s="3">
        <v>34.450000000000003</v>
      </c>
      <c r="N592" s="3">
        <v>23.9</v>
      </c>
      <c r="O592" s="3"/>
      <c r="P592" s="22">
        <v>45877</v>
      </c>
      <c r="Q592" s="22">
        <v>45877</v>
      </c>
      <c r="R592" s="3"/>
    </row>
    <row r="593" spans="1:19" x14ac:dyDescent="0.25">
      <c r="A593" s="11">
        <v>17</v>
      </c>
      <c r="B593" s="11">
        <v>4</v>
      </c>
      <c r="C593" s="11" t="s">
        <v>15</v>
      </c>
      <c r="D593" s="11" t="s">
        <v>46</v>
      </c>
      <c r="E593" s="11" t="s">
        <v>626</v>
      </c>
      <c r="F593" s="11" t="str">
        <f t="shared" si="6"/>
        <v>M_R38</v>
      </c>
      <c r="G593" s="3">
        <v>29.484000000000002</v>
      </c>
      <c r="H593" s="3">
        <f>IFERROR(INDEX('Tagging key'!D:D, MATCH(F593,'Tagging key'!C:C,0)),"")</f>
        <v>66.510000000000005</v>
      </c>
      <c r="I593" s="3">
        <f>IFERROR(INDEX('Tagging key'!E:E, MATCH(F593,'Tagging key'!C:C,0)),"")</f>
        <v>35.04</v>
      </c>
      <c r="J593" s="3">
        <f>IFERROR(INDEX('Tagging key'!F:F, MATCH(F593,'Tagging key'!C:C,0)),"")</f>
        <v>25.94</v>
      </c>
      <c r="K593" s="3">
        <v>30.457000000000001</v>
      </c>
      <c r="L593" s="3">
        <v>66.569999999999993</v>
      </c>
      <c r="M593" s="3">
        <v>33.049999999999997</v>
      </c>
      <c r="N593" s="3">
        <v>26.34</v>
      </c>
      <c r="O593" s="3"/>
      <c r="P593" s="22">
        <v>45882</v>
      </c>
      <c r="Q593" s="22">
        <v>45882</v>
      </c>
      <c r="R593" s="3">
        <v>10.675000000000001</v>
      </c>
    </row>
    <row r="594" spans="1:19" x14ac:dyDescent="0.25">
      <c r="A594" s="12">
        <v>17</v>
      </c>
      <c r="B594" s="12">
        <v>5</v>
      </c>
      <c r="C594" s="12" t="s">
        <v>15</v>
      </c>
      <c r="D594" s="12" t="s">
        <v>46</v>
      </c>
      <c r="E594" s="12" t="s">
        <v>370</v>
      </c>
      <c r="F594" s="12" t="str">
        <f t="shared" si="6"/>
        <v>M_B56</v>
      </c>
      <c r="G594" s="3">
        <v>66.912000000000006</v>
      </c>
      <c r="H594" s="3">
        <f>IFERROR(INDEX('Tagging key'!D:D, MATCH(F594,'Tagging key'!C:C,0)),"")</f>
        <v>88.08</v>
      </c>
      <c r="I594" s="3">
        <f>IFERROR(INDEX('Tagging key'!E:E, MATCH(F594,'Tagging key'!C:C,0)),"")</f>
        <v>47.93</v>
      </c>
      <c r="J594" s="3">
        <f>IFERROR(INDEX('Tagging key'!F:F, MATCH(F594,'Tagging key'!C:C,0)),"")</f>
        <v>31.44</v>
      </c>
      <c r="K594" s="3">
        <v>67.350999999999999</v>
      </c>
      <c r="L594" s="3">
        <v>87.64</v>
      </c>
      <c r="M594" s="3">
        <v>44.8</v>
      </c>
      <c r="N594" s="3">
        <v>34.83</v>
      </c>
      <c r="O594" s="3"/>
      <c r="P594" s="22">
        <v>45877</v>
      </c>
      <c r="Q594" s="22">
        <v>45877</v>
      </c>
      <c r="R594" s="3"/>
    </row>
    <row r="595" spans="1:19" x14ac:dyDescent="0.25">
      <c r="A595" s="12">
        <v>17</v>
      </c>
      <c r="B595" s="12">
        <v>5</v>
      </c>
      <c r="C595" s="12" t="s">
        <v>15</v>
      </c>
      <c r="D595" s="12" t="s">
        <v>46</v>
      </c>
      <c r="E595" s="12" t="s">
        <v>672</v>
      </c>
      <c r="F595" s="12" t="str">
        <f t="shared" si="6"/>
        <v>M_B50</v>
      </c>
      <c r="G595" s="3">
        <v>68.572999999999993</v>
      </c>
      <c r="H595" s="3">
        <f>IFERROR(INDEX('Tagging key'!D:D, MATCH(F595,'Tagging key'!C:C,0)),"")</f>
        <v>88.63</v>
      </c>
      <c r="I595" s="3">
        <f>IFERROR(INDEX('Tagging key'!E:E, MATCH(F595,'Tagging key'!C:C,0)),"")</f>
        <v>41.27</v>
      </c>
      <c r="J595" s="3">
        <f>IFERROR(INDEX('Tagging key'!F:F, MATCH(F595,'Tagging key'!C:C,0)),"")</f>
        <v>31.95</v>
      </c>
      <c r="K595" s="3">
        <v>68.381</v>
      </c>
      <c r="L595" s="3">
        <v>87.89</v>
      </c>
      <c r="M595" s="3">
        <v>40.130000000000003</v>
      </c>
      <c r="N595" s="3">
        <v>33.25</v>
      </c>
      <c r="O595" s="3"/>
      <c r="P595" s="22">
        <v>45882</v>
      </c>
      <c r="Q595" s="22">
        <v>45882</v>
      </c>
      <c r="R595" s="3">
        <v>23.885000000000002</v>
      </c>
    </row>
    <row r="596" spans="1:19" x14ac:dyDescent="0.25">
      <c r="A596" s="19">
        <v>17</v>
      </c>
      <c r="B596" s="19">
        <v>5</v>
      </c>
      <c r="C596" s="19" t="s">
        <v>15</v>
      </c>
      <c r="D596" s="19" t="s">
        <v>46</v>
      </c>
      <c r="E596" s="19" t="s">
        <v>928</v>
      </c>
      <c r="F596" s="19" t="str">
        <f t="shared" si="6"/>
        <v>M_R2</v>
      </c>
      <c r="G596" s="19">
        <v>39.878999999999998</v>
      </c>
      <c r="H596" s="19">
        <f>IFERROR(INDEX('Tagging key'!D:D, MATCH(F596,'Tagging key'!C:C,0)),"")</f>
        <v>73.86</v>
      </c>
      <c r="I596" s="19">
        <f>IFERROR(INDEX('Tagging key'!E:E, MATCH(F596,'Tagging key'!C:C,0)),"")</f>
        <v>39.58</v>
      </c>
      <c r="J596" s="19">
        <f>IFERROR(INDEX('Tagging key'!F:F, MATCH(F596,'Tagging key'!C:C,0)),"")</f>
        <v>28.29</v>
      </c>
      <c r="K596" s="19"/>
      <c r="L596" s="19"/>
      <c r="M596" s="19"/>
      <c r="N596" s="19"/>
      <c r="O596" s="19"/>
      <c r="P596" s="19"/>
      <c r="Q596" s="19"/>
      <c r="R596" s="19"/>
      <c r="S596" t="s">
        <v>929</v>
      </c>
    </row>
    <row r="597" spans="1:19" x14ac:dyDescent="0.25">
      <c r="A597" s="12">
        <v>17</v>
      </c>
      <c r="B597" s="12">
        <v>5</v>
      </c>
      <c r="C597" s="12" t="s">
        <v>15</v>
      </c>
      <c r="D597" s="12" t="s">
        <v>46</v>
      </c>
      <c r="E597" s="12" t="s">
        <v>930</v>
      </c>
      <c r="F597" s="12" t="str">
        <f t="shared" si="6"/>
        <v>M_R81</v>
      </c>
      <c r="G597" s="3">
        <v>46.933</v>
      </c>
      <c r="H597" s="3">
        <f>IFERROR(INDEX('Tagging key'!D:D, MATCH(F597,'Tagging key'!C:C,0)),"")</f>
        <v>74</v>
      </c>
      <c r="I597" s="3">
        <f>IFERROR(INDEX('Tagging key'!E:E, MATCH(F597,'Tagging key'!C:C,0)),"")</f>
        <v>40</v>
      </c>
      <c r="J597" s="3">
        <f>IFERROR(INDEX('Tagging key'!F:F, MATCH(F597,'Tagging key'!C:C,0)),"")</f>
        <v>29</v>
      </c>
      <c r="K597" s="3">
        <v>47.436999999999998</v>
      </c>
      <c r="L597" s="3">
        <v>77.33</v>
      </c>
      <c r="M597" s="3">
        <v>40</v>
      </c>
      <c r="N597" s="3">
        <v>29.76</v>
      </c>
      <c r="O597" s="3"/>
      <c r="P597" s="22">
        <v>45879</v>
      </c>
      <c r="Q597" s="22">
        <v>45879</v>
      </c>
      <c r="R597" s="3"/>
    </row>
    <row r="598" spans="1:19" x14ac:dyDescent="0.25">
      <c r="A598" s="19">
        <v>17</v>
      </c>
      <c r="B598" s="19">
        <v>6</v>
      </c>
      <c r="C598" s="19" t="s">
        <v>15</v>
      </c>
      <c r="D598" s="19" t="s">
        <v>46</v>
      </c>
      <c r="E598" s="19" t="s">
        <v>931</v>
      </c>
      <c r="F598" s="19" t="str">
        <f t="shared" si="6"/>
        <v>M_B29</v>
      </c>
      <c r="G598" s="19">
        <v>32.337000000000003</v>
      </c>
      <c r="H598" s="19">
        <f>IFERROR(INDEX('Tagging key'!D:D, MATCH(F598,'Tagging key'!C:C,0)),"")</f>
        <v>72.08</v>
      </c>
      <c r="I598" s="19">
        <f>IFERROR(INDEX('Tagging key'!E:E, MATCH(F598,'Tagging key'!C:C,0)),"")</f>
        <v>39.11</v>
      </c>
      <c r="J598" s="19">
        <f>IFERROR(INDEX('Tagging key'!F:F, MATCH(F598,'Tagging key'!C:C,0)),"")</f>
        <v>24.53</v>
      </c>
      <c r="K598" s="19">
        <v>23.707999999999998</v>
      </c>
      <c r="L598" s="19">
        <v>71.86</v>
      </c>
      <c r="M598" s="19">
        <v>36.729999999999997</v>
      </c>
      <c r="N598" s="19">
        <v>28</v>
      </c>
      <c r="O598" s="19"/>
      <c r="P598" s="19"/>
      <c r="Q598" s="19"/>
      <c r="R598" s="19"/>
      <c r="S598" t="s">
        <v>932</v>
      </c>
    </row>
    <row r="599" spans="1:19" x14ac:dyDescent="0.25">
      <c r="A599" s="11">
        <v>17</v>
      </c>
      <c r="B599" s="11">
        <v>6</v>
      </c>
      <c r="C599" s="11" t="s">
        <v>15</v>
      </c>
      <c r="D599" s="11" t="s">
        <v>46</v>
      </c>
      <c r="E599" s="11" t="s">
        <v>597</v>
      </c>
      <c r="F599" s="11" t="str">
        <f t="shared" ref="F599:F662" si="7">LEFT(D599,1)&amp;"_"&amp;E599</f>
        <v>M_B9</v>
      </c>
      <c r="G599" s="3">
        <v>31.486999999999998</v>
      </c>
      <c r="H599" s="3">
        <f>IFERROR(INDEX('Tagging key'!D:D, MATCH(F599,'Tagging key'!C:C,0)),"")</f>
        <v>70.09</v>
      </c>
      <c r="I599" s="3">
        <f>IFERROR(INDEX('Tagging key'!E:E, MATCH(F599,'Tagging key'!C:C,0)),"")</f>
        <v>38.18</v>
      </c>
      <c r="J599" s="3">
        <f>IFERROR(INDEX('Tagging key'!F:F, MATCH(F599,'Tagging key'!C:C,0)),"")</f>
        <v>23.98</v>
      </c>
      <c r="K599" s="3">
        <v>32.808999999999997</v>
      </c>
      <c r="L599" s="3">
        <v>70.19</v>
      </c>
      <c r="M599" s="3">
        <v>35.08</v>
      </c>
      <c r="N599" s="3">
        <v>23.21</v>
      </c>
      <c r="O599" s="3"/>
      <c r="P599" s="22">
        <v>45882</v>
      </c>
      <c r="Q599" s="22">
        <v>45882</v>
      </c>
      <c r="R599" s="3">
        <v>11.423999999999999</v>
      </c>
    </row>
    <row r="600" spans="1:19" x14ac:dyDescent="0.25">
      <c r="A600" s="11">
        <v>17</v>
      </c>
      <c r="B600" s="11">
        <v>6</v>
      </c>
      <c r="C600" s="11" t="s">
        <v>15</v>
      </c>
      <c r="D600" s="11" t="s">
        <v>46</v>
      </c>
      <c r="E600" s="11" t="s">
        <v>529</v>
      </c>
      <c r="F600" s="11" t="str">
        <f t="shared" si="7"/>
        <v>M_B7</v>
      </c>
      <c r="G600" s="3">
        <v>33.048000000000002</v>
      </c>
      <c r="H600" s="3">
        <f>IFERROR(INDEX('Tagging key'!D:D, MATCH(F600,'Tagging key'!C:C,0)),"")</f>
        <v>70</v>
      </c>
      <c r="I600" s="3">
        <f>IFERROR(INDEX('Tagging key'!E:E, MATCH(F600,'Tagging key'!C:C,0)),"")</f>
        <v>37</v>
      </c>
      <c r="J600" s="3">
        <f>IFERROR(INDEX('Tagging key'!F:F, MATCH(F600,'Tagging key'!C:C,0)),"")</f>
        <v>24</v>
      </c>
      <c r="K600" s="3">
        <v>33.515000000000001</v>
      </c>
      <c r="L600" s="3">
        <v>70.81</v>
      </c>
      <c r="M600" s="3">
        <v>39.200000000000003</v>
      </c>
      <c r="N600" s="3">
        <v>25.84</v>
      </c>
      <c r="O600" s="3"/>
      <c r="P600" s="22">
        <v>45879</v>
      </c>
      <c r="Q600" s="22">
        <v>45879</v>
      </c>
      <c r="R600" s="3"/>
    </row>
    <row r="601" spans="1:19" x14ac:dyDescent="0.25">
      <c r="A601" s="11">
        <v>17</v>
      </c>
      <c r="B601" s="11">
        <v>6</v>
      </c>
      <c r="C601" s="11" t="s">
        <v>15</v>
      </c>
      <c r="D601" s="11" t="s">
        <v>46</v>
      </c>
      <c r="E601" s="11" t="s">
        <v>602</v>
      </c>
      <c r="F601" s="11" t="str">
        <f t="shared" si="7"/>
        <v>M_B10</v>
      </c>
      <c r="G601" s="3">
        <v>26.882000000000001</v>
      </c>
      <c r="H601" s="3">
        <f>IFERROR(INDEX('Tagging key'!D:D, MATCH(F601,'Tagging key'!C:C,0)),"")</f>
        <v>63.37</v>
      </c>
      <c r="I601" s="3">
        <f>IFERROR(INDEX('Tagging key'!E:E, MATCH(F601,'Tagging key'!C:C,0)),"")</f>
        <v>35.97</v>
      </c>
      <c r="J601" s="3">
        <f>IFERROR(INDEX('Tagging key'!F:F, MATCH(F601,'Tagging key'!C:C,0)),"")</f>
        <v>23.25</v>
      </c>
      <c r="K601" s="3">
        <v>26.686</v>
      </c>
      <c r="L601" s="3">
        <v>63.6</v>
      </c>
      <c r="M601" s="3">
        <v>35.19</v>
      </c>
      <c r="N601" s="3">
        <v>24.4</v>
      </c>
      <c r="O601" s="3"/>
      <c r="P601" s="22">
        <v>45877</v>
      </c>
      <c r="Q601" s="22">
        <v>45877</v>
      </c>
      <c r="R601" s="3"/>
    </row>
    <row r="602" spans="1:19" x14ac:dyDescent="0.25">
      <c r="A602" s="13">
        <v>17</v>
      </c>
      <c r="B602" s="13">
        <v>7</v>
      </c>
      <c r="C602" s="13" t="s">
        <v>15</v>
      </c>
      <c r="D602" s="13" t="s">
        <v>72</v>
      </c>
      <c r="E602" s="13" t="s">
        <v>933</v>
      </c>
      <c r="F602" s="13" t="str">
        <f t="shared" si="7"/>
        <v>S_Y43</v>
      </c>
      <c r="G602" s="3">
        <v>48.603999999999999</v>
      </c>
      <c r="H602" s="3">
        <f>IFERROR(INDEX('Tagging key'!D:D, MATCH(F602,'Tagging key'!C:C,0)),"")</f>
        <v>72</v>
      </c>
      <c r="I602" s="3">
        <f>IFERROR(INDEX('Tagging key'!E:E, MATCH(F602,'Tagging key'!C:C,0)),"")</f>
        <v>73</v>
      </c>
      <c r="J602" s="3">
        <f>IFERROR(INDEX('Tagging key'!F:F, MATCH(F602,'Tagging key'!C:C,0)),"")</f>
        <v>18</v>
      </c>
      <c r="K602" s="3">
        <v>50.183999999999997</v>
      </c>
      <c r="L602" s="3">
        <v>72.989999999999995</v>
      </c>
      <c r="M602" s="3">
        <v>74.23</v>
      </c>
      <c r="N602" s="3">
        <v>19.670000000000002</v>
      </c>
      <c r="O602" s="3"/>
      <c r="P602" s="22">
        <v>45882</v>
      </c>
      <c r="Q602" s="22">
        <v>45882</v>
      </c>
      <c r="R602" s="3">
        <v>22.085000000000001</v>
      </c>
    </row>
    <row r="603" spans="1:19" x14ac:dyDescent="0.25">
      <c r="A603" s="13">
        <v>17</v>
      </c>
      <c r="B603" s="13">
        <v>7</v>
      </c>
      <c r="C603" s="13" t="s">
        <v>15</v>
      </c>
      <c r="D603" s="13" t="s">
        <v>72</v>
      </c>
      <c r="E603" s="13" t="s">
        <v>934</v>
      </c>
      <c r="F603" s="13" t="str">
        <f t="shared" si="7"/>
        <v>S_Y47</v>
      </c>
      <c r="G603" s="3">
        <v>48.819000000000003</v>
      </c>
      <c r="H603" s="3">
        <f>IFERROR(INDEX('Tagging key'!D:D, MATCH(F603,'Tagging key'!C:C,0)),"")</f>
        <v>69.5</v>
      </c>
      <c r="I603" s="3">
        <f>IFERROR(INDEX('Tagging key'!E:E, MATCH(F603,'Tagging key'!C:C,0)),"")</f>
        <v>73</v>
      </c>
      <c r="J603" s="3">
        <f>IFERROR(INDEX('Tagging key'!F:F, MATCH(F603,'Tagging key'!C:C,0)),"")</f>
        <v>18</v>
      </c>
      <c r="K603" s="3">
        <v>46.686999999999998</v>
      </c>
      <c r="L603" s="3">
        <v>71.06</v>
      </c>
      <c r="M603" s="3">
        <v>74.239999999999995</v>
      </c>
      <c r="N603" s="3">
        <v>21.84</v>
      </c>
      <c r="O603" s="3"/>
      <c r="P603" s="22">
        <v>45886</v>
      </c>
      <c r="Q603" s="22">
        <v>45886</v>
      </c>
      <c r="R603" s="3">
        <v>23.039000000000001</v>
      </c>
    </row>
    <row r="604" spans="1:19" x14ac:dyDescent="0.25">
      <c r="A604" s="13">
        <v>17</v>
      </c>
      <c r="B604" s="13">
        <v>7</v>
      </c>
      <c r="C604" s="13" t="s">
        <v>15</v>
      </c>
      <c r="D604" s="13" t="s">
        <v>72</v>
      </c>
      <c r="E604" s="13" t="s">
        <v>935</v>
      </c>
      <c r="F604" s="13" t="str">
        <f t="shared" si="7"/>
        <v>S_W69</v>
      </c>
      <c r="G604" s="3">
        <v>81.835999999999999</v>
      </c>
      <c r="H604" s="3">
        <f>IFERROR(INDEX('Tagging key'!D:D, MATCH(F604,'Tagging key'!C:C,0)),"")</f>
        <v>76</v>
      </c>
      <c r="I604" s="3">
        <f>IFERROR(INDEX('Tagging key'!E:E, MATCH(F604,'Tagging key'!C:C,0)),"")</f>
        <v>84</v>
      </c>
      <c r="J604" s="3">
        <f>IFERROR(INDEX('Tagging key'!F:F, MATCH(F604,'Tagging key'!C:C,0)),"")</f>
        <v>22</v>
      </c>
      <c r="K604" s="3">
        <v>75.781000000000006</v>
      </c>
      <c r="L604" s="3">
        <v>76.16</v>
      </c>
      <c r="M604" s="3">
        <v>85.14</v>
      </c>
      <c r="N604" s="3">
        <v>2.41</v>
      </c>
      <c r="O604" s="3"/>
      <c r="P604" s="22">
        <v>45877</v>
      </c>
      <c r="Q604" s="22">
        <v>45877</v>
      </c>
      <c r="R604" s="3"/>
    </row>
    <row r="605" spans="1:19" x14ac:dyDescent="0.25">
      <c r="A605" s="13">
        <v>17</v>
      </c>
      <c r="B605" s="13">
        <v>7</v>
      </c>
      <c r="C605" s="13" t="s">
        <v>15</v>
      </c>
      <c r="D605" s="13" t="s">
        <v>72</v>
      </c>
      <c r="E605" s="13" t="s">
        <v>936</v>
      </c>
      <c r="F605" s="13" t="str">
        <f t="shared" si="7"/>
        <v>S_W96</v>
      </c>
      <c r="G605" s="3">
        <v>50.012999999999998</v>
      </c>
      <c r="H605" s="3">
        <f>IFERROR(INDEX('Tagging key'!D:D, MATCH(F605,'Tagging key'!C:C,0)),"")</f>
        <v>70</v>
      </c>
      <c r="I605" s="3">
        <f>IFERROR(INDEX('Tagging key'!E:E, MATCH(F605,'Tagging key'!C:C,0)),"")</f>
        <v>74</v>
      </c>
      <c r="J605" s="3">
        <f>IFERROR(INDEX('Tagging key'!F:F, MATCH(F605,'Tagging key'!C:C,0)),"")</f>
        <v>20</v>
      </c>
      <c r="K605" s="3">
        <v>47.231000000000002</v>
      </c>
      <c r="L605" s="3">
        <v>73.58</v>
      </c>
      <c r="M605" s="3">
        <v>75.760000000000005</v>
      </c>
      <c r="N605" s="3">
        <v>19.920000000000002</v>
      </c>
      <c r="O605" s="3"/>
      <c r="P605" s="22">
        <v>45879</v>
      </c>
      <c r="Q605" s="22">
        <v>45879</v>
      </c>
      <c r="R605" s="3"/>
    </row>
    <row r="606" spans="1:19" x14ac:dyDescent="0.25">
      <c r="A606" s="14">
        <v>17</v>
      </c>
      <c r="B606" s="14">
        <v>8</v>
      </c>
      <c r="C606" s="14" t="s">
        <v>15</v>
      </c>
      <c r="D606" s="14" t="s">
        <v>72</v>
      </c>
      <c r="E606" s="14" t="s">
        <v>937</v>
      </c>
      <c r="F606" s="14" t="str">
        <f t="shared" si="7"/>
        <v>S_G54</v>
      </c>
      <c r="G606" s="3">
        <v>50.915999999999997</v>
      </c>
      <c r="H606" s="3">
        <f>IFERROR(INDEX('Tagging key'!D:D, MATCH(F606,'Tagging key'!C:C,0)),"")</f>
        <v>71</v>
      </c>
      <c r="I606" s="3">
        <f>IFERROR(INDEX('Tagging key'!E:E, MATCH(F606,'Tagging key'!C:C,0)),"")</f>
        <v>75</v>
      </c>
      <c r="J606" s="3">
        <f>IFERROR(INDEX('Tagging key'!F:F, MATCH(F606,'Tagging key'!C:C,0)),"")</f>
        <v>20</v>
      </c>
      <c r="K606" s="3">
        <v>45.508000000000003</v>
      </c>
      <c r="L606" s="3">
        <v>71.86</v>
      </c>
      <c r="M606" s="3">
        <v>76.2</v>
      </c>
      <c r="N606" s="3">
        <v>22.08</v>
      </c>
      <c r="O606" s="3"/>
      <c r="P606" s="22">
        <v>45877</v>
      </c>
      <c r="Q606" s="22">
        <v>45877</v>
      </c>
      <c r="R606" s="3"/>
    </row>
    <row r="607" spans="1:19" x14ac:dyDescent="0.25">
      <c r="A607" s="14">
        <v>17</v>
      </c>
      <c r="B607" s="14">
        <v>8</v>
      </c>
      <c r="C607" s="14" t="s">
        <v>15</v>
      </c>
      <c r="D607" s="14" t="s">
        <v>72</v>
      </c>
      <c r="E607" s="14" t="s">
        <v>868</v>
      </c>
      <c r="F607" s="14" t="str">
        <f t="shared" si="7"/>
        <v>S_W2</v>
      </c>
      <c r="G607" s="3">
        <v>44.284999999999997</v>
      </c>
      <c r="H607" s="3">
        <f>IFERROR(INDEX('Tagging key'!D:D, MATCH(F607,'Tagging key'!C:C,0)),"")</f>
        <v>71.13</v>
      </c>
      <c r="I607" s="3">
        <f>IFERROR(INDEX('Tagging key'!E:E, MATCH(F607,'Tagging key'!C:C,0)),"")</f>
        <v>74.25</v>
      </c>
      <c r="J607" s="3">
        <f>IFERROR(INDEX('Tagging key'!F:F, MATCH(F607,'Tagging key'!C:C,0)),"")</f>
        <v>22.66</v>
      </c>
      <c r="K607" s="3">
        <v>46.418999999999997</v>
      </c>
      <c r="L607" s="3">
        <v>71.739999999999995</v>
      </c>
      <c r="M607" s="3">
        <v>73.33</v>
      </c>
      <c r="N607" s="3">
        <v>19.22</v>
      </c>
      <c r="O607" s="3"/>
      <c r="P607" s="22">
        <v>45886</v>
      </c>
      <c r="Q607" s="22">
        <v>45886</v>
      </c>
      <c r="R607" s="3">
        <v>21.045999999999999</v>
      </c>
    </row>
    <row r="608" spans="1:19" x14ac:dyDescent="0.25">
      <c r="A608" s="14">
        <v>17</v>
      </c>
      <c r="B608" s="14">
        <v>8</v>
      </c>
      <c r="C608" s="14" t="s">
        <v>15</v>
      </c>
      <c r="D608" s="14" t="s">
        <v>72</v>
      </c>
      <c r="E608" s="14" t="s">
        <v>938</v>
      </c>
      <c r="F608" s="14" t="str">
        <f t="shared" si="7"/>
        <v>S_Y9B</v>
      </c>
      <c r="G608" s="3">
        <v>55.11</v>
      </c>
      <c r="H608" s="3">
        <f>IFERROR(INDEX('Tagging key'!D:D, MATCH(F608,'Tagging key'!C:C,0)),"")</f>
        <v>73</v>
      </c>
      <c r="I608" s="3">
        <f>IFERROR(INDEX('Tagging key'!E:E, MATCH(F608,'Tagging key'!C:C,0)),"")</f>
        <v>77</v>
      </c>
      <c r="J608" s="3">
        <f>IFERROR(INDEX('Tagging key'!F:F, MATCH(F608,'Tagging key'!C:C,0)),"")</f>
        <v>20</v>
      </c>
      <c r="K608" s="3">
        <v>52.604999999999997</v>
      </c>
      <c r="L608" s="3">
        <v>74.13</v>
      </c>
      <c r="M608" s="3">
        <v>78.430000000000007</v>
      </c>
      <c r="N608" s="3">
        <v>20.49</v>
      </c>
      <c r="O608" s="3"/>
      <c r="P608" s="22">
        <v>45882</v>
      </c>
      <c r="Q608" s="22">
        <v>45882</v>
      </c>
      <c r="R608" s="3"/>
    </row>
    <row r="609" spans="1:19" x14ac:dyDescent="0.25">
      <c r="A609" s="14">
        <v>17</v>
      </c>
      <c r="B609" s="14">
        <v>8</v>
      </c>
      <c r="C609" s="14" t="s">
        <v>15</v>
      </c>
      <c r="D609" s="14" t="s">
        <v>72</v>
      </c>
      <c r="E609" s="14" t="s">
        <v>939</v>
      </c>
      <c r="F609" s="14" t="str">
        <f t="shared" si="7"/>
        <v>S_W87</v>
      </c>
      <c r="G609" s="3">
        <v>49.804000000000002</v>
      </c>
      <c r="H609" s="3">
        <f>IFERROR(INDEX('Tagging key'!D:D, MATCH(F609,'Tagging key'!C:C,0)),"")</f>
        <v>72</v>
      </c>
      <c r="I609" s="3">
        <f>IFERROR(INDEX('Tagging key'!E:E, MATCH(F609,'Tagging key'!C:C,0)),"")</f>
        <v>73</v>
      </c>
      <c r="J609" s="3">
        <f>IFERROR(INDEX('Tagging key'!F:F, MATCH(F609,'Tagging key'!C:C,0)),"")</f>
        <v>18</v>
      </c>
      <c r="K609" s="3">
        <v>45.698</v>
      </c>
      <c r="L609" s="3">
        <v>74.17</v>
      </c>
      <c r="M609" s="3">
        <v>76.010000000000005</v>
      </c>
      <c r="N609" s="3">
        <v>18.86</v>
      </c>
      <c r="O609" s="3"/>
      <c r="P609" s="22">
        <v>45879</v>
      </c>
      <c r="Q609" s="22">
        <v>45879</v>
      </c>
      <c r="R609" s="3"/>
    </row>
    <row r="610" spans="1:19" x14ac:dyDescent="0.25">
      <c r="A610" s="13">
        <v>17</v>
      </c>
      <c r="B610" s="13">
        <v>9</v>
      </c>
      <c r="C610" s="13" t="s">
        <v>15</v>
      </c>
      <c r="D610" s="13" t="s">
        <v>72</v>
      </c>
      <c r="E610" s="13" t="s">
        <v>940</v>
      </c>
      <c r="F610" s="13" t="str">
        <f t="shared" si="7"/>
        <v xml:space="preserve">S_W1 </v>
      </c>
      <c r="G610" s="3">
        <v>62.41</v>
      </c>
      <c r="H610" s="3">
        <f>IFERROR(INDEX('Tagging key'!D:D, MATCH(F610,'Tagging key'!C:C,0)),"")</f>
        <v>76.260000000000005</v>
      </c>
      <c r="I610" s="3">
        <f>IFERROR(INDEX('Tagging key'!E:E, MATCH(F610,'Tagging key'!C:C,0)),"")</f>
        <v>84.47</v>
      </c>
      <c r="J610" s="3">
        <f>IFERROR(INDEX('Tagging key'!F:F, MATCH(F610,'Tagging key'!C:C,0)),"")</f>
        <v>17.53</v>
      </c>
      <c r="K610" s="3">
        <v>64.578999999999994</v>
      </c>
      <c r="L610" s="3">
        <v>78.92</v>
      </c>
      <c r="M610" s="3">
        <v>84.06</v>
      </c>
      <c r="N610" s="3">
        <v>23.7</v>
      </c>
      <c r="O610" s="3"/>
      <c r="P610" s="22">
        <v>45886</v>
      </c>
      <c r="Q610" s="22">
        <v>45886</v>
      </c>
      <c r="R610" s="3"/>
      <c r="S610" t="s">
        <v>941</v>
      </c>
    </row>
    <row r="611" spans="1:19" x14ac:dyDescent="0.25">
      <c r="A611" s="13">
        <v>17</v>
      </c>
      <c r="B611" s="13">
        <v>9</v>
      </c>
      <c r="C611" s="13" t="s">
        <v>15</v>
      </c>
      <c r="D611" s="13" t="s">
        <v>72</v>
      </c>
      <c r="E611" s="13" t="s">
        <v>942</v>
      </c>
      <c r="F611" s="13" t="str">
        <f t="shared" si="7"/>
        <v>S_G29</v>
      </c>
      <c r="G611" s="3">
        <v>57.087000000000003</v>
      </c>
      <c r="H611" s="3">
        <f>IFERROR(INDEX('Tagging key'!D:D, MATCH(F611,'Tagging key'!C:C,0)),"")</f>
        <v>74.61</v>
      </c>
      <c r="I611" s="3">
        <f>IFERROR(INDEX('Tagging key'!E:E, MATCH(F611,'Tagging key'!C:C,0)),"")</f>
        <v>79.31</v>
      </c>
      <c r="J611" s="3">
        <f>IFERROR(INDEX('Tagging key'!F:F, MATCH(F611,'Tagging key'!C:C,0)),"")</f>
        <v>20.09</v>
      </c>
      <c r="K611" s="3">
        <v>52.765999999999998</v>
      </c>
      <c r="L611" s="3">
        <v>73.91</v>
      </c>
      <c r="M611" s="3">
        <v>80.78</v>
      </c>
      <c r="N611" s="3">
        <v>20.82</v>
      </c>
      <c r="O611" s="3"/>
      <c r="P611" s="22">
        <v>45879</v>
      </c>
      <c r="Q611" s="22">
        <v>45879</v>
      </c>
      <c r="R611" s="3"/>
    </row>
    <row r="612" spans="1:19" x14ac:dyDescent="0.25">
      <c r="A612" s="13">
        <v>17</v>
      </c>
      <c r="B612" s="13">
        <v>9</v>
      </c>
      <c r="C612" s="13" t="s">
        <v>15</v>
      </c>
      <c r="D612" s="13" t="s">
        <v>72</v>
      </c>
      <c r="E612" s="13" t="s">
        <v>523</v>
      </c>
      <c r="F612" s="13" t="str">
        <f t="shared" si="7"/>
        <v>S_W3</v>
      </c>
      <c r="G612" s="3">
        <v>69.512</v>
      </c>
      <c r="H612" s="3">
        <f>IFERROR(INDEX('Tagging key'!D:D, MATCH(F612,'Tagging key'!C:C,0)),"")</f>
        <v>78.34</v>
      </c>
      <c r="I612" s="3">
        <f>IFERROR(INDEX('Tagging key'!E:E, MATCH(F612,'Tagging key'!C:C,0)),"")</f>
        <v>83.46</v>
      </c>
      <c r="J612" s="3">
        <f>IFERROR(INDEX('Tagging key'!F:F, MATCH(F612,'Tagging key'!C:C,0)),"")</f>
        <v>24.09</v>
      </c>
      <c r="K612" s="3">
        <v>67.44</v>
      </c>
      <c r="L612" s="3">
        <v>77.03</v>
      </c>
      <c r="M612" s="3">
        <v>82.9</v>
      </c>
      <c r="N612" s="3">
        <v>23.61</v>
      </c>
      <c r="O612" s="3"/>
      <c r="P612" s="22">
        <v>45882</v>
      </c>
      <c r="Q612" s="22">
        <v>45882</v>
      </c>
      <c r="R612" s="3">
        <v>32.253999999999998</v>
      </c>
    </row>
    <row r="613" spans="1:19" x14ac:dyDescent="0.25">
      <c r="A613" s="13">
        <v>17</v>
      </c>
      <c r="B613" s="13">
        <v>9</v>
      </c>
      <c r="C613" s="13" t="s">
        <v>15</v>
      </c>
      <c r="D613" s="13" t="s">
        <v>72</v>
      </c>
      <c r="E613" s="13" t="s">
        <v>943</v>
      </c>
      <c r="F613" s="13" t="str">
        <f t="shared" si="7"/>
        <v xml:space="preserve">S_W5 </v>
      </c>
      <c r="G613" s="3">
        <v>51.304000000000002</v>
      </c>
      <c r="H613" s="3">
        <f>IFERROR(INDEX('Tagging key'!D:D, MATCH(F613,'Tagging key'!C:C,0)),"")</f>
        <v>74.42</v>
      </c>
      <c r="I613" s="3">
        <f>IFERROR(INDEX('Tagging key'!E:E, MATCH(F613,'Tagging key'!C:C,0)),"")</f>
        <v>81.36</v>
      </c>
      <c r="J613" s="3">
        <f>IFERROR(INDEX('Tagging key'!F:F, MATCH(F613,'Tagging key'!C:C,0)),"")</f>
        <v>17.510000000000002</v>
      </c>
      <c r="K613" s="3">
        <v>49.328000000000003</v>
      </c>
      <c r="L613" s="3">
        <v>74.56</v>
      </c>
      <c r="M613" s="3">
        <v>80.739999999999995</v>
      </c>
      <c r="N613" s="3">
        <v>20.62</v>
      </c>
      <c r="O613" s="3"/>
      <c r="P613" s="22">
        <v>45877</v>
      </c>
      <c r="Q613" s="22">
        <v>45877</v>
      </c>
      <c r="R613" s="3"/>
    </row>
    <row r="614" spans="1:19" x14ac:dyDescent="0.25">
      <c r="A614" s="11">
        <v>18</v>
      </c>
      <c r="B614" s="11">
        <v>1</v>
      </c>
      <c r="C614" s="11" t="s">
        <v>248</v>
      </c>
      <c r="D614" s="11" t="s">
        <v>46</v>
      </c>
      <c r="E614" s="11" t="s">
        <v>531</v>
      </c>
      <c r="F614" s="11" t="str">
        <f t="shared" si="7"/>
        <v>M_R36</v>
      </c>
      <c r="G614" s="3">
        <v>34.820999999999998</v>
      </c>
      <c r="H614" s="3">
        <f>IFERROR(INDEX('Tagging key'!D:D, MATCH(F614,'Tagging key'!C:C,0)),"")</f>
        <v>72</v>
      </c>
      <c r="I614" s="3">
        <f>IFERROR(INDEX('Tagging key'!E:E, MATCH(F614,'Tagging key'!C:C,0)),"")</f>
        <v>38</v>
      </c>
      <c r="J614" s="3">
        <f>IFERROR(INDEX('Tagging key'!F:F, MATCH(F614,'Tagging key'!C:C,0)),"")</f>
        <v>24</v>
      </c>
      <c r="K614" s="3">
        <v>34.994999999999997</v>
      </c>
      <c r="L614" s="3">
        <v>73.650000000000006</v>
      </c>
      <c r="M614" s="3">
        <v>37.86</v>
      </c>
      <c r="N614" s="3">
        <v>24.64</v>
      </c>
      <c r="O614" s="3"/>
      <c r="P614" s="22">
        <v>45879</v>
      </c>
      <c r="Q614" s="22">
        <v>45879</v>
      </c>
      <c r="R614" s="3"/>
    </row>
    <row r="615" spans="1:19" x14ac:dyDescent="0.25">
      <c r="A615" s="11">
        <v>18</v>
      </c>
      <c r="B615" s="11">
        <v>1</v>
      </c>
      <c r="C615" s="11" t="s">
        <v>248</v>
      </c>
      <c r="D615" s="11" t="s">
        <v>46</v>
      </c>
      <c r="E615" s="11" t="s">
        <v>451</v>
      </c>
      <c r="F615" s="11" t="str">
        <f t="shared" si="7"/>
        <v>M_R37</v>
      </c>
      <c r="G615" s="3">
        <v>37.03</v>
      </c>
      <c r="H615" s="3">
        <f>IFERROR(INDEX('Tagging key'!D:D, MATCH(F615,'Tagging key'!C:C,0)),"")</f>
        <v>69.77</v>
      </c>
      <c r="I615" s="3">
        <f>IFERROR(INDEX('Tagging key'!E:E, MATCH(F615,'Tagging key'!C:C,0)),"")</f>
        <v>42.73</v>
      </c>
      <c r="J615" s="3">
        <f>IFERROR(INDEX('Tagging key'!F:F, MATCH(F615,'Tagging key'!C:C,0)),"")</f>
        <v>27.27</v>
      </c>
      <c r="K615" s="3">
        <v>37.877000000000002</v>
      </c>
      <c r="L615" s="3">
        <v>69.88</v>
      </c>
      <c r="M615" s="3">
        <v>39.07</v>
      </c>
      <c r="N615" s="3">
        <v>28.27</v>
      </c>
      <c r="O615" s="3"/>
      <c r="P615" s="22">
        <v>45877</v>
      </c>
      <c r="Q615" s="22">
        <v>45877</v>
      </c>
      <c r="R615" s="3"/>
    </row>
    <row r="616" spans="1:19" x14ac:dyDescent="0.25">
      <c r="A616" s="11">
        <v>18</v>
      </c>
      <c r="B616" s="11">
        <v>1</v>
      </c>
      <c r="C616" s="11" t="s">
        <v>248</v>
      </c>
      <c r="D616" s="11" t="s">
        <v>46</v>
      </c>
      <c r="E616" s="11" t="s">
        <v>755</v>
      </c>
      <c r="F616" s="11" t="str">
        <f t="shared" si="7"/>
        <v>M_R93</v>
      </c>
      <c r="G616" s="3">
        <v>28.207999999999998</v>
      </c>
      <c r="H616" s="3">
        <f>IFERROR(INDEX('Tagging key'!D:D, MATCH(F616,'Tagging key'!C:C,0)),"")</f>
        <v>64.430000000000007</v>
      </c>
      <c r="I616" s="3">
        <f>IFERROR(INDEX('Tagging key'!E:E, MATCH(F616,'Tagging key'!C:C,0)),"")</f>
        <v>43.61</v>
      </c>
      <c r="J616" s="3">
        <f>IFERROR(INDEX('Tagging key'!F:F, MATCH(F616,'Tagging key'!C:C,0)),"")</f>
        <v>23.2</v>
      </c>
      <c r="K616" s="3">
        <v>28.875</v>
      </c>
      <c r="L616" s="3">
        <v>64.88</v>
      </c>
      <c r="M616" s="3">
        <v>37.18</v>
      </c>
      <c r="N616" s="3">
        <v>24.15</v>
      </c>
      <c r="O616" s="3"/>
      <c r="P616" s="22">
        <v>45882</v>
      </c>
      <c r="Q616" s="22">
        <v>45882</v>
      </c>
      <c r="R616" s="3">
        <v>9.9039999999999999</v>
      </c>
      <c r="S616" t="s">
        <v>944</v>
      </c>
    </row>
    <row r="617" spans="1:19" x14ac:dyDescent="0.25">
      <c r="A617" s="11">
        <v>18</v>
      </c>
      <c r="B617" s="11">
        <v>1</v>
      </c>
      <c r="C617" s="11" t="s">
        <v>248</v>
      </c>
      <c r="D617" s="11" t="s">
        <v>46</v>
      </c>
      <c r="E617" s="11" t="s">
        <v>447</v>
      </c>
      <c r="F617" s="11" t="str">
        <f t="shared" si="7"/>
        <v>M_R7</v>
      </c>
      <c r="G617" s="3">
        <v>49.256999999999998</v>
      </c>
      <c r="H617" s="3">
        <f>IFERROR(INDEX('Tagging key'!D:D, MATCH(F617,'Tagging key'!C:C,0)),"")</f>
        <v>80.77</v>
      </c>
      <c r="I617" s="3">
        <f>IFERROR(INDEX('Tagging key'!E:E, MATCH(F617,'Tagging key'!C:C,0)),"")</f>
        <v>45.3</v>
      </c>
      <c r="J617" s="3">
        <f>IFERROR(INDEX('Tagging key'!F:F, MATCH(F617,'Tagging key'!C:C,0)),"")</f>
        <v>29.45</v>
      </c>
      <c r="K617" s="3">
        <v>50.216999999999999</v>
      </c>
      <c r="L617" s="3">
        <v>81.14</v>
      </c>
      <c r="M617" s="3">
        <v>41.22</v>
      </c>
      <c r="N617" s="3">
        <v>29.77</v>
      </c>
      <c r="O617" s="3"/>
      <c r="P617" s="22">
        <v>45886</v>
      </c>
      <c r="Q617" s="22">
        <v>45886</v>
      </c>
      <c r="R617" s="3">
        <v>16.375</v>
      </c>
    </row>
    <row r="618" spans="1:19" x14ac:dyDescent="0.25">
      <c r="A618" s="12">
        <v>18</v>
      </c>
      <c r="B618" s="12">
        <v>2</v>
      </c>
      <c r="C618" s="12" t="s">
        <v>248</v>
      </c>
      <c r="D618" s="12" t="s">
        <v>46</v>
      </c>
      <c r="E618" s="12" t="s">
        <v>918</v>
      </c>
      <c r="F618" s="12" t="str">
        <f t="shared" si="7"/>
        <v>M_B73</v>
      </c>
      <c r="G618" s="3">
        <v>34.521999999999998</v>
      </c>
      <c r="H618" s="3">
        <f>IFERROR(INDEX('Tagging key'!D:D, MATCH(F618,'Tagging key'!C:C,0)),"")</f>
        <v>70</v>
      </c>
      <c r="I618" s="3">
        <f>IFERROR(INDEX('Tagging key'!E:E, MATCH(F618,'Tagging key'!C:C,0)),"")</f>
        <v>35</v>
      </c>
      <c r="J618" s="3">
        <f>IFERROR(INDEX('Tagging key'!F:F, MATCH(F618,'Tagging key'!C:C,0)),"")</f>
        <v>26</v>
      </c>
      <c r="K618" s="3">
        <v>35.192999999999998</v>
      </c>
      <c r="L618" s="3">
        <v>70.849999999999994</v>
      </c>
      <c r="M618" s="3">
        <v>37.619999999999997</v>
      </c>
      <c r="N618" s="3">
        <v>27.46</v>
      </c>
      <c r="O618" s="3"/>
      <c r="P618" s="22">
        <v>45877</v>
      </c>
      <c r="Q618" s="22">
        <v>45877</v>
      </c>
      <c r="R618" s="3"/>
    </row>
    <row r="619" spans="1:19" x14ac:dyDescent="0.25">
      <c r="A619" s="12">
        <v>18</v>
      </c>
      <c r="B619" s="12">
        <v>2</v>
      </c>
      <c r="C619" s="12" t="s">
        <v>248</v>
      </c>
      <c r="D619" s="12" t="s">
        <v>46</v>
      </c>
      <c r="E619" s="12" t="s">
        <v>884</v>
      </c>
      <c r="F619" s="12" t="str">
        <f t="shared" si="7"/>
        <v>M_G5</v>
      </c>
      <c r="G619" s="3">
        <v>32.994999999999997</v>
      </c>
      <c r="H619" s="3">
        <f>IFERROR(INDEX('Tagging key'!D:D, MATCH(F619,'Tagging key'!C:C,0)),"")</f>
        <v>67</v>
      </c>
      <c r="I619" s="3">
        <f>IFERROR(INDEX('Tagging key'!E:E, MATCH(F619,'Tagging key'!C:C,0)),"")</f>
        <v>35</v>
      </c>
      <c r="J619" s="3">
        <f>IFERROR(INDEX('Tagging key'!F:F, MATCH(F619,'Tagging key'!C:C,0)),"")</f>
        <v>25</v>
      </c>
      <c r="K619" s="3">
        <v>33.345999999999997</v>
      </c>
      <c r="L619" s="3">
        <v>69.069999999999993</v>
      </c>
      <c r="M619" s="3">
        <v>43.26</v>
      </c>
      <c r="N619" s="3">
        <v>25.8</v>
      </c>
      <c r="O619" s="3"/>
      <c r="P619" s="22">
        <v>45879</v>
      </c>
      <c r="Q619" s="22">
        <v>45879</v>
      </c>
      <c r="R619" s="3"/>
    </row>
    <row r="620" spans="1:19" x14ac:dyDescent="0.25">
      <c r="A620" s="12">
        <v>18</v>
      </c>
      <c r="B620" s="12">
        <v>2</v>
      </c>
      <c r="C620" s="12" t="s">
        <v>248</v>
      </c>
      <c r="D620" s="12" t="s">
        <v>46</v>
      </c>
      <c r="E620" s="12" t="s">
        <v>945</v>
      </c>
      <c r="F620" s="12" t="str">
        <f t="shared" si="7"/>
        <v>M_R32</v>
      </c>
      <c r="G620" s="3">
        <v>44.27</v>
      </c>
      <c r="H620" s="3">
        <f>IFERROR(INDEX('Tagging key'!D:D, MATCH(F620,'Tagging key'!C:C,0)),"")</f>
        <v>75.08</v>
      </c>
      <c r="I620" s="3">
        <f>IFERROR(INDEX('Tagging key'!E:E, MATCH(F620,'Tagging key'!C:C,0)),"")</f>
        <v>46</v>
      </c>
      <c r="J620" s="3">
        <f>IFERROR(INDEX('Tagging key'!F:F, MATCH(F620,'Tagging key'!C:C,0)),"")</f>
        <v>29.77</v>
      </c>
      <c r="K620" s="3">
        <v>45.332000000000001</v>
      </c>
      <c r="L620" s="3">
        <v>75.150000000000006</v>
      </c>
      <c r="M620" s="3">
        <v>40.14</v>
      </c>
      <c r="N620" s="3">
        <v>29.85</v>
      </c>
      <c r="O620" s="3"/>
      <c r="P620" s="22">
        <v>45886</v>
      </c>
      <c r="Q620" s="22">
        <v>45886</v>
      </c>
      <c r="R620" s="3">
        <v>14.621</v>
      </c>
    </row>
    <row r="621" spans="1:19" x14ac:dyDescent="0.25">
      <c r="A621" s="12">
        <v>18</v>
      </c>
      <c r="B621" s="12">
        <v>2</v>
      </c>
      <c r="C621" s="12" t="s">
        <v>248</v>
      </c>
      <c r="D621" s="12" t="s">
        <v>46</v>
      </c>
      <c r="E621" s="12" t="s">
        <v>200</v>
      </c>
      <c r="F621" s="12" t="str">
        <f t="shared" si="7"/>
        <v>M_B97</v>
      </c>
      <c r="G621" s="3">
        <v>34.319000000000003</v>
      </c>
      <c r="H621" s="3">
        <f>IFERROR(INDEX('Tagging key'!D:D, MATCH(F621,'Tagging key'!C:C,0)),"")</f>
        <v>67</v>
      </c>
      <c r="I621" s="3">
        <f>IFERROR(INDEX('Tagging key'!E:E, MATCH(F621,'Tagging key'!C:C,0)),"")</f>
        <v>37</v>
      </c>
      <c r="J621" s="3">
        <f>IFERROR(INDEX('Tagging key'!F:F, MATCH(F621,'Tagging key'!C:C,0)),"")</f>
        <v>26</v>
      </c>
      <c r="K621" s="3">
        <v>34.691000000000003</v>
      </c>
      <c r="L621" s="3">
        <v>67.430000000000007</v>
      </c>
      <c r="M621" s="3">
        <v>37.89</v>
      </c>
      <c r="N621" s="3">
        <v>26.65</v>
      </c>
      <c r="O621" s="3"/>
      <c r="P621" s="22">
        <v>45882</v>
      </c>
      <c r="Q621" s="22">
        <v>45882</v>
      </c>
      <c r="R621" s="3">
        <v>12.77</v>
      </c>
    </row>
    <row r="622" spans="1:19" x14ac:dyDescent="0.25">
      <c r="A622" s="11">
        <v>18</v>
      </c>
      <c r="B622" s="11">
        <v>3</v>
      </c>
      <c r="C622" s="11" t="s">
        <v>248</v>
      </c>
      <c r="D622" s="11" t="s">
        <v>46</v>
      </c>
      <c r="E622" s="11" t="s">
        <v>946</v>
      </c>
      <c r="F622" s="11" t="str">
        <f t="shared" si="7"/>
        <v>M_R95</v>
      </c>
      <c r="G622" s="3">
        <v>23.68</v>
      </c>
      <c r="H622" s="3">
        <f>IFERROR(INDEX('Tagging key'!D:D, MATCH(F622,'Tagging key'!C:C,0)),"")</f>
        <v>65.290000000000006</v>
      </c>
      <c r="I622" s="3">
        <f>IFERROR(INDEX('Tagging key'!E:E, MATCH(F622,'Tagging key'!C:C,0)),"")</f>
        <v>33.729999999999997</v>
      </c>
      <c r="J622" s="3">
        <f>IFERROR(INDEX('Tagging key'!F:F, MATCH(F622,'Tagging key'!C:C,0)),"")</f>
        <v>22.81</v>
      </c>
      <c r="K622" s="3">
        <v>24.504000000000001</v>
      </c>
      <c r="L622" s="3">
        <v>65.67</v>
      </c>
      <c r="M622" s="3">
        <v>31</v>
      </c>
      <c r="N622" s="3">
        <v>24.68</v>
      </c>
      <c r="O622" s="3"/>
      <c r="P622" s="22">
        <v>45879</v>
      </c>
      <c r="Q622" s="22">
        <v>45879</v>
      </c>
      <c r="R622" s="3"/>
    </row>
    <row r="623" spans="1:19" x14ac:dyDescent="0.25">
      <c r="A623" s="11">
        <v>18</v>
      </c>
      <c r="B623" s="11">
        <v>3</v>
      </c>
      <c r="C623" s="11" t="s">
        <v>248</v>
      </c>
      <c r="D623" s="11" t="s">
        <v>46</v>
      </c>
      <c r="E623" s="11" t="s">
        <v>568</v>
      </c>
      <c r="F623" s="11" t="str">
        <f t="shared" si="7"/>
        <v>M_G2</v>
      </c>
      <c r="G623" s="3">
        <v>45.334000000000003</v>
      </c>
      <c r="H623" s="3">
        <f>IFERROR(INDEX('Tagging key'!D:D, MATCH(F623,'Tagging key'!C:C,0)),"")</f>
        <v>71</v>
      </c>
      <c r="I623" s="3">
        <f>IFERROR(INDEX('Tagging key'!E:E, MATCH(F623,'Tagging key'!C:C,0)),"")</f>
        <v>36</v>
      </c>
      <c r="J623" s="3">
        <f>IFERROR(INDEX('Tagging key'!F:F, MATCH(F623,'Tagging key'!C:C,0)),"")</f>
        <v>27</v>
      </c>
      <c r="K623" s="3">
        <v>45.970999999999997</v>
      </c>
      <c r="L623" s="3">
        <v>72.849999999999994</v>
      </c>
      <c r="M623" s="3">
        <v>36.549999999999997</v>
      </c>
      <c r="N623" s="3">
        <v>28.63</v>
      </c>
      <c r="O623" s="3"/>
      <c r="P623" s="22">
        <v>45882</v>
      </c>
      <c r="Q623" s="22">
        <v>45882</v>
      </c>
      <c r="R623" s="3">
        <v>20.050999999999998</v>
      </c>
    </row>
    <row r="624" spans="1:19" x14ac:dyDescent="0.25">
      <c r="A624" s="19">
        <v>18</v>
      </c>
      <c r="B624" s="19">
        <v>3</v>
      </c>
      <c r="C624" s="19" t="s">
        <v>248</v>
      </c>
      <c r="D624" s="19" t="s">
        <v>46</v>
      </c>
      <c r="E624" s="19" t="s">
        <v>840</v>
      </c>
      <c r="F624" s="19" t="str">
        <f t="shared" si="7"/>
        <v>M_B55</v>
      </c>
      <c r="G624" s="19">
        <v>32.923000000000002</v>
      </c>
      <c r="H624" s="19">
        <f>IFERROR(INDEX('Tagging key'!D:D, MATCH(F624,'Tagging key'!C:C,0)),"")</f>
        <v>73.86</v>
      </c>
      <c r="I624" s="19">
        <f>IFERROR(INDEX('Tagging key'!E:E, MATCH(F624,'Tagging key'!C:C,0)),"")</f>
        <v>39.92</v>
      </c>
      <c r="J624" s="19">
        <f>IFERROR(INDEX('Tagging key'!F:F, MATCH(F624,'Tagging key'!C:C,0)),"")</f>
        <v>22.82</v>
      </c>
      <c r="K624" s="19"/>
      <c r="L624" s="19"/>
      <c r="M624" s="19"/>
      <c r="N624" s="19"/>
      <c r="O624" s="19"/>
      <c r="P624" s="19"/>
      <c r="Q624" s="19"/>
      <c r="R624" s="19"/>
      <c r="S624" t="s">
        <v>947</v>
      </c>
    </row>
    <row r="625" spans="1:19" x14ac:dyDescent="0.25">
      <c r="A625" s="11">
        <v>18</v>
      </c>
      <c r="B625" s="11">
        <v>3</v>
      </c>
      <c r="C625" s="11" t="s">
        <v>248</v>
      </c>
      <c r="D625" s="11" t="s">
        <v>46</v>
      </c>
      <c r="E625" s="11" t="s">
        <v>869</v>
      </c>
      <c r="F625" s="11" t="str">
        <f t="shared" si="7"/>
        <v>M_R22</v>
      </c>
      <c r="G625" s="3">
        <v>36.582000000000001</v>
      </c>
      <c r="H625" s="3">
        <f>IFERROR(INDEX('Tagging key'!D:D, MATCH(F625,'Tagging key'!C:C,0)),"")</f>
        <v>71.849999999999994</v>
      </c>
      <c r="I625" s="3">
        <f>IFERROR(INDEX('Tagging key'!E:E, MATCH(F625,'Tagging key'!C:C,0)),"")</f>
        <v>39.22</v>
      </c>
      <c r="J625" s="3">
        <f>IFERROR(INDEX('Tagging key'!F:F, MATCH(F625,'Tagging key'!C:C,0)),"")</f>
        <v>28.36</v>
      </c>
      <c r="K625" s="3">
        <v>37.055999999999997</v>
      </c>
      <c r="L625" s="3">
        <v>73.17</v>
      </c>
      <c r="M625" s="3">
        <v>36.049999999999997</v>
      </c>
      <c r="N625" s="3">
        <v>28.9</v>
      </c>
      <c r="O625" s="3"/>
      <c r="P625" s="22">
        <v>45877</v>
      </c>
      <c r="Q625" s="22">
        <v>45877</v>
      </c>
      <c r="R625" s="3"/>
    </row>
    <row r="626" spans="1:19" x14ac:dyDescent="0.25">
      <c r="A626" s="8">
        <v>18</v>
      </c>
      <c r="B626" s="8">
        <v>4</v>
      </c>
      <c r="C626" s="8" t="s">
        <v>248</v>
      </c>
      <c r="D626" s="8" t="s">
        <v>16</v>
      </c>
      <c r="E626" s="8" t="s">
        <v>948</v>
      </c>
      <c r="F626" s="8" t="str">
        <f t="shared" si="7"/>
        <v>O_W26</v>
      </c>
      <c r="G626" s="3">
        <v>28.143999999999998</v>
      </c>
      <c r="H626" s="3">
        <f>IFERROR(INDEX('Tagging key'!D:D, MATCH(F626,'Tagging key'!C:C,0)),"")</f>
        <v>62.44</v>
      </c>
      <c r="I626" s="3">
        <f>IFERROR(INDEX('Tagging key'!E:E, MATCH(F626,'Tagging key'!C:C,0)),"")</f>
        <v>47.04</v>
      </c>
      <c r="J626" s="3">
        <f>IFERROR(INDEX('Tagging key'!F:F, MATCH(F626,'Tagging key'!C:C,0)),"")</f>
        <v>16.27</v>
      </c>
      <c r="K626" s="3">
        <v>28.003</v>
      </c>
      <c r="L626" s="3">
        <v>62.69</v>
      </c>
      <c r="M626" s="3">
        <v>44.76</v>
      </c>
      <c r="N626" s="3">
        <v>16.96</v>
      </c>
      <c r="O626" s="3"/>
      <c r="P626" s="22">
        <v>45886</v>
      </c>
      <c r="Q626" s="22">
        <v>45886</v>
      </c>
      <c r="R626" s="3">
        <v>17.315000000000001</v>
      </c>
      <c r="S626" t="s">
        <v>920</v>
      </c>
    </row>
    <row r="627" spans="1:19" x14ac:dyDescent="0.25">
      <c r="A627" s="8">
        <v>18</v>
      </c>
      <c r="B627" s="8">
        <v>4</v>
      </c>
      <c r="C627" s="8" t="s">
        <v>248</v>
      </c>
      <c r="D627" s="8" t="s">
        <v>16</v>
      </c>
      <c r="E627" s="8" t="s">
        <v>949</v>
      </c>
      <c r="F627" s="8" t="str">
        <f t="shared" si="7"/>
        <v>O_R23</v>
      </c>
      <c r="G627" s="3">
        <v>30.251999999999999</v>
      </c>
      <c r="H627" s="3">
        <f>IFERROR(INDEX('Tagging key'!D:D, MATCH(F627,'Tagging key'!C:C,0)),"")</f>
        <v>61.89</v>
      </c>
      <c r="I627" s="3">
        <f>IFERROR(INDEX('Tagging key'!E:E, MATCH(F627,'Tagging key'!C:C,0)),"")</f>
        <v>57.9</v>
      </c>
      <c r="J627" s="3">
        <f>IFERROR(INDEX('Tagging key'!F:F, MATCH(F627,'Tagging key'!C:C,0)),"")</f>
        <v>23.35</v>
      </c>
      <c r="K627" s="3">
        <v>29.95</v>
      </c>
      <c r="L627" s="3">
        <v>69.45</v>
      </c>
      <c r="M627" s="3">
        <v>49.47</v>
      </c>
      <c r="N627" s="3">
        <v>18.170000000000002</v>
      </c>
      <c r="O627" s="3"/>
      <c r="P627" s="22">
        <v>45877</v>
      </c>
      <c r="Q627" s="22">
        <v>45877</v>
      </c>
      <c r="R627" s="3"/>
    </row>
    <row r="628" spans="1:19" x14ac:dyDescent="0.25">
      <c r="A628" s="8">
        <v>18</v>
      </c>
      <c r="B628" s="8">
        <v>4</v>
      </c>
      <c r="C628" s="8" t="s">
        <v>248</v>
      </c>
      <c r="D628" s="8" t="s">
        <v>16</v>
      </c>
      <c r="E628" s="8" t="s">
        <v>950</v>
      </c>
      <c r="F628" s="8" t="str">
        <f t="shared" si="7"/>
        <v>O_W11</v>
      </c>
      <c r="G628" s="3">
        <v>30.911999999999999</v>
      </c>
      <c r="H628" s="3">
        <f>IFERROR(INDEX('Tagging key'!D:D, MATCH(F628,'Tagging key'!C:C,0)),"")</f>
        <v>73.47</v>
      </c>
      <c r="I628" s="3">
        <f>IFERROR(INDEX('Tagging key'!E:E, MATCH(F628,'Tagging key'!C:C,0)),"")</f>
        <v>48.5</v>
      </c>
      <c r="J628" s="3">
        <f>IFERROR(INDEX('Tagging key'!F:F, MATCH(F628,'Tagging key'!C:C,0)),"")</f>
        <v>18.46</v>
      </c>
      <c r="K628" s="3">
        <v>30.713999999999999</v>
      </c>
      <c r="L628" s="3">
        <v>74.53</v>
      </c>
      <c r="M628" s="3">
        <v>44.89</v>
      </c>
      <c r="N628" s="3">
        <v>18.489999999999998</v>
      </c>
      <c r="O628" s="3"/>
      <c r="P628" s="22">
        <v>45879</v>
      </c>
      <c r="Q628" s="22">
        <v>45879</v>
      </c>
      <c r="R628" s="3"/>
    </row>
    <row r="629" spans="1:19" x14ac:dyDescent="0.25">
      <c r="A629" s="8">
        <v>18</v>
      </c>
      <c r="B629" s="8">
        <v>4</v>
      </c>
      <c r="C629" s="8" t="s">
        <v>248</v>
      </c>
      <c r="D629" s="8" t="s">
        <v>16</v>
      </c>
      <c r="E629" s="8" t="s">
        <v>951</v>
      </c>
      <c r="F629" s="8" t="str">
        <f t="shared" si="7"/>
        <v>O_W23</v>
      </c>
      <c r="G629" s="3">
        <v>31.408000000000001</v>
      </c>
      <c r="H629" s="3">
        <f>IFERROR(INDEX('Tagging key'!D:D, MATCH(F629,'Tagging key'!C:C,0)),"")</f>
        <v>60.3</v>
      </c>
      <c r="I629" s="3">
        <f>IFERROR(INDEX('Tagging key'!E:E, MATCH(F629,'Tagging key'!C:C,0)),"")</f>
        <v>41.76</v>
      </c>
      <c r="J629" s="3">
        <f>IFERROR(INDEX('Tagging key'!F:F, MATCH(F629,'Tagging key'!C:C,0)),"")</f>
        <v>14.73</v>
      </c>
      <c r="K629" s="3">
        <v>31.443000000000001</v>
      </c>
      <c r="L629" s="3">
        <v>60.1</v>
      </c>
      <c r="M629" s="3">
        <v>41.63</v>
      </c>
      <c r="N629" s="3">
        <v>17.22</v>
      </c>
      <c r="O629" s="3"/>
      <c r="P629" s="22">
        <v>45882</v>
      </c>
      <c r="Q629" s="22">
        <v>45882</v>
      </c>
      <c r="R629" s="3">
        <v>23.14</v>
      </c>
    </row>
    <row r="630" spans="1:19" x14ac:dyDescent="0.25">
      <c r="A630" s="9">
        <v>18</v>
      </c>
      <c r="B630" s="9">
        <v>5</v>
      </c>
      <c r="C630" s="9" t="s">
        <v>248</v>
      </c>
      <c r="D630" s="9" t="s">
        <v>16</v>
      </c>
      <c r="E630" s="9" t="s">
        <v>181</v>
      </c>
      <c r="F630" s="9" t="str">
        <f t="shared" si="7"/>
        <v>O_B36</v>
      </c>
      <c r="G630" s="3">
        <v>24.465</v>
      </c>
      <c r="H630" s="3">
        <f>IFERROR(INDEX('Tagging key'!D:D, MATCH(F630,'Tagging key'!C:C,0)),"")</f>
        <v>64.040000000000006</v>
      </c>
      <c r="I630" s="3">
        <f>IFERROR(INDEX('Tagging key'!E:E, MATCH(F630,'Tagging key'!C:C,0)),"")</f>
        <v>42.84</v>
      </c>
      <c r="J630" s="3">
        <f>IFERROR(INDEX('Tagging key'!F:F, MATCH(F630,'Tagging key'!C:C,0)),"")</f>
        <v>16.260000000000002</v>
      </c>
      <c r="K630" s="3">
        <v>24.361000000000001</v>
      </c>
      <c r="L630" s="3">
        <v>64.38</v>
      </c>
      <c r="M630" s="3">
        <v>38.06</v>
      </c>
      <c r="N630" s="3">
        <v>17.25</v>
      </c>
      <c r="O630" s="3"/>
      <c r="P630" s="22">
        <v>45882</v>
      </c>
      <c r="Q630" s="22">
        <v>45882</v>
      </c>
      <c r="R630" s="3">
        <v>17.588999999999999</v>
      </c>
    </row>
    <row r="631" spans="1:19" x14ac:dyDescent="0.25">
      <c r="A631" s="9">
        <v>18</v>
      </c>
      <c r="B631" s="9">
        <v>5</v>
      </c>
      <c r="C631" s="9" t="s">
        <v>248</v>
      </c>
      <c r="D631" s="9" t="s">
        <v>16</v>
      </c>
      <c r="E631" s="9" t="s">
        <v>587</v>
      </c>
      <c r="F631" s="9" t="str">
        <f>LEFT(D631,1)&amp;"_"&amp;E631</f>
        <v>O_R4</v>
      </c>
      <c r="G631" s="3">
        <v>34.343000000000004</v>
      </c>
      <c r="H631" s="3">
        <f>IFERROR(INDEX('Tagging key'!D:D, MATCH(F631,'Tagging key'!C:C,0)),"")</f>
        <v>68.27</v>
      </c>
      <c r="I631" s="3">
        <f>IFERROR(INDEX('Tagging key'!E:E, MATCH(F631,'Tagging key'!C:C,0)),"")</f>
        <v>41.27</v>
      </c>
      <c r="J631" s="3">
        <f>IFERROR(INDEX('Tagging key'!F:F, MATCH(F631,'Tagging key'!C:C,0)),"")</f>
        <v>20.03</v>
      </c>
      <c r="K631" s="3">
        <v>34.087000000000003</v>
      </c>
      <c r="L631" s="3">
        <v>68.73</v>
      </c>
      <c r="M631" s="3">
        <v>43.4</v>
      </c>
      <c r="N631" s="3">
        <v>20.260000000000002</v>
      </c>
      <c r="O631" s="3"/>
      <c r="P631" s="22">
        <v>45886</v>
      </c>
      <c r="Q631" s="22">
        <v>45886</v>
      </c>
      <c r="R631" s="3">
        <v>25.038</v>
      </c>
    </row>
    <row r="632" spans="1:19" x14ac:dyDescent="0.25">
      <c r="A632" s="9">
        <v>18</v>
      </c>
      <c r="B632" s="9">
        <v>5</v>
      </c>
      <c r="C632" s="9" t="s">
        <v>248</v>
      </c>
      <c r="D632" s="9" t="s">
        <v>16</v>
      </c>
      <c r="E632" s="9" t="s">
        <v>952</v>
      </c>
      <c r="F632" s="9" t="str">
        <f t="shared" si="7"/>
        <v>O_W34</v>
      </c>
      <c r="G632" s="3">
        <v>35.347999999999999</v>
      </c>
      <c r="H632" s="3">
        <f>IFERROR(INDEX('Tagging key'!D:D, MATCH(F632,'Tagging key'!C:C,0)),"")</f>
        <v>59.89</v>
      </c>
      <c r="I632" s="3">
        <f>IFERROR(INDEX('Tagging key'!E:E, MATCH(F632,'Tagging key'!C:C,0)),"")</f>
        <v>48.44</v>
      </c>
      <c r="J632" s="3">
        <f>IFERROR(INDEX('Tagging key'!F:F, MATCH(F632,'Tagging key'!C:C,0)),"")</f>
        <v>21.33</v>
      </c>
      <c r="K632" s="3">
        <v>34.954000000000001</v>
      </c>
      <c r="L632" s="3">
        <v>60.3</v>
      </c>
      <c r="M632" s="3">
        <v>49.57</v>
      </c>
      <c r="N632" s="3">
        <v>24.43</v>
      </c>
      <c r="O632" s="3"/>
      <c r="P632" s="22">
        <v>45879</v>
      </c>
      <c r="Q632" s="22">
        <v>45879</v>
      </c>
      <c r="R632" s="3"/>
    </row>
    <row r="633" spans="1:19" x14ac:dyDescent="0.25">
      <c r="A633" s="9">
        <v>18</v>
      </c>
      <c r="B633" s="9">
        <v>5</v>
      </c>
      <c r="C633" s="9" t="s">
        <v>248</v>
      </c>
      <c r="D633" s="9" t="s">
        <v>16</v>
      </c>
      <c r="E633" s="9" t="s">
        <v>421</v>
      </c>
      <c r="F633" s="9" t="str">
        <f t="shared" si="7"/>
        <v>O_R12</v>
      </c>
      <c r="G633" s="3">
        <v>24.684999999999999</v>
      </c>
      <c r="H633" s="3">
        <f>IFERROR(INDEX('Tagging key'!D:D, MATCH(F633,'Tagging key'!C:C,0)),"")</f>
        <v>65.48</v>
      </c>
      <c r="I633" s="3">
        <f>IFERROR(INDEX('Tagging key'!E:E, MATCH(F633,'Tagging key'!C:C,0)),"")</f>
        <v>44.69</v>
      </c>
      <c r="J633" s="3">
        <f>IFERROR(INDEX('Tagging key'!F:F, MATCH(F633,'Tagging key'!C:C,0)),"")</f>
        <v>16.559999999999999</v>
      </c>
      <c r="K633" s="3">
        <v>24.542000000000002</v>
      </c>
      <c r="L633" s="3">
        <v>66.44</v>
      </c>
      <c r="M633" s="3">
        <v>44.13</v>
      </c>
      <c r="N633" s="3">
        <v>17.55</v>
      </c>
      <c r="O633" s="3"/>
      <c r="P633" s="22">
        <v>45877</v>
      </c>
      <c r="Q633" s="22">
        <v>45877</v>
      </c>
      <c r="R633" s="3"/>
    </row>
    <row r="634" spans="1:19" x14ac:dyDescent="0.25">
      <c r="A634" s="8">
        <v>18</v>
      </c>
      <c r="B634" s="8">
        <v>6</v>
      </c>
      <c r="C634" s="8" t="s">
        <v>248</v>
      </c>
      <c r="D634" s="8" t="s">
        <v>16</v>
      </c>
      <c r="E634" s="8" t="s">
        <v>167</v>
      </c>
      <c r="F634" s="8" t="str">
        <f t="shared" si="7"/>
        <v>O_R58</v>
      </c>
      <c r="G634" s="3">
        <v>30.920999999999999</v>
      </c>
      <c r="H634" s="3">
        <f>IFERROR(INDEX('Tagging key'!D:D, MATCH(F634,'Tagging key'!C:C,0)),"")</f>
        <v>70.23</v>
      </c>
      <c r="I634" s="3">
        <f>IFERROR(INDEX('Tagging key'!E:E, MATCH(F634,'Tagging key'!C:C,0)),"")</f>
        <v>40.1</v>
      </c>
      <c r="J634" s="3">
        <f>IFERROR(INDEX('Tagging key'!F:F, MATCH(F634,'Tagging key'!C:C,0)),"")</f>
        <v>18.07</v>
      </c>
      <c r="K634" s="3">
        <v>30.538</v>
      </c>
      <c r="L634" s="3">
        <v>69.48</v>
      </c>
      <c r="M634" s="3">
        <v>39.799999999999997</v>
      </c>
      <c r="N634" s="3">
        <v>19.98</v>
      </c>
      <c r="O634" s="3"/>
      <c r="P634" s="22">
        <v>45882</v>
      </c>
      <c r="Q634" s="22">
        <v>45882</v>
      </c>
      <c r="R634" s="3">
        <v>21.405000000000001</v>
      </c>
    </row>
    <row r="635" spans="1:19" x14ac:dyDescent="0.25">
      <c r="A635" s="8">
        <v>18</v>
      </c>
      <c r="B635" s="8">
        <v>6</v>
      </c>
      <c r="C635" s="8" t="s">
        <v>248</v>
      </c>
      <c r="D635" s="8" t="s">
        <v>16</v>
      </c>
      <c r="E635" s="8" t="s">
        <v>953</v>
      </c>
      <c r="F635" s="8" t="str">
        <f t="shared" si="7"/>
        <v>O_W47</v>
      </c>
      <c r="G635" s="3">
        <v>20.187999999999999</v>
      </c>
      <c r="H635" s="3">
        <f>IFERROR(INDEX('Tagging key'!D:D, MATCH(F635,'Tagging key'!C:C,0)),"")</f>
        <v>62</v>
      </c>
      <c r="I635" s="3">
        <f>IFERROR(INDEX('Tagging key'!E:E, MATCH(F635,'Tagging key'!C:C,0)),"")</f>
        <v>38.14</v>
      </c>
      <c r="J635" s="3">
        <f>IFERROR(INDEX('Tagging key'!F:F, MATCH(F635,'Tagging key'!C:C,0)),"")</f>
        <v>16.510000000000002</v>
      </c>
      <c r="K635" s="3">
        <v>20.074000000000002</v>
      </c>
      <c r="L635" s="3">
        <v>63.25</v>
      </c>
      <c r="M635" s="3">
        <v>36.72</v>
      </c>
      <c r="N635" s="3">
        <v>17.7</v>
      </c>
      <c r="O635" s="3"/>
      <c r="P635" s="22">
        <v>45879</v>
      </c>
      <c r="Q635" s="22">
        <v>45879</v>
      </c>
      <c r="R635" s="3"/>
    </row>
    <row r="636" spans="1:19" x14ac:dyDescent="0.25">
      <c r="A636" s="8">
        <v>18</v>
      </c>
      <c r="B636" s="8">
        <v>6</v>
      </c>
      <c r="C636" s="8" t="s">
        <v>248</v>
      </c>
      <c r="D636" s="8" t="s">
        <v>16</v>
      </c>
      <c r="E636" s="8" t="s">
        <v>945</v>
      </c>
      <c r="F636" s="8" t="str">
        <f t="shared" si="7"/>
        <v>O_R32</v>
      </c>
      <c r="G636" s="3">
        <v>33.725000000000001</v>
      </c>
      <c r="H636" s="3">
        <f>IFERROR(INDEX('Tagging key'!D:D, MATCH(F636,'Tagging key'!C:C,0)),"")</f>
        <v>64.459999999999994</v>
      </c>
      <c r="I636" s="3">
        <f>IFERROR(INDEX('Tagging key'!E:E, MATCH(F636,'Tagging key'!C:C,0)),"")</f>
        <v>55.48</v>
      </c>
      <c r="J636" s="3">
        <f>IFERROR(INDEX('Tagging key'!F:F, MATCH(F636,'Tagging key'!C:C,0)),"")</f>
        <v>17.920000000000002</v>
      </c>
      <c r="K636" s="3">
        <v>33.374000000000002</v>
      </c>
      <c r="L636" s="3">
        <v>65.430000000000007</v>
      </c>
      <c r="M636" s="3">
        <v>47.15</v>
      </c>
      <c r="N636" s="3">
        <v>18.18</v>
      </c>
      <c r="O636" s="3"/>
      <c r="P636" s="22">
        <v>45886</v>
      </c>
      <c r="Q636" s="22">
        <v>45886</v>
      </c>
      <c r="R636" s="3">
        <v>22.366</v>
      </c>
    </row>
    <row r="637" spans="1:19" x14ac:dyDescent="0.25">
      <c r="A637" s="8">
        <v>18</v>
      </c>
      <c r="B637" s="8">
        <v>6</v>
      </c>
      <c r="C637" s="8" t="s">
        <v>248</v>
      </c>
      <c r="D637" s="8" t="s">
        <v>16</v>
      </c>
      <c r="E637" s="8" t="s">
        <v>194</v>
      </c>
      <c r="F637" s="8" t="str">
        <f t="shared" si="7"/>
        <v>O_R92</v>
      </c>
      <c r="G637" s="3">
        <v>38.645000000000003</v>
      </c>
      <c r="H637" s="3">
        <f>IFERROR(INDEX('Tagging key'!D:D, MATCH(F637,'Tagging key'!C:C,0)),"")</f>
        <v>71.09</v>
      </c>
      <c r="I637" s="3">
        <f>IFERROR(INDEX('Tagging key'!E:E, MATCH(F637,'Tagging key'!C:C,0)),"")</f>
        <v>44.23</v>
      </c>
      <c r="J637" s="3">
        <f>IFERROR(INDEX('Tagging key'!F:F, MATCH(F637,'Tagging key'!C:C,0)),"")</f>
        <v>16.79</v>
      </c>
      <c r="K637" s="3">
        <v>38.404000000000003</v>
      </c>
      <c r="L637" s="3">
        <v>70.08</v>
      </c>
      <c r="M637" s="3">
        <v>44.69</v>
      </c>
      <c r="N637" s="3">
        <v>11.45</v>
      </c>
      <c r="O637" s="3"/>
      <c r="P637" s="22">
        <v>45877</v>
      </c>
      <c r="Q637" s="22">
        <v>45877</v>
      </c>
      <c r="R637" s="3"/>
    </row>
    <row r="638" spans="1:19" x14ac:dyDescent="0.25">
      <c r="A638" s="13">
        <v>18</v>
      </c>
      <c r="B638" s="13">
        <v>7</v>
      </c>
      <c r="C638" s="13" t="s">
        <v>248</v>
      </c>
      <c r="D638" s="13" t="s">
        <v>72</v>
      </c>
      <c r="E638" s="13" t="s">
        <v>475</v>
      </c>
      <c r="F638" s="13" t="str">
        <f t="shared" si="7"/>
        <v>S_G12</v>
      </c>
      <c r="G638" s="3">
        <v>56.671999999999997</v>
      </c>
      <c r="H638" s="3">
        <f>IFERROR(INDEX('Tagging key'!D:D, MATCH(F638,'Tagging key'!C:C,0)),"")</f>
        <v>70.66</v>
      </c>
      <c r="I638" s="3">
        <f>IFERROR(INDEX('Tagging key'!E:E, MATCH(F638,'Tagging key'!C:C,0)),"")</f>
        <v>77.69</v>
      </c>
      <c r="J638" s="3">
        <f>IFERROR(INDEX('Tagging key'!F:F, MATCH(F638,'Tagging key'!C:C,0)),"")</f>
        <v>19.11</v>
      </c>
      <c r="K638" s="3">
        <v>52.247999999999998</v>
      </c>
      <c r="L638" s="3">
        <v>73.58</v>
      </c>
      <c r="M638" s="3">
        <v>80.66</v>
      </c>
      <c r="N638" s="3">
        <v>20.03</v>
      </c>
      <c r="O638" s="3"/>
      <c r="P638" s="22">
        <v>45879</v>
      </c>
      <c r="Q638" s="22">
        <v>45879</v>
      </c>
      <c r="R638" s="3"/>
    </row>
    <row r="639" spans="1:19" x14ac:dyDescent="0.25">
      <c r="A639" s="13">
        <v>18</v>
      </c>
      <c r="B639" s="13">
        <v>7</v>
      </c>
      <c r="C639" s="13" t="s">
        <v>248</v>
      </c>
      <c r="D639" s="13" t="s">
        <v>72</v>
      </c>
      <c r="E639" s="13" t="s">
        <v>954</v>
      </c>
      <c r="F639" s="13" t="str">
        <f t="shared" si="7"/>
        <v>S_G73</v>
      </c>
      <c r="G639" s="3">
        <v>43.182000000000002</v>
      </c>
      <c r="H639" s="3">
        <f>IFERROR(INDEX('Tagging key'!D:D, MATCH(F639,'Tagging key'!C:C,0)),"")</f>
        <v>63</v>
      </c>
      <c r="I639" s="3">
        <f>IFERROR(INDEX('Tagging key'!E:E, MATCH(F639,'Tagging key'!C:C,0)),"")</f>
        <v>71</v>
      </c>
      <c r="J639" s="3">
        <f>IFERROR(INDEX('Tagging key'!F:F, MATCH(F639,'Tagging key'!C:C,0)),"")</f>
        <v>18</v>
      </c>
      <c r="K639" s="3">
        <v>42.037999999999997</v>
      </c>
      <c r="L639" s="3">
        <v>64.41</v>
      </c>
      <c r="M639" s="3">
        <v>72.42</v>
      </c>
      <c r="N639" s="3">
        <v>19.13</v>
      </c>
      <c r="O639" s="3"/>
      <c r="P639" s="22">
        <v>45882</v>
      </c>
      <c r="Q639" s="22">
        <v>45882</v>
      </c>
      <c r="R639" s="3">
        <v>19.143999999999998</v>
      </c>
    </row>
    <row r="640" spans="1:19" x14ac:dyDescent="0.25">
      <c r="A640" s="13">
        <v>18</v>
      </c>
      <c r="B640" s="13">
        <v>7</v>
      </c>
      <c r="C640" s="13" t="s">
        <v>248</v>
      </c>
      <c r="D640" s="13" t="s">
        <v>72</v>
      </c>
      <c r="E640" s="13" t="s">
        <v>955</v>
      </c>
      <c r="F640" s="13" t="str">
        <f t="shared" si="7"/>
        <v>S_Y1</v>
      </c>
      <c r="G640" s="3">
        <v>57.280999999999999</v>
      </c>
      <c r="H640" s="3">
        <f>IFERROR(INDEX('Tagging key'!D:D, MATCH(F640,'Tagging key'!C:C,0)),"")</f>
        <v>76.66</v>
      </c>
      <c r="I640" s="3">
        <f>IFERROR(INDEX('Tagging key'!E:E, MATCH(F640,'Tagging key'!C:C,0)),"")</f>
        <v>80.23</v>
      </c>
      <c r="J640" s="3">
        <f>IFERROR(INDEX('Tagging key'!F:F, MATCH(F640,'Tagging key'!C:C,0)),"")</f>
        <v>18.309999999999999</v>
      </c>
      <c r="K640" s="3">
        <v>52.484000000000002</v>
      </c>
      <c r="L640" s="3">
        <v>78.98</v>
      </c>
      <c r="M640" s="3">
        <v>81.93</v>
      </c>
      <c r="N640" s="3">
        <v>19.829999999999998</v>
      </c>
      <c r="O640" s="3"/>
      <c r="P640" s="22">
        <v>45877</v>
      </c>
      <c r="Q640" s="22">
        <v>45877</v>
      </c>
      <c r="R640" s="3"/>
      <c r="S640" t="s">
        <v>956</v>
      </c>
    </row>
    <row r="641" spans="1:19" x14ac:dyDescent="0.25">
      <c r="A641" s="13">
        <v>18</v>
      </c>
      <c r="B641" s="13">
        <v>7</v>
      </c>
      <c r="C641" s="13" t="s">
        <v>248</v>
      </c>
      <c r="D641" s="13" t="s">
        <v>72</v>
      </c>
      <c r="E641" s="13" t="s">
        <v>957</v>
      </c>
      <c r="F641" s="13" t="str">
        <f t="shared" si="7"/>
        <v>S_G76</v>
      </c>
      <c r="G641" s="3">
        <v>45.454999999999998</v>
      </c>
      <c r="H641" s="3">
        <f>IFERROR(INDEX('Tagging key'!D:D, MATCH(F641,'Tagging key'!C:C,0)),"")</f>
        <v>73</v>
      </c>
      <c r="I641" s="3">
        <f>IFERROR(INDEX('Tagging key'!E:E, MATCH(F641,'Tagging key'!C:C,0)),"")</f>
        <v>73</v>
      </c>
      <c r="J641" s="3">
        <f>IFERROR(INDEX('Tagging key'!F:F, MATCH(F641,'Tagging key'!C:C,0)),"")</f>
        <v>18</v>
      </c>
      <c r="K641" s="3">
        <v>40.890999999999998</v>
      </c>
      <c r="L641" s="3">
        <v>72.459999999999994</v>
      </c>
      <c r="M641" s="3">
        <v>74.599999999999994</v>
      </c>
      <c r="N641" s="3">
        <v>19.16</v>
      </c>
      <c r="O641" s="3"/>
      <c r="P641" s="22">
        <v>45886</v>
      </c>
      <c r="Q641" s="22">
        <v>45886</v>
      </c>
      <c r="R641" s="3">
        <v>27.908999999999999</v>
      </c>
      <c r="S641" s="3">
        <v>17.335000000000001</v>
      </c>
    </row>
    <row r="642" spans="1:19" x14ac:dyDescent="0.25">
      <c r="A642" s="14">
        <v>18</v>
      </c>
      <c r="B642" s="14">
        <v>8</v>
      </c>
      <c r="C642" s="14" t="s">
        <v>248</v>
      </c>
      <c r="D642" s="14" t="s">
        <v>72</v>
      </c>
      <c r="E642" s="14" t="s">
        <v>809</v>
      </c>
      <c r="F642" s="14" t="str">
        <f t="shared" si="7"/>
        <v>S_G14</v>
      </c>
      <c r="G642" s="3">
        <v>49.314999999999998</v>
      </c>
      <c r="H642" s="3">
        <f>IFERROR(INDEX('Tagging key'!D:D, MATCH(F642,'Tagging key'!C:C,0)),"")</f>
        <v>71.86</v>
      </c>
      <c r="I642" s="3">
        <f>IFERROR(INDEX('Tagging key'!E:E, MATCH(F642,'Tagging key'!C:C,0)),"")</f>
        <v>75.09</v>
      </c>
      <c r="J642" s="3">
        <f>IFERROR(INDEX('Tagging key'!F:F, MATCH(F642,'Tagging key'!C:C,0)),"")</f>
        <v>18.489999999999998</v>
      </c>
      <c r="K642" s="3">
        <v>46.75</v>
      </c>
      <c r="L642" s="3">
        <v>72.510000000000005</v>
      </c>
      <c r="M642" s="3">
        <v>75.569999999999993</v>
      </c>
      <c r="N642" s="3">
        <v>18.93</v>
      </c>
      <c r="O642" s="3"/>
      <c r="P642" s="22">
        <v>45877</v>
      </c>
      <c r="Q642" s="22">
        <v>45877</v>
      </c>
      <c r="R642" s="3"/>
    </row>
    <row r="643" spans="1:19" x14ac:dyDescent="0.25">
      <c r="A643" s="14">
        <v>18</v>
      </c>
      <c r="B643" s="14">
        <v>8</v>
      </c>
      <c r="C643" s="14" t="s">
        <v>248</v>
      </c>
      <c r="D643" s="14" t="s">
        <v>72</v>
      </c>
      <c r="E643" s="14" t="s">
        <v>908</v>
      </c>
      <c r="F643" s="14" t="str">
        <f t="shared" si="7"/>
        <v>S_G19</v>
      </c>
      <c r="G643" s="3">
        <v>64.754999999999995</v>
      </c>
      <c r="H643" s="3">
        <f>IFERROR(INDEX('Tagging key'!D:D, MATCH(F643,'Tagging key'!C:C,0)),"")</f>
        <v>72.489999999999995</v>
      </c>
      <c r="I643" s="3">
        <f>IFERROR(INDEX('Tagging key'!E:E, MATCH(F643,'Tagging key'!C:C,0)),"")</f>
        <v>78.56</v>
      </c>
      <c r="J643" s="3">
        <f>IFERROR(INDEX('Tagging key'!F:F, MATCH(F643,'Tagging key'!C:C,0)),"")</f>
        <v>20.81</v>
      </c>
      <c r="K643" s="3">
        <v>62.296999999999997</v>
      </c>
      <c r="L643" s="3">
        <v>73.010000000000005</v>
      </c>
      <c r="M643" s="3">
        <v>79.540000000000006</v>
      </c>
      <c r="N643" s="3">
        <v>22.63</v>
      </c>
      <c r="O643" s="3"/>
      <c r="P643" s="22">
        <v>45882</v>
      </c>
      <c r="Q643" s="22">
        <v>45882</v>
      </c>
      <c r="R643" s="3">
        <v>28.001000000000001</v>
      </c>
    </row>
    <row r="644" spans="1:19" x14ac:dyDescent="0.25">
      <c r="A644" s="14">
        <v>18</v>
      </c>
      <c r="B644" s="14">
        <v>8</v>
      </c>
      <c r="C644" s="14" t="s">
        <v>248</v>
      </c>
      <c r="D644" s="14" t="s">
        <v>72</v>
      </c>
      <c r="E644" s="14" t="s">
        <v>958</v>
      </c>
      <c r="F644" s="14" t="str">
        <f t="shared" si="7"/>
        <v>S_W72</v>
      </c>
      <c r="G644" s="3">
        <v>60.183</v>
      </c>
      <c r="H644" s="3">
        <f>IFERROR(INDEX('Tagging key'!D:D, MATCH(F644,'Tagging key'!C:C,0)),"")</f>
        <v>72</v>
      </c>
      <c r="I644" s="3">
        <f>IFERROR(INDEX('Tagging key'!E:E, MATCH(F644,'Tagging key'!C:C,0)),"")</f>
        <v>77</v>
      </c>
      <c r="J644" s="3">
        <f>IFERROR(INDEX('Tagging key'!F:F, MATCH(F644,'Tagging key'!C:C,0)),"")</f>
        <v>20</v>
      </c>
      <c r="K644" s="3">
        <v>58.884999999999998</v>
      </c>
      <c r="L644" s="3">
        <v>72.040000000000006</v>
      </c>
      <c r="M644" s="3">
        <v>79.98</v>
      </c>
      <c r="N644" s="3">
        <v>22.75</v>
      </c>
      <c r="O644" s="3"/>
      <c r="P644" s="22">
        <v>45886</v>
      </c>
      <c r="Q644" s="22">
        <v>45886</v>
      </c>
      <c r="R644" s="3">
        <v>28.177</v>
      </c>
    </row>
    <row r="645" spans="1:19" x14ac:dyDescent="0.25">
      <c r="A645" s="14">
        <v>18</v>
      </c>
      <c r="B645" s="14">
        <v>8</v>
      </c>
      <c r="C645" s="14" t="s">
        <v>248</v>
      </c>
      <c r="D645" s="14" t="s">
        <v>72</v>
      </c>
      <c r="E645" s="14" t="s">
        <v>959</v>
      </c>
      <c r="F645" s="14" t="str">
        <f t="shared" si="7"/>
        <v>S_W98B</v>
      </c>
      <c r="G645" s="3">
        <v>66.027000000000001</v>
      </c>
      <c r="H645" s="3">
        <f>IFERROR(INDEX('Tagging key'!D:D, MATCH(F645,'Tagging key'!C:C,0)),"")</f>
        <v>78</v>
      </c>
      <c r="I645" s="3">
        <f>IFERROR(INDEX('Tagging key'!E:E, MATCH(F645,'Tagging key'!C:C,0)),"")</f>
        <v>80.5</v>
      </c>
      <c r="J645" s="3">
        <f>IFERROR(INDEX('Tagging key'!F:F, MATCH(F645,'Tagging key'!C:C,0)),"")</f>
        <v>22</v>
      </c>
      <c r="K645" s="3">
        <v>59.377000000000002</v>
      </c>
      <c r="L645" s="3">
        <v>79.430000000000007</v>
      </c>
      <c r="M645" s="3">
        <v>80.650000000000006</v>
      </c>
      <c r="N645" s="3">
        <v>23.54</v>
      </c>
      <c r="O645" s="3"/>
      <c r="P645" s="22">
        <v>45879</v>
      </c>
      <c r="Q645" s="22">
        <v>45879</v>
      </c>
      <c r="R645" s="3"/>
    </row>
    <row r="646" spans="1:19" x14ac:dyDescent="0.25">
      <c r="A646" s="13">
        <v>18</v>
      </c>
      <c r="B646" s="13">
        <v>9</v>
      </c>
      <c r="C646" s="13" t="s">
        <v>248</v>
      </c>
      <c r="D646" s="13" t="s">
        <v>72</v>
      </c>
      <c r="E646" s="13" t="s">
        <v>960</v>
      </c>
      <c r="F646" s="13" t="str">
        <f t="shared" si="7"/>
        <v>S_Y100</v>
      </c>
      <c r="G646" s="3">
        <v>58.515999999999998</v>
      </c>
      <c r="H646" s="3">
        <f>IFERROR(INDEX('Tagging key'!D:D, MATCH(F646,'Tagging key'!C:C,0)),"")</f>
        <v>75</v>
      </c>
      <c r="I646" s="3">
        <f>IFERROR(INDEX('Tagging key'!E:E, MATCH(F646,'Tagging key'!C:C,0)),"")</f>
        <v>80</v>
      </c>
      <c r="J646" s="3">
        <f>IFERROR(INDEX('Tagging key'!F:F, MATCH(F646,'Tagging key'!C:C,0)),"")</f>
        <v>20</v>
      </c>
      <c r="K646" s="3">
        <v>57.624000000000002</v>
      </c>
      <c r="L646" s="3">
        <v>75.61</v>
      </c>
      <c r="M646" s="3">
        <v>80.73</v>
      </c>
      <c r="N646" s="3">
        <v>21.26</v>
      </c>
      <c r="O646" s="3"/>
      <c r="P646" s="22">
        <v>45879</v>
      </c>
      <c r="Q646" s="22">
        <v>45879</v>
      </c>
      <c r="R646" s="3"/>
    </row>
    <row r="647" spans="1:19" x14ac:dyDescent="0.25">
      <c r="A647" s="13">
        <v>18</v>
      </c>
      <c r="B647" s="13">
        <v>9</v>
      </c>
      <c r="C647" s="13" t="s">
        <v>248</v>
      </c>
      <c r="D647" s="13" t="s">
        <v>72</v>
      </c>
      <c r="E647" s="13" t="s">
        <v>961</v>
      </c>
      <c r="F647" s="13" t="str">
        <f t="shared" si="7"/>
        <v>S_Y34</v>
      </c>
      <c r="G647" s="3">
        <v>71.872</v>
      </c>
      <c r="H647" s="3">
        <f>IFERROR(INDEX('Tagging key'!D:D, MATCH(F647,'Tagging key'!C:C,0)),"")</f>
        <v>75.5</v>
      </c>
      <c r="I647" s="3">
        <f>IFERROR(INDEX('Tagging key'!E:E, MATCH(F647,'Tagging key'!C:C,0)),"")</f>
        <v>81</v>
      </c>
      <c r="J647" s="3">
        <f>IFERROR(INDEX('Tagging key'!F:F, MATCH(F647,'Tagging key'!C:C,0)),"")</f>
        <v>23</v>
      </c>
      <c r="K647" s="3">
        <v>67.905000000000001</v>
      </c>
      <c r="L647" s="3">
        <v>76.67</v>
      </c>
      <c r="M647" s="3">
        <v>82.21</v>
      </c>
      <c r="N647" s="3">
        <v>23.54</v>
      </c>
      <c r="O647" s="3"/>
      <c r="P647" s="22">
        <v>45882</v>
      </c>
      <c r="Q647" s="22">
        <v>45882</v>
      </c>
      <c r="R647" s="3">
        <v>32.902000000000001</v>
      </c>
    </row>
    <row r="648" spans="1:19" x14ac:dyDescent="0.25">
      <c r="A648" s="13">
        <v>18</v>
      </c>
      <c r="B648" s="13">
        <v>9</v>
      </c>
      <c r="C648" s="13" t="s">
        <v>248</v>
      </c>
      <c r="D648" s="13" t="s">
        <v>72</v>
      </c>
      <c r="E648" s="13" t="s">
        <v>962</v>
      </c>
      <c r="F648" s="13" t="str">
        <f t="shared" si="7"/>
        <v>S_Y25</v>
      </c>
      <c r="G648" s="3">
        <v>46.802</v>
      </c>
      <c r="H648" s="3">
        <f>IFERROR(INDEX('Tagging key'!D:D, MATCH(F648,'Tagging key'!C:C,0)),"")</f>
        <v>71.5</v>
      </c>
      <c r="I648" s="3">
        <f>IFERROR(INDEX('Tagging key'!E:E, MATCH(F648,'Tagging key'!C:C,0)),"")</f>
        <v>72.5</v>
      </c>
      <c r="J648" s="3">
        <f>IFERROR(INDEX('Tagging key'!F:F, MATCH(F648,'Tagging key'!C:C,0)),"")</f>
        <v>18</v>
      </c>
      <c r="K648" s="3">
        <v>45.000999999999998</v>
      </c>
      <c r="L648" s="3">
        <v>68.92</v>
      </c>
      <c r="M648" s="3">
        <v>68.87</v>
      </c>
      <c r="N648" s="3">
        <v>15.09</v>
      </c>
      <c r="O648" s="3"/>
      <c r="P648" s="22">
        <v>45877</v>
      </c>
      <c r="Q648" s="22">
        <v>45877</v>
      </c>
      <c r="R648" s="3"/>
    </row>
    <row r="649" spans="1:19" x14ac:dyDescent="0.25">
      <c r="A649" s="13">
        <v>18</v>
      </c>
      <c r="B649" s="13">
        <v>9</v>
      </c>
      <c r="C649" s="13" t="s">
        <v>248</v>
      </c>
      <c r="D649" s="13" t="s">
        <v>72</v>
      </c>
      <c r="E649" s="13" t="s">
        <v>963</v>
      </c>
      <c r="F649" s="13" t="str">
        <f t="shared" si="7"/>
        <v>S_G84</v>
      </c>
      <c r="G649" s="3">
        <v>53.701999999999998</v>
      </c>
      <c r="H649" s="3">
        <f>IFERROR(INDEX('Tagging key'!D:D, MATCH(F649,'Tagging key'!C:C,0)),"")</f>
        <v>74</v>
      </c>
      <c r="I649" s="3">
        <f>IFERROR(INDEX('Tagging key'!E:E, MATCH(F649,'Tagging key'!C:C,0)),"")</f>
        <v>77</v>
      </c>
      <c r="J649" s="3">
        <f>IFERROR(INDEX('Tagging key'!F:F, MATCH(F649,'Tagging key'!C:C,0)),"")</f>
        <v>18</v>
      </c>
      <c r="K649" s="3">
        <v>49.198999999999998</v>
      </c>
      <c r="L649" s="3">
        <v>75</v>
      </c>
      <c r="M649" s="3">
        <v>76.86</v>
      </c>
      <c r="N649" s="3">
        <v>20.38</v>
      </c>
      <c r="O649" s="3"/>
      <c r="P649" s="22">
        <v>45886</v>
      </c>
      <c r="Q649" s="22">
        <v>45886</v>
      </c>
      <c r="R649" s="3"/>
    </row>
    <row r="650" spans="1:19" x14ac:dyDescent="0.25">
      <c r="A650" s="11">
        <v>19</v>
      </c>
      <c r="B650" s="11">
        <v>1</v>
      </c>
      <c r="C650" s="11" t="s">
        <v>105</v>
      </c>
      <c r="D650" s="11" t="s">
        <v>964</v>
      </c>
      <c r="E650" s="11" t="s">
        <v>368</v>
      </c>
      <c r="F650" s="11" t="str">
        <f t="shared" si="7"/>
        <v>M_R59</v>
      </c>
      <c r="G650" s="3">
        <v>63.999000000000002</v>
      </c>
      <c r="H650" s="3">
        <f>IFERROR(INDEX('Tagging key'!D:D, MATCH(F650,'Tagging key'!C:C,0)),"")</f>
        <v>88.95</v>
      </c>
      <c r="I650" s="3">
        <f>IFERROR(INDEX('Tagging key'!E:E, MATCH(F650,'Tagging key'!C:C,0)),"")</f>
        <v>40.29</v>
      </c>
      <c r="J650" s="3">
        <f>IFERROR(INDEX('Tagging key'!F:F, MATCH(F650,'Tagging key'!C:C,0)),"")</f>
        <v>34.25</v>
      </c>
      <c r="K650" s="3">
        <v>63.755000000000003</v>
      </c>
      <c r="L650" s="3">
        <v>89.3</v>
      </c>
      <c r="M650" s="3">
        <v>38.58</v>
      </c>
      <c r="N650" s="3">
        <v>34.5</v>
      </c>
      <c r="O650" s="3"/>
      <c r="P650" s="22">
        <v>45877</v>
      </c>
      <c r="Q650" s="22">
        <v>45877</v>
      </c>
      <c r="R650" s="3"/>
    </row>
    <row r="651" spans="1:19" x14ac:dyDescent="0.25">
      <c r="A651" s="11">
        <v>19</v>
      </c>
      <c r="B651" s="11">
        <v>1</v>
      </c>
      <c r="C651" s="11" t="s">
        <v>105</v>
      </c>
      <c r="D651" s="11" t="s">
        <v>964</v>
      </c>
      <c r="E651" s="11" t="s">
        <v>924</v>
      </c>
      <c r="F651" s="11" t="str">
        <f t="shared" si="7"/>
        <v>M_B81</v>
      </c>
      <c r="G651" s="3">
        <v>56.43</v>
      </c>
      <c r="H651" s="3">
        <f>IFERROR(INDEX('Tagging key'!D:D, MATCH(F651,'Tagging key'!C:C,0)),"")</f>
        <v>82</v>
      </c>
      <c r="I651" s="3">
        <f>IFERROR(INDEX('Tagging key'!E:E, MATCH(F651,'Tagging key'!C:C,0)),"")</f>
        <v>40</v>
      </c>
      <c r="J651" s="3">
        <f>IFERROR(INDEX('Tagging key'!F:F, MATCH(F651,'Tagging key'!C:C,0)),"")</f>
        <v>31</v>
      </c>
      <c r="K651" s="3">
        <v>56.859000000000002</v>
      </c>
      <c r="L651" s="3">
        <v>82.77</v>
      </c>
      <c r="M651" s="3">
        <v>40.840000000000003</v>
      </c>
      <c r="N651" s="3">
        <v>32.14</v>
      </c>
      <c r="O651" s="3"/>
      <c r="P651" s="22">
        <v>45886</v>
      </c>
      <c r="Q651" s="22">
        <v>45886</v>
      </c>
      <c r="R651" s="3">
        <v>19.045000000000002</v>
      </c>
    </row>
    <row r="652" spans="1:19" x14ac:dyDescent="0.25">
      <c r="A652" s="11">
        <v>19</v>
      </c>
      <c r="B652" s="11">
        <v>1</v>
      </c>
      <c r="C652" s="11" t="s">
        <v>105</v>
      </c>
      <c r="D652" s="11" t="s">
        <v>964</v>
      </c>
      <c r="E652" s="11" t="s">
        <v>942</v>
      </c>
      <c r="F652" s="11" t="str">
        <f t="shared" si="7"/>
        <v>M_G29</v>
      </c>
      <c r="G652" s="3">
        <v>38.332999999999998</v>
      </c>
      <c r="H652" s="3">
        <f>IFERROR(INDEX('Tagging key'!D:D, MATCH(F652,'Tagging key'!C:C,0)),"")</f>
        <v>78</v>
      </c>
      <c r="I652" s="3">
        <f>IFERROR(INDEX('Tagging key'!E:E, MATCH(F652,'Tagging key'!C:C,0)),"")</f>
        <v>35</v>
      </c>
      <c r="J652" s="3">
        <f>IFERROR(INDEX('Tagging key'!F:F, MATCH(F652,'Tagging key'!C:C,0)),"")</f>
        <v>25</v>
      </c>
      <c r="K652" s="3">
        <v>38.578000000000003</v>
      </c>
      <c r="L652" s="3">
        <v>78.930000000000007</v>
      </c>
      <c r="M652" s="3">
        <v>38.79</v>
      </c>
      <c r="N652" s="3">
        <v>25.26</v>
      </c>
      <c r="O652" s="3"/>
      <c r="P652" s="22">
        <v>45879</v>
      </c>
      <c r="Q652" s="22">
        <v>45879</v>
      </c>
      <c r="R652" s="3"/>
    </row>
    <row r="653" spans="1:19" x14ac:dyDescent="0.25">
      <c r="A653" s="11">
        <v>19</v>
      </c>
      <c r="B653" s="11">
        <v>1</v>
      </c>
      <c r="C653" s="11" t="s">
        <v>105</v>
      </c>
      <c r="D653" s="11" t="s">
        <v>964</v>
      </c>
      <c r="E653" s="11" t="s">
        <v>131</v>
      </c>
      <c r="F653" s="11" t="str">
        <f t="shared" si="7"/>
        <v>M_G13</v>
      </c>
      <c r="G653" s="3">
        <v>48.588000000000001</v>
      </c>
      <c r="H653" s="3">
        <f>IFERROR(INDEX('Tagging key'!D:D, MATCH(F653,'Tagging key'!C:C,0)),"")</f>
        <v>76</v>
      </c>
      <c r="I653" s="3">
        <f>IFERROR(INDEX('Tagging key'!E:E, MATCH(F653,'Tagging key'!C:C,0)),"")</f>
        <v>39</v>
      </c>
      <c r="J653" s="3">
        <f>IFERROR(INDEX('Tagging key'!F:F, MATCH(F653,'Tagging key'!C:C,0)),"")</f>
        <v>28</v>
      </c>
      <c r="K653" s="3">
        <v>48.415999999999997</v>
      </c>
      <c r="L653" s="3">
        <v>76.03</v>
      </c>
      <c r="M653" s="3">
        <v>39.56</v>
      </c>
      <c r="N653" s="3">
        <v>29.82</v>
      </c>
      <c r="O653" s="3"/>
      <c r="P653" s="22">
        <v>45882</v>
      </c>
      <c r="Q653" s="22">
        <v>45882</v>
      </c>
      <c r="R653" s="3">
        <v>19.437999999999999</v>
      </c>
    </row>
    <row r="654" spans="1:19" x14ac:dyDescent="0.25">
      <c r="A654" s="12">
        <v>19</v>
      </c>
      <c r="B654" s="12">
        <v>2</v>
      </c>
      <c r="C654" s="12" t="s">
        <v>105</v>
      </c>
      <c r="D654" s="12" t="s">
        <v>964</v>
      </c>
      <c r="E654" s="12" t="s">
        <v>866</v>
      </c>
      <c r="F654" s="12" t="str">
        <f t="shared" si="7"/>
        <v>M_R72</v>
      </c>
      <c r="G654" s="3">
        <v>49.853000000000002</v>
      </c>
      <c r="H654" s="3">
        <f>IFERROR(INDEX('Tagging key'!D:D, MATCH(F654,'Tagging key'!C:C,0)),"")</f>
        <v>79.680000000000007</v>
      </c>
      <c r="I654" s="3">
        <f>IFERROR(INDEX('Tagging key'!E:E, MATCH(F654,'Tagging key'!C:C,0)),"")</f>
        <v>45.4</v>
      </c>
      <c r="J654" s="3">
        <f>IFERROR(INDEX('Tagging key'!F:F, MATCH(F654,'Tagging key'!C:C,0)),"")</f>
        <v>29.6</v>
      </c>
      <c r="K654" s="3">
        <v>49.75</v>
      </c>
      <c r="L654" s="3">
        <v>79.819999999999993</v>
      </c>
      <c r="M654" s="3">
        <v>40.6</v>
      </c>
      <c r="N654" s="3">
        <v>31.14</v>
      </c>
      <c r="O654" s="3"/>
      <c r="P654" s="22">
        <v>45877</v>
      </c>
      <c r="Q654" s="22">
        <v>45877</v>
      </c>
      <c r="R654" s="3"/>
    </row>
    <row r="655" spans="1:19" x14ac:dyDescent="0.25">
      <c r="A655" s="12">
        <v>19</v>
      </c>
      <c r="B655" s="12">
        <v>2</v>
      </c>
      <c r="C655" s="12" t="s">
        <v>105</v>
      </c>
      <c r="D655" s="12" t="s">
        <v>964</v>
      </c>
      <c r="E655" s="12" t="s">
        <v>540</v>
      </c>
      <c r="F655" s="12" t="str">
        <f t="shared" si="7"/>
        <v>M_B49</v>
      </c>
      <c r="G655" s="3">
        <v>51.619</v>
      </c>
      <c r="H655" s="3">
        <f>IFERROR(INDEX('Tagging key'!D:D, MATCH(F655,'Tagging key'!C:C,0)),"")</f>
        <v>80</v>
      </c>
      <c r="I655" s="3">
        <f>IFERROR(INDEX('Tagging key'!E:E, MATCH(F655,'Tagging key'!C:C,0)),"")</f>
        <v>38</v>
      </c>
      <c r="J655" s="3">
        <f>IFERROR(INDEX('Tagging key'!F:F, MATCH(F655,'Tagging key'!C:C,0)),"")</f>
        <v>29</v>
      </c>
      <c r="K655" s="3">
        <v>52.084000000000003</v>
      </c>
      <c r="L655" s="3">
        <v>81.78</v>
      </c>
      <c r="M655" s="3">
        <v>39.450000000000003</v>
      </c>
      <c r="N655" s="3">
        <v>29.82</v>
      </c>
      <c r="O655" s="3"/>
      <c r="P655" s="22">
        <v>45879</v>
      </c>
      <c r="Q655" s="22">
        <v>45879</v>
      </c>
      <c r="R655" s="3"/>
    </row>
    <row r="656" spans="1:19" x14ac:dyDescent="0.25">
      <c r="A656" s="12">
        <v>19</v>
      </c>
      <c r="B656" s="12">
        <v>2</v>
      </c>
      <c r="C656" s="12" t="s">
        <v>105</v>
      </c>
      <c r="D656" s="12" t="s">
        <v>964</v>
      </c>
      <c r="E656" s="12" t="s">
        <v>965</v>
      </c>
      <c r="F656" s="12" t="str">
        <f t="shared" si="7"/>
        <v>M_R5</v>
      </c>
      <c r="G656" s="3">
        <v>55.287999999999997</v>
      </c>
      <c r="H656" s="3">
        <f>IFERROR(INDEX('Tagging key'!D:D, MATCH(F656,'Tagging key'!C:C,0)),"")</f>
        <v>80.12</v>
      </c>
      <c r="I656" s="3">
        <f>IFERROR(INDEX('Tagging key'!E:E, MATCH(F656,'Tagging key'!C:C,0)),"")</f>
        <v>40.85</v>
      </c>
      <c r="J656" s="3">
        <f>IFERROR(INDEX('Tagging key'!F:F, MATCH(F656,'Tagging key'!C:C,0)),"")</f>
        <v>33.479999999999997</v>
      </c>
      <c r="K656" s="3">
        <v>55.262</v>
      </c>
      <c r="L656" s="3">
        <v>80.16</v>
      </c>
      <c r="M656" s="3">
        <v>35.71</v>
      </c>
      <c r="N656" s="3">
        <v>32.97</v>
      </c>
      <c r="O656" s="3"/>
      <c r="P656" s="22">
        <v>45886</v>
      </c>
      <c r="Q656" s="22">
        <v>45886</v>
      </c>
      <c r="R656" s="3">
        <v>22.353999999999999</v>
      </c>
      <c r="S656" t="s">
        <v>718</v>
      </c>
    </row>
    <row r="657" spans="1:18" x14ac:dyDescent="0.25">
      <c r="A657" s="12">
        <v>19</v>
      </c>
      <c r="B657" s="12">
        <v>2</v>
      </c>
      <c r="C657" s="12" t="s">
        <v>105</v>
      </c>
      <c r="D657" s="12" t="s">
        <v>964</v>
      </c>
      <c r="E657" s="12" t="s">
        <v>921</v>
      </c>
      <c r="F657" s="12" t="str">
        <f t="shared" si="7"/>
        <v>M_R48</v>
      </c>
      <c r="G657" s="3">
        <v>45.328000000000003</v>
      </c>
      <c r="H657" s="3">
        <f>IFERROR(INDEX('Tagging key'!D:D, MATCH(F657,'Tagging key'!C:C,0)),"")</f>
        <v>79.739999999999995</v>
      </c>
      <c r="I657" s="3">
        <f>IFERROR(INDEX('Tagging key'!E:E, MATCH(F657,'Tagging key'!C:C,0)),"")</f>
        <v>40.96</v>
      </c>
      <c r="J657" s="3">
        <f>IFERROR(INDEX('Tagging key'!F:F, MATCH(F657,'Tagging key'!C:C,0)),"")</f>
        <v>28.79</v>
      </c>
      <c r="K657" s="3">
        <v>46.084000000000003</v>
      </c>
      <c r="L657" s="3">
        <v>79.53</v>
      </c>
      <c r="M657" s="3">
        <v>38.54</v>
      </c>
      <c r="N657" s="3">
        <v>28.62</v>
      </c>
      <c r="O657" s="3"/>
      <c r="P657" s="22">
        <v>45882</v>
      </c>
      <c r="Q657" s="22">
        <v>45882</v>
      </c>
      <c r="R657" s="3">
        <v>15.534000000000001</v>
      </c>
    </row>
    <row r="658" spans="1:18" x14ac:dyDescent="0.25">
      <c r="A658" s="11">
        <v>19</v>
      </c>
      <c r="B658" s="11">
        <v>3</v>
      </c>
      <c r="C658" s="11" t="s">
        <v>105</v>
      </c>
      <c r="D658" s="11" t="s">
        <v>964</v>
      </c>
      <c r="E658" s="11" t="s">
        <v>682</v>
      </c>
      <c r="F658" s="11" t="str">
        <f t="shared" si="7"/>
        <v>M_B22</v>
      </c>
      <c r="G658" s="3">
        <v>42.665999999999997</v>
      </c>
      <c r="H658" s="3">
        <f>IFERROR(INDEX('Tagging key'!D:D, MATCH(F658,'Tagging key'!C:C,0)),"")</f>
        <v>78</v>
      </c>
      <c r="I658" s="3">
        <f>IFERROR(INDEX('Tagging key'!E:E, MATCH(F658,'Tagging key'!C:C,0)),"")</f>
        <v>37</v>
      </c>
      <c r="J658" s="3">
        <f>IFERROR(INDEX('Tagging key'!F:F, MATCH(F658,'Tagging key'!C:C,0)),"")</f>
        <v>26</v>
      </c>
      <c r="K658" s="3">
        <v>43.052</v>
      </c>
      <c r="L658" s="3">
        <v>79.23</v>
      </c>
      <c r="M658" s="3">
        <v>38.94</v>
      </c>
      <c r="N658" s="3">
        <v>26.35</v>
      </c>
      <c r="O658" s="3"/>
      <c r="P658" s="22">
        <v>45886</v>
      </c>
      <c r="Q658" s="22">
        <v>45886</v>
      </c>
      <c r="R658" s="3"/>
    </row>
    <row r="659" spans="1:18" x14ac:dyDescent="0.25">
      <c r="A659" s="11">
        <v>19</v>
      </c>
      <c r="B659" s="11">
        <v>3</v>
      </c>
      <c r="C659" s="11" t="s">
        <v>105</v>
      </c>
      <c r="D659" s="11" t="s">
        <v>964</v>
      </c>
      <c r="E659" s="11" t="s">
        <v>867</v>
      </c>
      <c r="F659" s="11" t="str">
        <f t="shared" si="7"/>
        <v>M_R34</v>
      </c>
      <c r="G659" s="3">
        <v>33.585999999999999</v>
      </c>
      <c r="H659" s="3">
        <f>IFERROR(INDEX('Tagging key'!D:D, MATCH(F659,'Tagging key'!C:C,0)),"")</f>
        <v>71</v>
      </c>
      <c r="I659" s="3">
        <f>IFERROR(INDEX('Tagging key'!E:E, MATCH(F659,'Tagging key'!C:C,0)),"")</f>
        <v>40.21</v>
      </c>
      <c r="J659" s="3">
        <f>IFERROR(INDEX('Tagging key'!F:F, MATCH(F659,'Tagging key'!C:C,0)),"")</f>
        <v>24.98</v>
      </c>
      <c r="K659" s="3">
        <v>34.487000000000002</v>
      </c>
      <c r="L659" s="3">
        <v>71.819999999999993</v>
      </c>
      <c r="M659" s="3">
        <v>39.01</v>
      </c>
      <c r="N659" s="3">
        <v>26.76</v>
      </c>
      <c r="O659" s="3"/>
      <c r="P659" s="22">
        <v>45877</v>
      </c>
      <c r="Q659" s="22">
        <v>45877</v>
      </c>
      <c r="R659" s="3"/>
    </row>
    <row r="660" spans="1:18" x14ac:dyDescent="0.25">
      <c r="A660" s="11">
        <v>19</v>
      </c>
      <c r="B660" s="11">
        <v>3</v>
      </c>
      <c r="C660" s="11" t="s">
        <v>105</v>
      </c>
      <c r="D660" s="11" t="s">
        <v>964</v>
      </c>
      <c r="E660" s="11" t="s">
        <v>949</v>
      </c>
      <c r="F660" s="11" t="str">
        <f t="shared" si="7"/>
        <v>M_R23</v>
      </c>
      <c r="G660" s="3">
        <v>37.557000000000002</v>
      </c>
      <c r="H660" s="3">
        <f>IFERROR(INDEX('Tagging key'!D:D, MATCH(F660,'Tagging key'!C:C,0)),"")</f>
        <v>74.09</v>
      </c>
      <c r="I660" s="3">
        <f>IFERROR(INDEX('Tagging key'!E:E, MATCH(F660,'Tagging key'!C:C,0)),"")</f>
        <v>36.81</v>
      </c>
      <c r="J660" s="3">
        <f>IFERROR(INDEX('Tagging key'!F:F, MATCH(F660,'Tagging key'!C:C,0)),"")</f>
        <v>28.26</v>
      </c>
      <c r="K660" s="3">
        <v>37.6</v>
      </c>
      <c r="L660" s="3">
        <v>74.510000000000005</v>
      </c>
      <c r="M660" s="3">
        <v>35.35</v>
      </c>
      <c r="N660" s="3">
        <v>29.48</v>
      </c>
      <c r="O660" s="3"/>
      <c r="P660" s="22">
        <v>45879</v>
      </c>
      <c r="Q660" s="22">
        <v>45879</v>
      </c>
      <c r="R660" s="3"/>
    </row>
    <row r="661" spans="1:18" x14ac:dyDescent="0.25">
      <c r="A661" s="11">
        <v>19</v>
      </c>
      <c r="B661" s="11">
        <v>3</v>
      </c>
      <c r="C661" s="11" t="s">
        <v>105</v>
      </c>
      <c r="D661" s="11" t="s">
        <v>964</v>
      </c>
      <c r="E661" s="11" t="s">
        <v>618</v>
      </c>
      <c r="F661" s="11" t="str">
        <f t="shared" si="7"/>
        <v>M_R54</v>
      </c>
      <c r="G661" s="3">
        <v>52.168999999999997</v>
      </c>
      <c r="H661" s="3">
        <f>IFERROR(INDEX('Tagging key'!D:D, MATCH(F661,'Tagging key'!C:C,0)),"")</f>
        <v>85.19</v>
      </c>
      <c r="I661" s="3">
        <f>IFERROR(INDEX('Tagging key'!E:E, MATCH(F661,'Tagging key'!C:C,0)),"")</f>
        <v>40.549999999999997</v>
      </c>
      <c r="J661" s="3">
        <f>IFERROR(INDEX('Tagging key'!F:F, MATCH(F661,'Tagging key'!C:C,0)),"")</f>
        <v>30.93</v>
      </c>
      <c r="K661" s="3">
        <v>52.963999999999999</v>
      </c>
      <c r="L661" s="3">
        <v>84.76</v>
      </c>
      <c r="M661" s="3">
        <v>39.03</v>
      </c>
      <c r="N661" s="3">
        <v>31.77</v>
      </c>
      <c r="O661" s="3"/>
      <c r="P661" s="22">
        <v>45882</v>
      </c>
      <c r="Q661" s="22">
        <v>45882</v>
      </c>
      <c r="R661" s="3">
        <v>17.373000000000001</v>
      </c>
    </row>
    <row r="662" spans="1:18" x14ac:dyDescent="0.25">
      <c r="A662" s="13">
        <v>19</v>
      </c>
      <c r="B662" s="13">
        <v>4</v>
      </c>
      <c r="C662" s="13" t="s">
        <v>105</v>
      </c>
      <c r="D662" s="13" t="s">
        <v>72</v>
      </c>
      <c r="E662" s="13" t="s">
        <v>163</v>
      </c>
      <c r="F662" s="13" t="str">
        <f t="shared" si="7"/>
        <v>S_G22</v>
      </c>
      <c r="G662" s="3">
        <v>43.63</v>
      </c>
      <c r="H662" s="3">
        <f>IFERROR(INDEX('Tagging key'!D:D, MATCH(F662,'Tagging key'!C:C,0)),"")</f>
        <v>65.37</v>
      </c>
      <c r="I662" s="3">
        <f>IFERROR(INDEX('Tagging key'!E:E, MATCH(F662,'Tagging key'!C:C,0)),"")</f>
        <v>69.959999999999994</v>
      </c>
      <c r="J662" s="3">
        <f>IFERROR(INDEX('Tagging key'!F:F, MATCH(F662,'Tagging key'!C:C,0)),"")</f>
        <v>20.46</v>
      </c>
      <c r="K662" s="3">
        <v>41.393000000000001</v>
      </c>
      <c r="L662" s="3">
        <v>65.7</v>
      </c>
      <c r="M662" s="3">
        <v>70.44</v>
      </c>
      <c r="N662" s="3">
        <v>20.76</v>
      </c>
      <c r="O662" s="3"/>
      <c r="P662" s="22">
        <v>45877</v>
      </c>
      <c r="Q662" s="22">
        <v>45877</v>
      </c>
      <c r="R662" s="3"/>
    </row>
    <row r="663" spans="1:18" x14ac:dyDescent="0.25">
      <c r="A663" s="13">
        <v>19</v>
      </c>
      <c r="B663" s="13">
        <v>4</v>
      </c>
      <c r="C663" s="13" t="s">
        <v>105</v>
      </c>
      <c r="D663" s="13" t="s">
        <v>72</v>
      </c>
      <c r="E663" s="13" t="s">
        <v>966</v>
      </c>
      <c r="F663" s="13" t="str">
        <f t="shared" ref="F663:F721" si="8">LEFT(D663,1)&amp;"_"&amp;E663</f>
        <v>S_Y48</v>
      </c>
      <c r="G663" s="3">
        <v>54.948</v>
      </c>
      <c r="H663" s="3">
        <f>IFERROR(INDEX('Tagging key'!D:D, MATCH(F663,'Tagging key'!C:C,0)),"")</f>
        <v>76</v>
      </c>
      <c r="I663" s="3">
        <f>IFERROR(INDEX('Tagging key'!E:E, MATCH(F663,'Tagging key'!C:C,0)),"")</f>
        <v>78</v>
      </c>
      <c r="J663" s="3">
        <f>IFERROR(INDEX('Tagging key'!F:F, MATCH(F663,'Tagging key'!C:C,0)),"")</f>
        <v>19</v>
      </c>
      <c r="K663" s="3">
        <v>50.064999999999998</v>
      </c>
      <c r="L663" s="3">
        <v>76.12</v>
      </c>
      <c r="M663" s="3">
        <v>79.14</v>
      </c>
      <c r="N663" s="3">
        <v>21.16</v>
      </c>
      <c r="O663" s="3"/>
      <c r="P663" s="22">
        <v>45886</v>
      </c>
      <c r="Q663" s="22">
        <v>45886</v>
      </c>
      <c r="R663" s="3">
        <v>22.440999999999999</v>
      </c>
    </row>
    <row r="664" spans="1:18" x14ac:dyDescent="0.25">
      <c r="A664" s="13">
        <v>19</v>
      </c>
      <c r="B664" s="13">
        <v>4</v>
      </c>
      <c r="C664" s="13" t="s">
        <v>105</v>
      </c>
      <c r="D664" s="13" t="s">
        <v>72</v>
      </c>
      <c r="E664" s="13" t="s">
        <v>967</v>
      </c>
      <c r="F664" s="13" t="str">
        <f t="shared" si="8"/>
        <v>S_G93</v>
      </c>
      <c r="G664" s="3">
        <v>56.856000000000002</v>
      </c>
      <c r="H664" s="3">
        <f>IFERROR(INDEX('Tagging key'!D:D, MATCH(F664,'Tagging key'!C:C,0)),"")</f>
        <v>74</v>
      </c>
      <c r="I664" s="3">
        <f>IFERROR(INDEX('Tagging key'!E:E, MATCH(F664,'Tagging key'!C:C,0)),"")</f>
        <v>77</v>
      </c>
      <c r="J664" s="3">
        <f>IFERROR(INDEX('Tagging key'!F:F, MATCH(F664,'Tagging key'!C:C,0)),"")</f>
        <v>19</v>
      </c>
      <c r="K664" s="3">
        <v>54.01</v>
      </c>
      <c r="L664" s="3">
        <v>77.239999999999995</v>
      </c>
      <c r="M664" s="3">
        <v>79.28</v>
      </c>
      <c r="N664" s="3">
        <v>20.61</v>
      </c>
      <c r="O664" s="3"/>
      <c r="P664" s="22">
        <v>45882</v>
      </c>
      <c r="Q664" s="22">
        <v>45882</v>
      </c>
      <c r="R664" s="3">
        <v>23.366</v>
      </c>
    </row>
    <row r="665" spans="1:18" x14ac:dyDescent="0.25">
      <c r="A665" s="13">
        <v>19</v>
      </c>
      <c r="B665" s="13">
        <v>4</v>
      </c>
      <c r="C665" s="13" t="s">
        <v>105</v>
      </c>
      <c r="D665" s="13" t="s">
        <v>72</v>
      </c>
      <c r="E665" s="13" t="s">
        <v>968</v>
      </c>
      <c r="F665" s="13" t="str">
        <f t="shared" si="8"/>
        <v>S_Y63</v>
      </c>
      <c r="G665" s="3">
        <v>51.548000000000002</v>
      </c>
      <c r="H665" s="3">
        <f>IFERROR(INDEX('Tagging key'!D:D, MATCH(F665,'Tagging key'!C:C,0)),"")</f>
        <v>68.5</v>
      </c>
      <c r="I665" s="3">
        <f>IFERROR(INDEX('Tagging key'!E:E, MATCH(F665,'Tagging key'!C:C,0)),"")</f>
        <v>80</v>
      </c>
      <c r="J665" s="3">
        <f>IFERROR(INDEX('Tagging key'!F:F, MATCH(F665,'Tagging key'!C:C,0)),"")</f>
        <v>21</v>
      </c>
      <c r="K665" s="3">
        <v>46.975000000000001</v>
      </c>
      <c r="L665" s="3">
        <v>76.11</v>
      </c>
      <c r="M665" s="3">
        <v>75.930000000000007</v>
      </c>
      <c r="N665" s="3">
        <v>19.64</v>
      </c>
      <c r="O665" s="3"/>
      <c r="P665" s="22">
        <v>45879</v>
      </c>
      <c r="Q665" s="22">
        <v>45879</v>
      </c>
      <c r="R665" s="3"/>
    </row>
    <row r="666" spans="1:18" x14ac:dyDescent="0.25">
      <c r="A666" s="14">
        <v>19</v>
      </c>
      <c r="B666" s="14">
        <v>5</v>
      </c>
      <c r="C666" s="14" t="s">
        <v>105</v>
      </c>
      <c r="D666" s="14" t="s">
        <v>72</v>
      </c>
      <c r="E666" s="14" t="s">
        <v>969</v>
      </c>
      <c r="F666" s="14" t="str">
        <f t="shared" si="8"/>
        <v>S_Y94</v>
      </c>
      <c r="G666" s="3">
        <v>48.982999999999997</v>
      </c>
      <c r="H666" s="3">
        <f>IFERROR(INDEX('Tagging key'!D:D, MATCH(F666,'Tagging key'!C:C,0)),"")</f>
        <v>71</v>
      </c>
      <c r="I666" s="3">
        <f>IFERROR(INDEX('Tagging key'!E:E, MATCH(F666,'Tagging key'!C:C,0)),"")</f>
        <v>75</v>
      </c>
      <c r="J666" s="3">
        <f>IFERROR(INDEX('Tagging key'!F:F, MATCH(F666,'Tagging key'!C:C,0)),"")</f>
        <v>17</v>
      </c>
      <c r="K666" s="3">
        <v>45.524999999999999</v>
      </c>
      <c r="L666" s="3">
        <v>72.150000000000006</v>
      </c>
      <c r="M666" s="3">
        <v>75.37</v>
      </c>
      <c r="N666" s="3">
        <v>20.36</v>
      </c>
      <c r="O666" s="3"/>
      <c r="P666" s="22">
        <v>45879</v>
      </c>
      <c r="Q666" s="22">
        <v>45879</v>
      </c>
      <c r="R666" s="3"/>
    </row>
    <row r="667" spans="1:18" x14ac:dyDescent="0.25">
      <c r="A667" s="14">
        <v>19</v>
      </c>
      <c r="B667" s="14">
        <v>5</v>
      </c>
      <c r="C667" s="14" t="s">
        <v>105</v>
      </c>
      <c r="D667" s="14" t="s">
        <v>72</v>
      </c>
      <c r="E667" s="14" t="s">
        <v>970</v>
      </c>
      <c r="F667" s="14" t="str">
        <f t="shared" si="8"/>
        <v>S_G79</v>
      </c>
      <c r="G667" s="3">
        <v>66.33</v>
      </c>
      <c r="H667" s="3">
        <f>IFERROR(INDEX('Tagging key'!D:D, MATCH(F667,'Tagging key'!C:C,0)),"")</f>
        <v>77</v>
      </c>
      <c r="I667" s="3">
        <f>IFERROR(INDEX('Tagging key'!E:E, MATCH(F667,'Tagging key'!C:C,0)),"")</f>
        <v>81</v>
      </c>
      <c r="J667" s="3">
        <f>IFERROR(INDEX('Tagging key'!F:F, MATCH(F667,'Tagging key'!C:C,0)),"")</f>
        <v>21</v>
      </c>
      <c r="K667" s="3">
        <v>56.284999999999997</v>
      </c>
      <c r="L667" s="3">
        <v>78</v>
      </c>
      <c r="M667" s="3">
        <v>81.73</v>
      </c>
      <c r="N667" s="3">
        <v>21.43</v>
      </c>
      <c r="O667" s="3"/>
      <c r="P667" s="22">
        <v>45886</v>
      </c>
      <c r="Q667" s="22">
        <v>45886</v>
      </c>
      <c r="R667" s="3">
        <v>25.327999999999999</v>
      </c>
    </row>
    <row r="668" spans="1:18" x14ac:dyDescent="0.25">
      <c r="A668" s="14">
        <v>19</v>
      </c>
      <c r="B668" s="14">
        <v>5</v>
      </c>
      <c r="C668" s="14" t="s">
        <v>105</v>
      </c>
      <c r="D668" s="14" t="s">
        <v>72</v>
      </c>
      <c r="E668" s="14" t="s">
        <v>971</v>
      </c>
      <c r="F668" s="14" t="str">
        <f t="shared" si="8"/>
        <v>S_Y79</v>
      </c>
      <c r="G668" s="3">
        <v>50.174999999999997</v>
      </c>
      <c r="H668" s="3">
        <f>IFERROR(INDEX('Tagging key'!D:D, MATCH(F668,'Tagging key'!C:C,0)),"")</f>
        <v>74</v>
      </c>
      <c r="I668" s="3">
        <f>IFERROR(INDEX('Tagging key'!E:E, MATCH(F668,'Tagging key'!C:C,0)),"")</f>
        <v>76</v>
      </c>
      <c r="J668" s="3">
        <f>IFERROR(INDEX('Tagging key'!F:F, MATCH(F668,'Tagging key'!C:C,0)),"")</f>
        <v>16</v>
      </c>
      <c r="K668" s="3">
        <v>43.875999999999998</v>
      </c>
      <c r="L668" s="3">
        <v>75.38</v>
      </c>
      <c r="M668" s="3">
        <v>76.73</v>
      </c>
      <c r="N668" s="3">
        <v>20.81</v>
      </c>
      <c r="O668" s="3"/>
      <c r="P668" s="22">
        <v>45877</v>
      </c>
      <c r="Q668" s="22">
        <v>45877</v>
      </c>
      <c r="R668" s="3"/>
    </row>
    <row r="669" spans="1:18" x14ac:dyDescent="0.25">
      <c r="A669" s="14">
        <v>19</v>
      </c>
      <c r="B669" s="14">
        <v>5</v>
      </c>
      <c r="C669" s="14" t="s">
        <v>105</v>
      </c>
      <c r="D669" s="14" t="s">
        <v>72</v>
      </c>
      <c r="E669" s="14" t="s">
        <v>972</v>
      </c>
      <c r="F669" s="14" t="str">
        <f t="shared" si="8"/>
        <v>S_Y67</v>
      </c>
      <c r="G669" s="3">
        <v>44.567999999999998</v>
      </c>
      <c r="H669" s="3">
        <f>IFERROR(INDEX('Tagging key'!D:D, MATCH(F669,'Tagging key'!C:C,0)),"")</f>
        <v>70</v>
      </c>
      <c r="I669" s="3">
        <f>IFERROR(INDEX('Tagging key'!E:E, MATCH(F669,'Tagging key'!C:C,0)),"")</f>
        <v>72</v>
      </c>
      <c r="J669" s="3">
        <f>IFERROR(INDEX('Tagging key'!F:F, MATCH(F669,'Tagging key'!C:C,0)),"")</f>
        <v>17</v>
      </c>
      <c r="K669" s="3">
        <v>43.656999999999996</v>
      </c>
      <c r="L669" s="3">
        <v>71.48</v>
      </c>
      <c r="M669" s="3">
        <v>70.67</v>
      </c>
      <c r="N669" s="3">
        <v>18.809999999999999</v>
      </c>
      <c r="O669" s="3"/>
      <c r="P669" s="22">
        <v>45882</v>
      </c>
      <c r="Q669" s="22">
        <v>45882</v>
      </c>
      <c r="R669" s="3">
        <v>21.350999999999999</v>
      </c>
    </row>
    <row r="670" spans="1:18" x14ac:dyDescent="0.25">
      <c r="A670" s="13">
        <v>19</v>
      </c>
      <c r="B670" s="13">
        <v>6</v>
      </c>
      <c r="C670" s="13" t="s">
        <v>105</v>
      </c>
      <c r="D670" s="13" t="s">
        <v>72</v>
      </c>
      <c r="E670" s="13" t="s">
        <v>973</v>
      </c>
      <c r="F670" s="13" t="str">
        <f t="shared" si="8"/>
        <v>S_G3</v>
      </c>
      <c r="G670" s="3">
        <v>66.116</v>
      </c>
      <c r="H670" s="3">
        <f>IFERROR(INDEX('Tagging key'!D:D, MATCH(F670,'Tagging key'!C:C,0)),"")</f>
        <v>76.97</v>
      </c>
      <c r="I670" s="3">
        <f>IFERROR(INDEX('Tagging key'!E:E, MATCH(F670,'Tagging key'!C:C,0)),"")</f>
        <v>80.12</v>
      </c>
      <c r="J670" s="3">
        <f>IFERROR(INDEX('Tagging key'!F:F, MATCH(F670,'Tagging key'!C:C,0)),"")</f>
        <v>22.36</v>
      </c>
      <c r="K670" s="3">
        <v>60.046999999999997</v>
      </c>
      <c r="L670" s="3">
        <v>78.81</v>
      </c>
      <c r="M670" s="3">
        <v>83.59</v>
      </c>
      <c r="N670" s="3">
        <v>23.07</v>
      </c>
      <c r="O670" s="3"/>
      <c r="P670" s="22">
        <v>45877</v>
      </c>
      <c r="Q670" s="22">
        <v>45877</v>
      </c>
      <c r="R670" s="3"/>
    </row>
    <row r="671" spans="1:18" x14ac:dyDescent="0.25">
      <c r="A671" s="13">
        <v>19</v>
      </c>
      <c r="B671" s="13">
        <v>6</v>
      </c>
      <c r="C671" s="13" t="s">
        <v>105</v>
      </c>
      <c r="D671" s="13" t="s">
        <v>72</v>
      </c>
      <c r="E671" s="13" t="s">
        <v>643</v>
      </c>
      <c r="F671" s="13" t="str">
        <f t="shared" si="8"/>
        <v>S_G20</v>
      </c>
      <c r="G671" s="3">
        <v>53.44</v>
      </c>
      <c r="H671" s="3">
        <f>IFERROR(INDEX('Tagging key'!D:D, MATCH(F671,'Tagging key'!C:C,0)),"")</f>
        <v>74.73</v>
      </c>
      <c r="I671" s="3">
        <f>IFERROR(INDEX('Tagging key'!E:E, MATCH(F671,'Tagging key'!C:C,0)),"")</f>
        <v>79.62</v>
      </c>
      <c r="J671" s="3">
        <f>IFERROR(INDEX('Tagging key'!F:F, MATCH(F671,'Tagging key'!C:C,0)),"")</f>
        <v>19.899999999999999</v>
      </c>
      <c r="K671" s="3">
        <v>52.372999999999998</v>
      </c>
      <c r="L671" s="3">
        <v>75.349999999999994</v>
      </c>
      <c r="M671" s="3">
        <v>80</v>
      </c>
      <c r="N671" s="3">
        <v>23.19</v>
      </c>
      <c r="O671" s="3"/>
      <c r="P671" s="22">
        <v>45879</v>
      </c>
      <c r="Q671" s="22">
        <v>45879</v>
      </c>
      <c r="R671" s="3"/>
    </row>
    <row r="672" spans="1:18" x14ac:dyDescent="0.25">
      <c r="A672" s="13">
        <v>19</v>
      </c>
      <c r="B672" s="13">
        <v>6</v>
      </c>
      <c r="C672" s="13" t="s">
        <v>105</v>
      </c>
      <c r="D672" s="13" t="s">
        <v>72</v>
      </c>
      <c r="E672" s="13" t="s">
        <v>974</v>
      </c>
      <c r="F672" s="13" t="str">
        <f t="shared" si="8"/>
        <v>S_G45</v>
      </c>
      <c r="G672" s="3">
        <v>44.878999999999998</v>
      </c>
      <c r="H672" s="3">
        <f>IFERROR(INDEX('Tagging key'!D:D, MATCH(F672,'Tagging key'!C:C,0)),"")</f>
        <v>71.28</v>
      </c>
      <c r="I672" s="3">
        <f>IFERROR(INDEX('Tagging key'!E:E, MATCH(F672,'Tagging key'!C:C,0)),"")</f>
        <v>68.67</v>
      </c>
      <c r="J672" s="3">
        <f>IFERROR(INDEX('Tagging key'!F:F, MATCH(F672,'Tagging key'!C:C,0)),"")</f>
        <v>18</v>
      </c>
      <c r="K672" s="3">
        <v>42.017000000000003</v>
      </c>
      <c r="L672" s="3">
        <v>71.150000000000006</v>
      </c>
      <c r="M672" s="3">
        <v>69.930000000000007</v>
      </c>
      <c r="N672" s="3">
        <v>19.37</v>
      </c>
      <c r="O672" s="3"/>
      <c r="P672" s="22">
        <v>45882</v>
      </c>
      <c r="Q672" s="22">
        <v>45882</v>
      </c>
      <c r="R672" s="3">
        <v>17.428000000000001</v>
      </c>
    </row>
    <row r="673" spans="1:19" x14ac:dyDescent="0.25">
      <c r="A673" s="13">
        <v>19</v>
      </c>
      <c r="B673" s="13">
        <v>6</v>
      </c>
      <c r="C673" s="13" t="s">
        <v>105</v>
      </c>
      <c r="D673" s="13" t="s">
        <v>72</v>
      </c>
      <c r="E673" s="13" t="s">
        <v>975</v>
      </c>
      <c r="F673" s="13" t="str">
        <f t="shared" si="8"/>
        <v>S_W76</v>
      </c>
      <c r="G673" s="3">
        <v>54.14</v>
      </c>
      <c r="H673" s="3">
        <f>IFERROR(INDEX('Tagging key'!D:D, MATCH(F673,'Tagging key'!C:C,0)),"")</f>
        <v>76</v>
      </c>
      <c r="I673" s="3">
        <f>IFERROR(INDEX('Tagging key'!E:E, MATCH(F673,'Tagging key'!C:C,0)),"")</f>
        <v>77</v>
      </c>
      <c r="J673" s="3">
        <f>IFERROR(INDEX('Tagging key'!F:F, MATCH(F673,'Tagging key'!C:C,0)),"")</f>
        <v>20</v>
      </c>
      <c r="K673" s="3">
        <v>48.502000000000002</v>
      </c>
      <c r="L673" s="3">
        <v>77.180000000000007</v>
      </c>
      <c r="M673" s="3">
        <v>77.77</v>
      </c>
      <c r="N673" s="3">
        <v>20.03</v>
      </c>
      <c r="O673" s="3"/>
      <c r="P673" s="22">
        <v>45886</v>
      </c>
      <c r="Q673" s="22">
        <v>45886</v>
      </c>
      <c r="R673" s="3">
        <v>24.14</v>
      </c>
    </row>
    <row r="674" spans="1:19" x14ac:dyDescent="0.25">
      <c r="A674" s="8">
        <v>19</v>
      </c>
      <c r="B674" s="8">
        <v>7</v>
      </c>
      <c r="C674" s="8" t="s">
        <v>105</v>
      </c>
      <c r="D674" s="8" t="s">
        <v>16</v>
      </c>
      <c r="E674" s="8" t="s">
        <v>946</v>
      </c>
      <c r="F674" s="8" t="str">
        <f t="shared" si="8"/>
        <v>O_R95</v>
      </c>
      <c r="G674" s="3">
        <v>40.084000000000003</v>
      </c>
      <c r="H674" s="3">
        <f>IFERROR(INDEX('Tagging key'!D:D, MATCH(F674,'Tagging key'!C:C,0)),"")</f>
        <v>68.19</v>
      </c>
      <c r="I674" s="3">
        <f>IFERROR(INDEX('Tagging key'!E:E, MATCH(F674,'Tagging key'!C:C,0)),"")</f>
        <v>44.09</v>
      </c>
      <c r="J674" s="3">
        <f>IFERROR(INDEX('Tagging key'!F:F, MATCH(F674,'Tagging key'!C:C,0)),"")</f>
        <v>18.71</v>
      </c>
      <c r="K674" s="3">
        <v>39.725000000000001</v>
      </c>
      <c r="L674" s="3">
        <v>68.72</v>
      </c>
      <c r="M674" s="3">
        <v>40.700000000000003</v>
      </c>
      <c r="N674" s="3">
        <v>25.68</v>
      </c>
      <c r="O674" s="3"/>
      <c r="P674" s="22">
        <v>45877</v>
      </c>
      <c r="Q674" s="22">
        <v>45877</v>
      </c>
      <c r="R674" s="3"/>
    </row>
    <row r="675" spans="1:19" x14ac:dyDescent="0.25">
      <c r="A675" s="8">
        <v>19</v>
      </c>
      <c r="B675" s="8">
        <v>7</v>
      </c>
      <c r="C675" s="8" t="s">
        <v>105</v>
      </c>
      <c r="D675" s="8" t="s">
        <v>16</v>
      </c>
      <c r="E675" s="8" t="s">
        <v>891</v>
      </c>
      <c r="F675" s="8" t="str">
        <f t="shared" si="8"/>
        <v>O_B63</v>
      </c>
      <c r="G675" s="3">
        <v>21.318999999999999</v>
      </c>
      <c r="H675" s="3">
        <f>IFERROR(INDEX('Tagging key'!D:D, MATCH(F675,'Tagging key'!C:C,0)),"")</f>
        <v>67.510000000000005</v>
      </c>
      <c r="I675" s="3">
        <f>IFERROR(INDEX('Tagging key'!E:E, MATCH(F675,'Tagging key'!C:C,0)),"")</f>
        <v>43.8</v>
      </c>
      <c r="J675" s="3">
        <f>IFERROR(INDEX('Tagging key'!F:F, MATCH(F675,'Tagging key'!C:C,0)),"")</f>
        <v>12.68</v>
      </c>
      <c r="K675" s="3">
        <v>21.247</v>
      </c>
      <c r="L675" s="3">
        <v>68.86</v>
      </c>
      <c r="M675" s="3">
        <v>45.15</v>
      </c>
      <c r="N675" s="3">
        <v>14.42</v>
      </c>
      <c r="O675" s="3"/>
      <c r="P675" s="22">
        <v>45879</v>
      </c>
      <c r="Q675" s="22">
        <v>45879</v>
      </c>
      <c r="R675" s="3"/>
      <c r="S675" t="s">
        <v>976</v>
      </c>
    </row>
    <row r="676" spans="1:19" x14ac:dyDescent="0.25">
      <c r="A676" s="8">
        <v>19</v>
      </c>
      <c r="B676" s="8">
        <v>7</v>
      </c>
      <c r="C676" s="8" t="s">
        <v>105</v>
      </c>
      <c r="D676" s="8" t="s">
        <v>16</v>
      </c>
      <c r="E676" s="8" t="s">
        <v>597</v>
      </c>
      <c r="F676" s="8" t="str">
        <f t="shared" si="8"/>
        <v>O_B9</v>
      </c>
      <c r="G676" s="3">
        <v>35.972000000000001</v>
      </c>
      <c r="H676" s="3">
        <f>IFERROR(INDEX('Tagging key'!D:D, MATCH(F676,'Tagging key'!C:C,0)),"")</f>
        <v>71.34</v>
      </c>
      <c r="I676" s="3">
        <f>IFERROR(INDEX('Tagging key'!E:E, MATCH(F676,'Tagging key'!C:C,0)),"")</f>
        <v>45.73</v>
      </c>
      <c r="J676" s="3">
        <f>IFERROR(INDEX('Tagging key'!F:F, MATCH(F676,'Tagging key'!C:C,0)),"")</f>
        <v>18.93</v>
      </c>
      <c r="K676" s="3">
        <v>35.72</v>
      </c>
      <c r="L676" s="3">
        <v>72.67</v>
      </c>
      <c r="M676" s="3">
        <v>42.18</v>
      </c>
      <c r="N676" s="3">
        <v>22.05</v>
      </c>
      <c r="O676" s="3"/>
      <c r="P676" s="22">
        <v>45882</v>
      </c>
      <c r="Q676" s="22">
        <v>45882</v>
      </c>
      <c r="R676" s="3"/>
    </row>
    <row r="677" spans="1:19" x14ac:dyDescent="0.25">
      <c r="A677" s="8">
        <v>19</v>
      </c>
      <c r="B677" s="8">
        <v>7</v>
      </c>
      <c r="C677" s="8" t="s">
        <v>105</v>
      </c>
      <c r="D677" s="8" t="s">
        <v>16</v>
      </c>
      <c r="E677" s="8" t="s">
        <v>871</v>
      </c>
      <c r="F677" s="8" t="str">
        <f t="shared" si="8"/>
        <v>O_R86</v>
      </c>
      <c r="G677" s="3">
        <v>29.638000000000002</v>
      </c>
      <c r="H677" s="3">
        <f>IFERROR(INDEX('Tagging key'!D:D, MATCH(F677,'Tagging key'!C:C,0)),"")</f>
        <v>57.79</v>
      </c>
      <c r="I677" s="3">
        <f>IFERROR(INDEX('Tagging key'!E:E, MATCH(F677,'Tagging key'!C:C,0)),"")</f>
        <v>53.49</v>
      </c>
      <c r="J677" s="3">
        <f>IFERROR(INDEX('Tagging key'!F:F, MATCH(F677,'Tagging key'!C:C,0)),"")</f>
        <v>16.149999999999999</v>
      </c>
      <c r="K677" s="3">
        <v>29.382999999999999</v>
      </c>
      <c r="L677" s="3">
        <v>61.46</v>
      </c>
      <c r="M677" s="3">
        <v>41.61</v>
      </c>
      <c r="N677" s="3">
        <v>17.11</v>
      </c>
      <c r="O677" s="3"/>
      <c r="P677" s="22">
        <v>45886</v>
      </c>
      <c r="Q677" s="22">
        <v>45886</v>
      </c>
      <c r="R677" s="3">
        <v>19.712</v>
      </c>
    </row>
    <row r="678" spans="1:19" x14ac:dyDescent="0.25">
      <c r="A678" s="9">
        <v>19</v>
      </c>
      <c r="B678" s="9">
        <v>8</v>
      </c>
      <c r="C678" s="9" t="s">
        <v>105</v>
      </c>
      <c r="D678" s="9" t="s">
        <v>16</v>
      </c>
      <c r="E678" s="9" t="s">
        <v>467</v>
      </c>
      <c r="F678" s="9" t="str">
        <f t="shared" si="8"/>
        <v>O_R57</v>
      </c>
      <c r="G678" s="3">
        <v>21.512</v>
      </c>
      <c r="H678" s="3">
        <f>IFERROR(INDEX('Tagging key'!D:D, MATCH(F678,'Tagging key'!C:C,0)),"")</f>
        <v>62.07</v>
      </c>
      <c r="I678" s="3">
        <f>IFERROR(INDEX('Tagging key'!E:E, MATCH(F678,'Tagging key'!C:C,0)),"")</f>
        <v>47.55</v>
      </c>
      <c r="J678" s="3">
        <f>IFERROR(INDEX('Tagging key'!F:F, MATCH(F678,'Tagging key'!C:C,0)),"")</f>
        <v>13.79</v>
      </c>
      <c r="K678" s="3">
        <v>21.317</v>
      </c>
      <c r="L678" s="3">
        <v>63.57</v>
      </c>
      <c r="M678" s="3">
        <v>43.2</v>
      </c>
      <c r="N678" s="3">
        <v>14.45</v>
      </c>
      <c r="O678" s="3"/>
      <c r="P678" s="22">
        <v>45879</v>
      </c>
      <c r="Q678" s="22">
        <v>45879</v>
      </c>
      <c r="R678" s="3"/>
    </row>
    <row r="679" spans="1:19" x14ac:dyDescent="0.25">
      <c r="A679" s="9">
        <v>19</v>
      </c>
      <c r="B679" s="9">
        <v>8</v>
      </c>
      <c r="C679" s="9" t="s">
        <v>105</v>
      </c>
      <c r="D679" s="9" t="s">
        <v>16</v>
      </c>
      <c r="E679" s="9" t="s">
        <v>264</v>
      </c>
      <c r="F679" s="9" t="str">
        <f t="shared" si="8"/>
        <v>O_B48</v>
      </c>
      <c r="G679" s="3">
        <v>26.824000000000002</v>
      </c>
      <c r="H679" s="3">
        <f>IFERROR(INDEX('Tagging key'!D:D, MATCH(F679,'Tagging key'!C:C,0)),"")</f>
        <v>70.650000000000006</v>
      </c>
      <c r="I679" s="3">
        <f>IFERROR(INDEX('Tagging key'!E:E, MATCH(F679,'Tagging key'!C:C,0)),"")</f>
        <v>51.33</v>
      </c>
      <c r="J679" s="3">
        <f>IFERROR(INDEX('Tagging key'!F:F, MATCH(F679,'Tagging key'!C:C,0)),"")</f>
        <v>15.85</v>
      </c>
      <c r="K679" s="3">
        <v>26.733000000000001</v>
      </c>
      <c r="L679" s="3">
        <v>70.3</v>
      </c>
      <c r="M679" s="3">
        <v>39.86</v>
      </c>
      <c r="N679" s="3">
        <v>17.47</v>
      </c>
      <c r="O679" s="3"/>
      <c r="P679" s="22">
        <v>45877</v>
      </c>
      <c r="Q679" s="22">
        <v>45877</v>
      </c>
      <c r="R679" s="3"/>
    </row>
    <row r="680" spans="1:19" x14ac:dyDescent="0.25">
      <c r="A680" s="9">
        <v>19</v>
      </c>
      <c r="B680" s="9">
        <v>8</v>
      </c>
      <c r="C680" s="9" t="s">
        <v>105</v>
      </c>
      <c r="D680" s="9" t="s">
        <v>16</v>
      </c>
      <c r="E680" s="9" t="s">
        <v>977</v>
      </c>
      <c r="F680" s="9" t="str">
        <f t="shared" si="8"/>
        <v>O_R99B</v>
      </c>
      <c r="G680" s="3">
        <v>30.215</v>
      </c>
      <c r="H680" s="3">
        <f>IFERROR(INDEX('Tagging key'!D:D, MATCH(F680,'Tagging key'!C:C,0)),"")</f>
        <v>61.23</v>
      </c>
      <c r="I680" s="3">
        <f>IFERROR(INDEX('Tagging key'!E:E, MATCH(F680,'Tagging key'!C:C,0)),"")</f>
        <v>50.9</v>
      </c>
      <c r="J680" s="3">
        <f>IFERROR(INDEX('Tagging key'!F:F, MATCH(F680,'Tagging key'!C:C,0)),"")</f>
        <v>16.559999999999999</v>
      </c>
      <c r="K680" s="3">
        <v>29.887</v>
      </c>
      <c r="L680" s="3">
        <v>61.6</v>
      </c>
      <c r="M680" s="3">
        <v>43.63</v>
      </c>
      <c r="N680" s="3">
        <v>18.079999999999998</v>
      </c>
      <c r="O680" s="3"/>
      <c r="P680" s="22">
        <v>45886</v>
      </c>
      <c r="Q680" s="22">
        <v>45886</v>
      </c>
      <c r="R680" s="3">
        <v>15.076000000000001</v>
      </c>
      <c r="S680" t="s">
        <v>718</v>
      </c>
    </row>
    <row r="681" spans="1:19" x14ac:dyDescent="0.25">
      <c r="A681" s="9">
        <v>19</v>
      </c>
      <c r="B681" s="9">
        <v>8</v>
      </c>
      <c r="C681" s="9" t="s">
        <v>105</v>
      </c>
      <c r="D681" s="9" t="s">
        <v>16</v>
      </c>
      <c r="E681" s="9" t="s">
        <v>55</v>
      </c>
      <c r="F681" s="9" t="str">
        <f t="shared" si="8"/>
        <v>O_R82</v>
      </c>
      <c r="G681" s="3">
        <v>28.869</v>
      </c>
      <c r="H681" s="3">
        <f>IFERROR(INDEX('Tagging key'!D:D, MATCH(F681,'Tagging key'!C:C,0)),"")</f>
        <v>68.39</v>
      </c>
      <c r="I681" s="3">
        <f>IFERROR(INDEX('Tagging key'!E:E, MATCH(F681,'Tagging key'!C:C,0)),"")</f>
        <v>53.16</v>
      </c>
      <c r="J681" s="3">
        <f>IFERROR(INDEX('Tagging key'!F:F, MATCH(F681,'Tagging key'!C:C,0)),"")</f>
        <v>16.95</v>
      </c>
      <c r="K681" s="3">
        <v>28.478999999999999</v>
      </c>
      <c r="L681" s="3">
        <v>69.94</v>
      </c>
      <c r="M681" s="3">
        <v>44.06</v>
      </c>
      <c r="N681" s="3">
        <v>18.190000000000001</v>
      </c>
      <c r="O681" s="3"/>
      <c r="P681" s="22">
        <v>45882</v>
      </c>
      <c r="Q681" s="22">
        <v>45882</v>
      </c>
      <c r="R681" s="3">
        <v>15.901</v>
      </c>
    </row>
    <row r="682" spans="1:19" x14ac:dyDescent="0.25">
      <c r="A682" s="8">
        <v>19</v>
      </c>
      <c r="B682" s="8">
        <v>9</v>
      </c>
      <c r="C682" s="8" t="s">
        <v>105</v>
      </c>
      <c r="D682" s="8" t="s">
        <v>16</v>
      </c>
      <c r="E682" s="8" t="s">
        <v>978</v>
      </c>
      <c r="F682" s="8" t="str">
        <f t="shared" si="8"/>
        <v>O_R10</v>
      </c>
      <c r="G682" s="3">
        <v>27.806000000000001</v>
      </c>
      <c r="H682" s="3">
        <f>IFERROR(INDEX('Tagging key'!D:D, MATCH(F682,'Tagging key'!C:C,0)),"")</f>
        <v>60.77</v>
      </c>
      <c r="I682" s="3">
        <f>IFERROR(INDEX('Tagging key'!E:E, MATCH(F682,'Tagging key'!C:C,0)),"")</f>
        <v>43.41</v>
      </c>
      <c r="J682" s="3">
        <f>IFERROR(INDEX('Tagging key'!F:F, MATCH(F682,'Tagging key'!C:C,0)),"")</f>
        <v>17.54</v>
      </c>
      <c r="K682" s="3">
        <v>27.504999999999999</v>
      </c>
      <c r="L682" s="3">
        <v>65.900000000000006</v>
      </c>
      <c r="M682" s="3">
        <v>49.43</v>
      </c>
      <c r="N682" s="3">
        <v>18.95</v>
      </c>
      <c r="O682" s="3"/>
      <c r="P682" s="22">
        <v>45877</v>
      </c>
      <c r="Q682" s="22">
        <v>45877</v>
      </c>
      <c r="R682" s="3"/>
    </row>
    <row r="683" spans="1:19" x14ac:dyDescent="0.25">
      <c r="A683" s="8">
        <v>19</v>
      </c>
      <c r="B683" s="8">
        <v>9</v>
      </c>
      <c r="C683" s="8" t="s">
        <v>105</v>
      </c>
      <c r="D683" s="8" t="s">
        <v>16</v>
      </c>
      <c r="E683" s="8" t="s">
        <v>893</v>
      </c>
      <c r="F683" s="8" t="str">
        <f t="shared" si="8"/>
        <v>O_R70</v>
      </c>
      <c r="G683" s="3">
        <v>21.117000000000001</v>
      </c>
      <c r="H683" s="3">
        <f>IFERROR(INDEX('Tagging key'!D:D, MATCH(F683,'Tagging key'!C:C,0)),"")</f>
        <v>58.41</v>
      </c>
      <c r="I683" s="3">
        <f>IFERROR(INDEX('Tagging key'!E:E, MATCH(F683,'Tagging key'!C:C,0)),"")</f>
        <v>43.38</v>
      </c>
      <c r="J683" s="3">
        <f>IFERROR(INDEX('Tagging key'!F:F, MATCH(F683,'Tagging key'!C:C,0)),"")</f>
        <v>13.69</v>
      </c>
      <c r="K683" s="3">
        <v>20.925000000000001</v>
      </c>
      <c r="L683" s="3">
        <v>58.01</v>
      </c>
      <c r="M683" s="3">
        <v>43.77</v>
      </c>
      <c r="N683" s="3">
        <v>13.96</v>
      </c>
      <c r="O683" s="3"/>
      <c r="P683" s="22">
        <v>45886</v>
      </c>
      <c r="Q683" s="22">
        <v>45886</v>
      </c>
      <c r="R683" s="3">
        <v>12.967000000000001</v>
      </c>
    </row>
    <row r="684" spans="1:19" x14ac:dyDescent="0.25">
      <c r="A684" s="8">
        <v>19</v>
      </c>
      <c r="B684" s="8">
        <v>9</v>
      </c>
      <c r="C684" s="8" t="s">
        <v>105</v>
      </c>
      <c r="D684" s="8" t="s">
        <v>16</v>
      </c>
      <c r="E684" s="8" t="s">
        <v>51</v>
      </c>
      <c r="F684" s="8" t="str">
        <f t="shared" si="8"/>
        <v>O_B67</v>
      </c>
      <c r="G684" s="3">
        <v>41.715000000000003</v>
      </c>
      <c r="H684" s="3">
        <f>IFERROR(INDEX('Tagging key'!D:D, MATCH(F684,'Tagging key'!C:C,0)),"")</f>
        <v>69.31</v>
      </c>
      <c r="I684" s="3">
        <f>IFERROR(INDEX('Tagging key'!E:E, MATCH(F684,'Tagging key'!C:C,0)),"")</f>
        <v>47.76</v>
      </c>
      <c r="J684" s="3">
        <f>IFERROR(INDEX('Tagging key'!F:F, MATCH(F684,'Tagging key'!C:C,0)),"")</f>
        <v>19.96</v>
      </c>
      <c r="K684" s="3">
        <v>41.444000000000003</v>
      </c>
      <c r="L684" s="3">
        <v>69.91</v>
      </c>
      <c r="M684" s="3">
        <v>45.29</v>
      </c>
      <c r="N684" s="3">
        <v>19.97</v>
      </c>
      <c r="O684" s="3"/>
      <c r="P684" s="22">
        <v>45879</v>
      </c>
      <c r="Q684" s="22">
        <v>45879</v>
      </c>
      <c r="R684" s="3"/>
    </row>
    <row r="685" spans="1:19" x14ac:dyDescent="0.25">
      <c r="A685" s="8">
        <v>19</v>
      </c>
      <c r="B685" s="8">
        <v>9</v>
      </c>
      <c r="C685" s="8" t="s">
        <v>105</v>
      </c>
      <c r="D685" s="8" t="s">
        <v>16</v>
      </c>
      <c r="E685" s="8" t="s">
        <v>781</v>
      </c>
      <c r="F685" s="8" t="str">
        <f t="shared" si="8"/>
        <v>O_R29</v>
      </c>
      <c r="G685" s="3">
        <v>37.347000000000001</v>
      </c>
      <c r="H685" s="3">
        <f>IFERROR(INDEX('Tagging key'!D:D, MATCH(F685,'Tagging key'!C:C,0)),"")</f>
        <v>79.22</v>
      </c>
      <c r="I685" s="3">
        <f>IFERROR(INDEX('Tagging key'!E:E, MATCH(F685,'Tagging key'!C:C,0)),"")</f>
        <v>46.14</v>
      </c>
      <c r="J685" s="3">
        <f>IFERROR(INDEX('Tagging key'!F:F, MATCH(F685,'Tagging key'!C:C,0)),"")</f>
        <v>15.02</v>
      </c>
      <c r="K685" s="3">
        <v>37.18</v>
      </c>
      <c r="L685" s="3">
        <v>77.349999999999994</v>
      </c>
      <c r="M685" s="3">
        <v>36.71</v>
      </c>
      <c r="N685" s="3">
        <v>19.100000000000001</v>
      </c>
      <c r="O685" s="3"/>
      <c r="P685" s="22">
        <v>45882</v>
      </c>
      <c r="Q685" s="22">
        <v>45882</v>
      </c>
      <c r="R685" s="3">
        <v>21.837</v>
      </c>
    </row>
    <row r="686" spans="1:19" x14ac:dyDescent="0.25">
      <c r="A686" s="13">
        <v>20</v>
      </c>
      <c r="B686" s="13">
        <v>1</v>
      </c>
      <c r="C686" s="13" t="s">
        <v>176</v>
      </c>
      <c r="D686" s="13" t="s">
        <v>72</v>
      </c>
      <c r="E686" s="13" t="s">
        <v>979</v>
      </c>
      <c r="F686" s="13" t="str">
        <f t="shared" si="8"/>
        <v>S_W90</v>
      </c>
      <c r="G686" s="3">
        <v>62.04</v>
      </c>
      <c r="H686" s="3">
        <f>IFERROR(INDEX('Tagging key'!D:D, MATCH(F686,'Tagging key'!C:C,0)),"")</f>
        <v>76</v>
      </c>
      <c r="I686" s="3">
        <f>IFERROR(INDEX('Tagging key'!E:E, MATCH(F686,'Tagging key'!C:C,0)),"")</f>
        <v>78</v>
      </c>
      <c r="J686" s="3">
        <f>IFERROR(INDEX('Tagging key'!F:F, MATCH(F686,'Tagging key'!C:C,0)),"")</f>
        <v>22</v>
      </c>
      <c r="K686" s="3">
        <v>57.987000000000002</v>
      </c>
      <c r="L686" s="3">
        <v>75.95</v>
      </c>
      <c r="M686" s="3">
        <v>80.040000000000006</v>
      </c>
      <c r="N686" s="3">
        <v>21.59</v>
      </c>
      <c r="O686" s="3"/>
      <c r="P686" s="22">
        <v>45886</v>
      </c>
      <c r="Q686" s="22">
        <v>45886</v>
      </c>
      <c r="R686" s="3"/>
    </row>
    <row r="687" spans="1:19" x14ac:dyDescent="0.25">
      <c r="A687" s="13">
        <v>20</v>
      </c>
      <c r="B687" s="13">
        <v>1</v>
      </c>
      <c r="C687" s="13" t="s">
        <v>176</v>
      </c>
      <c r="D687" s="13" t="s">
        <v>72</v>
      </c>
      <c r="E687" s="13" t="s">
        <v>980</v>
      </c>
      <c r="F687" s="13" t="str">
        <f t="shared" si="8"/>
        <v>S_W74</v>
      </c>
      <c r="G687" s="3">
        <v>47.24</v>
      </c>
      <c r="H687" s="3">
        <f>IFERROR(INDEX('Tagging key'!D:D, MATCH(F687,'Tagging key'!C:C,0)),"")</f>
        <v>72</v>
      </c>
      <c r="I687" s="3">
        <f>IFERROR(INDEX('Tagging key'!E:E, MATCH(F687,'Tagging key'!C:C,0)),"")</f>
        <v>75</v>
      </c>
      <c r="J687" s="3">
        <f>IFERROR(INDEX('Tagging key'!F:F, MATCH(F687,'Tagging key'!C:C,0)),"")</f>
        <v>19</v>
      </c>
      <c r="K687" s="3">
        <v>45.003</v>
      </c>
      <c r="L687" s="3">
        <v>73.78</v>
      </c>
      <c r="M687" s="3">
        <v>75.81</v>
      </c>
      <c r="N687" s="3">
        <v>18.62</v>
      </c>
      <c r="O687" s="3"/>
      <c r="P687" s="22">
        <v>45877</v>
      </c>
      <c r="Q687" s="22">
        <v>45877</v>
      </c>
      <c r="R687" s="3"/>
    </row>
    <row r="688" spans="1:19" x14ac:dyDescent="0.25">
      <c r="A688" s="13">
        <v>20</v>
      </c>
      <c r="B688" s="13">
        <v>1</v>
      </c>
      <c r="C688" s="13" t="s">
        <v>176</v>
      </c>
      <c r="D688" s="13" t="s">
        <v>72</v>
      </c>
      <c r="E688" s="13" t="s">
        <v>981</v>
      </c>
      <c r="F688" s="13" t="str">
        <f t="shared" si="8"/>
        <v>S_Y40</v>
      </c>
      <c r="G688" s="3">
        <v>53.49</v>
      </c>
      <c r="H688" s="3">
        <f>IFERROR(INDEX('Tagging key'!D:D, MATCH(F688,'Tagging key'!C:C,0)),"")</f>
        <v>71</v>
      </c>
      <c r="I688" s="3">
        <f>IFERROR(INDEX('Tagging key'!E:E, MATCH(F688,'Tagging key'!C:C,0)),"")</f>
        <v>77</v>
      </c>
      <c r="J688" s="3">
        <f>IFERROR(INDEX('Tagging key'!F:F, MATCH(F688,'Tagging key'!C:C,0)),"")</f>
        <v>17</v>
      </c>
      <c r="K688" s="3">
        <v>50.97</v>
      </c>
      <c r="L688" s="3">
        <v>72.599999999999994</v>
      </c>
      <c r="M688" s="3">
        <v>78.98</v>
      </c>
      <c r="N688" s="3">
        <v>19.559999999999999</v>
      </c>
      <c r="O688" s="3"/>
      <c r="P688" s="22">
        <v>45882</v>
      </c>
      <c r="Q688" s="22">
        <v>45882</v>
      </c>
      <c r="R688" s="3">
        <v>24.285</v>
      </c>
    </row>
    <row r="689" spans="1:19" x14ac:dyDescent="0.25">
      <c r="A689" s="13">
        <v>20</v>
      </c>
      <c r="B689" s="13">
        <v>1</v>
      </c>
      <c r="C689" s="13" t="s">
        <v>176</v>
      </c>
      <c r="D689" s="13" t="s">
        <v>72</v>
      </c>
      <c r="E689" s="13" t="s">
        <v>982</v>
      </c>
      <c r="F689" s="13" t="str">
        <f t="shared" si="8"/>
        <v>S_Y96</v>
      </c>
      <c r="G689" s="3">
        <v>54.462000000000003</v>
      </c>
      <c r="H689" s="3">
        <f>IFERROR(INDEX('Tagging key'!D:D, MATCH(F689,'Tagging key'!C:C,0)),"")</f>
        <v>68</v>
      </c>
      <c r="I689" s="3">
        <f>IFERROR(INDEX('Tagging key'!E:E, MATCH(F689,'Tagging key'!C:C,0)),"")</f>
        <v>75</v>
      </c>
      <c r="J689" s="3">
        <f>IFERROR(INDEX('Tagging key'!F:F, MATCH(F689,'Tagging key'!C:C,0)),"")</f>
        <v>19</v>
      </c>
      <c r="K689" s="3">
        <v>52.628</v>
      </c>
      <c r="L689" s="3">
        <v>71.31</v>
      </c>
      <c r="M689" s="3">
        <v>76.81</v>
      </c>
      <c r="N689" s="3">
        <v>19.97</v>
      </c>
      <c r="O689" s="3"/>
      <c r="P689" s="22">
        <v>45879</v>
      </c>
      <c r="Q689" s="22">
        <v>45879</v>
      </c>
      <c r="R689" s="3"/>
    </row>
    <row r="690" spans="1:19" x14ac:dyDescent="0.25">
      <c r="A690" s="14">
        <v>20</v>
      </c>
      <c r="B690" s="14">
        <v>2</v>
      </c>
      <c r="C690" s="14" t="s">
        <v>176</v>
      </c>
      <c r="D690" s="14" t="s">
        <v>72</v>
      </c>
      <c r="E690" s="14" t="s">
        <v>983</v>
      </c>
      <c r="F690" s="14" t="str">
        <f t="shared" si="8"/>
        <v>S_W51</v>
      </c>
      <c r="G690" s="3">
        <v>61.152999999999999</v>
      </c>
      <c r="H690" s="3">
        <f>IFERROR(INDEX('Tagging key'!D:D, MATCH(F690,'Tagging key'!C:C,0)),"")</f>
        <v>79</v>
      </c>
      <c r="I690" s="3">
        <f>IFERROR(INDEX('Tagging key'!E:E, MATCH(F690,'Tagging key'!C:C,0)),"")</f>
        <v>81</v>
      </c>
      <c r="J690" s="3">
        <f>IFERROR(INDEX('Tagging key'!F:F, MATCH(F690,'Tagging key'!C:C,0)),"")</f>
        <v>20</v>
      </c>
      <c r="K690" s="3">
        <v>58.393999999999998</v>
      </c>
      <c r="L690" s="3">
        <v>78.53</v>
      </c>
      <c r="M690" s="3">
        <v>80.91</v>
      </c>
      <c r="N690" s="3">
        <v>22.19</v>
      </c>
      <c r="O690" s="3"/>
      <c r="P690" s="22">
        <v>45886</v>
      </c>
      <c r="Q690" s="22">
        <v>45886</v>
      </c>
      <c r="R690" s="3">
        <v>25.231000000000002</v>
      </c>
    </row>
    <row r="691" spans="1:19" x14ac:dyDescent="0.25">
      <c r="A691" s="14">
        <v>20</v>
      </c>
      <c r="B691" s="14">
        <v>2</v>
      </c>
      <c r="C691" s="14" t="s">
        <v>176</v>
      </c>
      <c r="D691" s="14" t="s">
        <v>72</v>
      </c>
      <c r="E691" s="14" t="s">
        <v>984</v>
      </c>
      <c r="F691" s="14" t="str">
        <f t="shared" si="8"/>
        <v>S_Y50</v>
      </c>
      <c r="G691" s="3">
        <v>55.116999999999997</v>
      </c>
      <c r="H691" s="3">
        <f>IFERROR(INDEX('Tagging key'!D:D, MATCH(F691,'Tagging key'!C:C,0)),"")</f>
        <v>75</v>
      </c>
      <c r="I691" s="3">
        <f>IFERROR(INDEX('Tagging key'!E:E, MATCH(F691,'Tagging key'!C:C,0)),"")</f>
        <v>77.5</v>
      </c>
      <c r="J691" s="3">
        <f>IFERROR(INDEX('Tagging key'!F:F, MATCH(F691,'Tagging key'!C:C,0)),"")</f>
        <v>19</v>
      </c>
      <c r="K691" s="3">
        <v>49.91</v>
      </c>
      <c r="L691" s="3">
        <v>75.150000000000006</v>
      </c>
      <c r="M691" s="3">
        <v>78.95</v>
      </c>
      <c r="N691" s="3">
        <v>19.579999999999998</v>
      </c>
      <c r="O691" s="3"/>
      <c r="P691" s="22">
        <v>45877</v>
      </c>
      <c r="Q691" s="22">
        <v>45877</v>
      </c>
      <c r="R691" s="3"/>
    </row>
    <row r="692" spans="1:19" x14ac:dyDescent="0.25">
      <c r="A692" s="14">
        <v>20</v>
      </c>
      <c r="B692" s="14">
        <v>2</v>
      </c>
      <c r="C692" s="14" t="s">
        <v>176</v>
      </c>
      <c r="D692" s="14" t="s">
        <v>72</v>
      </c>
      <c r="E692" s="14" t="s">
        <v>985</v>
      </c>
      <c r="F692" s="14" t="str">
        <f t="shared" si="8"/>
        <v>S_Y56</v>
      </c>
      <c r="G692" s="3">
        <v>43.343000000000004</v>
      </c>
      <c r="H692" s="3">
        <f>IFERROR(INDEX('Tagging key'!D:D, MATCH(F692,'Tagging key'!C:C,0)),"")</f>
        <v>67</v>
      </c>
      <c r="I692" s="3">
        <f>IFERROR(INDEX('Tagging key'!E:E, MATCH(F692,'Tagging key'!C:C,0)),"")</f>
        <v>74</v>
      </c>
      <c r="J692" s="3">
        <f>IFERROR(INDEX('Tagging key'!F:F, MATCH(F692,'Tagging key'!C:C,0)),"")</f>
        <v>18</v>
      </c>
      <c r="K692" s="3">
        <v>40.976999999999997</v>
      </c>
      <c r="L692" s="3">
        <v>67.75</v>
      </c>
      <c r="M692" s="3">
        <v>74.81</v>
      </c>
      <c r="N692" s="3">
        <v>20.77</v>
      </c>
      <c r="O692" s="3"/>
      <c r="P692" s="22">
        <v>45882</v>
      </c>
      <c r="Q692" s="22">
        <v>45882</v>
      </c>
      <c r="R692" s="3">
        <v>17.727</v>
      </c>
    </row>
    <row r="693" spans="1:19" x14ac:dyDescent="0.25">
      <c r="A693" s="14">
        <v>20</v>
      </c>
      <c r="B693" s="14">
        <v>2</v>
      </c>
      <c r="C693" s="14" t="s">
        <v>176</v>
      </c>
      <c r="D693" s="14" t="s">
        <v>72</v>
      </c>
      <c r="E693" s="14" t="s">
        <v>986</v>
      </c>
      <c r="F693" s="14" t="str">
        <f t="shared" si="8"/>
        <v>S_G42B</v>
      </c>
      <c r="G693" s="3">
        <v>55.497</v>
      </c>
      <c r="H693" s="3">
        <f>IFERROR(INDEX('Tagging key'!D:D, MATCH(F693,'Tagging key'!C:C,0)),"")</f>
        <v>77.099999999999994</v>
      </c>
      <c r="I693" s="3">
        <f>IFERROR(INDEX('Tagging key'!E:E, MATCH(F693,'Tagging key'!C:C,0)),"")</f>
        <v>78.3</v>
      </c>
      <c r="J693" s="3">
        <f>IFERROR(INDEX('Tagging key'!F:F, MATCH(F693,'Tagging key'!C:C,0)),"")</f>
        <v>20.399999999999999</v>
      </c>
      <c r="K693" s="3">
        <v>55.02</v>
      </c>
      <c r="L693" s="3">
        <v>76.209999999999994</v>
      </c>
      <c r="M693" s="3">
        <v>78.849999999999994</v>
      </c>
      <c r="N693" s="3">
        <v>23.91</v>
      </c>
      <c r="O693" s="3"/>
      <c r="P693" s="22">
        <v>45879</v>
      </c>
      <c r="Q693" s="22">
        <v>45879</v>
      </c>
      <c r="R693" s="3"/>
      <c r="S693" t="s">
        <v>987</v>
      </c>
    </row>
    <row r="694" spans="1:19" x14ac:dyDescent="0.25">
      <c r="A694" s="13">
        <v>20</v>
      </c>
      <c r="B694" s="13">
        <v>3</v>
      </c>
      <c r="C694" s="13" t="s">
        <v>176</v>
      </c>
      <c r="D694" s="13" t="s">
        <v>72</v>
      </c>
      <c r="E694" s="13" t="s">
        <v>988</v>
      </c>
      <c r="F694" s="13" t="str">
        <f t="shared" si="8"/>
        <v>S_Y33</v>
      </c>
      <c r="G694" s="3">
        <v>54.225000000000001</v>
      </c>
      <c r="H694" s="3">
        <f>IFERROR(INDEX('Tagging key'!D:D, MATCH(F694,'Tagging key'!C:C,0)),"")</f>
        <v>71</v>
      </c>
      <c r="I694" s="3">
        <f>IFERROR(INDEX('Tagging key'!E:E, MATCH(F694,'Tagging key'!C:C,0)),"")</f>
        <v>76</v>
      </c>
      <c r="J694" s="3">
        <f>IFERROR(INDEX('Tagging key'!F:F, MATCH(F694,'Tagging key'!C:C,0)),"")</f>
        <v>19.5</v>
      </c>
      <c r="K694" s="3">
        <v>54.811</v>
      </c>
      <c r="L694" s="3">
        <v>72.739999999999995</v>
      </c>
      <c r="M694" s="3">
        <v>77.8</v>
      </c>
      <c r="N694" s="3">
        <v>20.76</v>
      </c>
      <c r="O694" s="3"/>
      <c r="P694" s="22">
        <v>45882</v>
      </c>
      <c r="Q694" s="22">
        <v>45882</v>
      </c>
      <c r="R694" s="3">
        <v>22.971</v>
      </c>
      <c r="S694" t="s">
        <v>989</v>
      </c>
    </row>
    <row r="695" spans="1:19" x14ac:dyDescent="0.25">
      <c r="A695" s="13">
        <v>20</v>
      </c>
      <c r="B695" s="13">
        <v>3</v>
      </c>
      <c r="C695" s="13" t="s">
        <v>176</v>
      </c>
      <c r="D695" s="13" t="s">
        <v>72</v>
      </c>
      <c r="E695" s="13" t="s">
        <v>990</v>
      </c>
      <c r="F695" s="13" t="str">
        <f t="shared" si="8"/>
        <v>S_G92</v>
      </c>
      <c r="G695" s="3">
        <v>60.686999999999998</v>
      </c>
      <c r="H695" s="3">
        <f>IFERROR(INDEX('Tagging key'!D:D, MATCH(F695,'Tagging key'!C:C,0)),"")</f>
        <v>73</v>
      </c>
      <c r="I695" s="3">
        <f>IFERROR(INDEX('Tagging key'!E:E, MATCH(F695,'Tagging key'!C:C,0)),"")</f>
        <v>77</v>
      </c>
      <c r="J695" s="3">
        <f>IFERROR(INDEX('Tagging key'!F:F, MATCH(F695,'Tagging key'!C:C,0)),"")</f>
        <v>20</v>
      </c>
      <c r="K695" s="3">
        <v>56.045999999999999</v>
      </c>
      <c r="L695" s="3">
        <v>74.569999999999993</v>
      </c>
      <c r="M695" s="3">
        <v>79.39</v>
      </c>
      <c r="N695" s="3">
        <v>23</v>
      </c>
      <c r="O695" s="3"/>
      <c r="P695" s="22">
        <v>45877</v>
      </c>
      <c r="Q695" s="22">
        <v>45877</v>
      </c>
      <c r="R695" s="3"/>
    </row>
    <row r="696" spans="1:19" x14ac:dyDescent="0.25">
      <c r="A696" s="13">
        <v>20</v>
      </c>
      <c r="B696" s="13">
        <v>3</v>
      </c>
      <c r="C696" s="13" t="s">
        <v>176</v>
      </c>
      <c r="D696" s="13" t="s">
        <v>72</v>
      </c>
      <c r="E696" s="13" t="s">
        <v>991</v>
      </c>
      <c r="F696" s="13" t="str">
        <f t="shared" si="8"/>
        <v>S_Y12</v>
      </c>
      <c r="G696" s="3">
        <v>64.271000000000001</v>
      </c>
      <c r="H696" s="3">
        <f>IFERROR(INDEX('Tagging key'!D:D, MATCH(F696,'Tagging key'!C:C,0)),"")</f>
        <v>72.5</v>
      </c>
      <c r="I696" s="3">
        <f>IFERROR(INDEX('Tagging key'!E:E, MATCH(F696,'Tagging key'!C:C,0)),"")</f>
        <v>76</v>
      </c>
      <c r="J696" s="3">
        <f>IFERROR(INDEX('Tagging key'!F:F, MATCH(F696,'Tagging key'!C:C,0)),"")</f>
        <v>17</v>
      </c>
      <c r="K696" s="3">
        <v>44.896999999999998</v>
      </c>
      <c r="L696" s="3">
        <v>74.209999999999994</v>
      </c>
      <c r="M696" s="3">
        <v>75.09</v>
      </c>
      <c r="N696" s="3">
        <v>18.440000000000001</v>
      </c>
      <c r="O696" s="3"/>
      <c r="P696" s="22">
        <v>45879</v>
      </c>
      <c r="Q696" s="22">
        <v>45879</v>
      </c>
      <c r="R696" s="3"/>
    </row>
    <row r="697" spans="1:19" x14ac:dyDescent="0.25">
      <c r="A697" s="13">
        <v>20</v>
      </c>
      <c r="B697" s="13">
        <v>3</v>
      </c>
      <c r="C697" s="13" t="s">
        <v>176</v>
      </c>
      <c r="D697" s="13" t="s">
        <v>72</v>
      </c>
      <c r="E697" s="13" t="s">
        <v>992</v>
      </c>
      <c r="F697" s="13" t="str">
        <f t="shared" si="8"/>
        <v>S_G56</v>
      </c>
      <c r="G697" s="3">
        <v>67.557000000000002</v>
      </c>
      <c r="H697" s="3">
        <f>IFERROR(INDEX('Tagging key'!D:D, MATCH(F697,'Tagging key'!C:C,0)),"")</f>
        <v>72</v>
      </c>
      <c r="I697" s="3">
        <f>IFERROR(INDEX('Tagging key'!E:E, MATCH(F697,'Tagging key'!C:C,0)),"")</f>
        <v>80</v>
      </c>
      <c r="J697" s="3">
        <f>IFERROR(INDEX('Tagging key'!F:F, MATCH(F697,'Tagging key'!C:C,0)),"")</f>
        <v>21</v>
      </c>
      <c r="K697" s="3">
        <v>65.126000000000005</v>
      </c>
      <c r="L697" s="3">
        <v>73.37</v>
      </c>
      <c r="M697" s="3">
        <v>81.459999999999994</v>
      </c>
      <c r="N697" s="3">
        <v>23</v>
      </c>
      <c r="O697" s="3"/>
      <c r="P697" s="22">
        <v>45886</v>
      </c>
      <c r="Q697" s="22">
        <v>45886</v>
      </c>
      <c r="R697" s="3">
        <v>27.210999999999999</v>
      </c>
    </row>
    <row r="698" spans="1:19" x14ac:dyDescent="0.25">
      <c r="A698" s="8">
        <v>20</v>
      </c>
      <c r="B698" s="8">
        <v>4</v>
      </c>
      <c r="C698" s="8" t="s">
        <v>105</v>
      </c>
      <c r="D698" s="8" t="s">
        <v>16</v>
      </c>
      <c r="E698" s="8" t="s">
        <v>192</v>
      </c>
      <c r="F698" s="8" t="str">
        <f t="shared" si="8"/>
        <v>O_R88</v>
      </c>
      <c r="G698" s="3">
        <v>30.873999999999999</v>
      </c>
      <c r="H698" s="3">
        <f>IFERROR(INDEX('Tagging key'!D:D, MATCH(F698,'Tagging key'!C:C,0)),"")</f>
        <v>72.88</v>
      </c>
      <c r="I698" s="3">
        <f>IFERROR(INDEX('Tagging key'!E:E, MATCH(F698,'Tagging key'!C:C,0)),"")</f>
        <v>50.25</v>
      </c>
      <c r="J698" s="3">
        <f>IFERROR(INDEX('Tagging key'!F:F, MATCH(F698,'Tagging key'!C:C,0)),"")</f>
        <v>16.440000000000001</v>
      </c>
      <c r="K698" s="3">
        <v>30.609000000000002</v>
      </c>
      <c r="L698" s="3">
        <v>75.150000000000006</v>
      </c>
      <c r="M698" s="3">
        <v>49.71</v>
      </c>
      <c r="N698" s="3">
        <v>18.899999999999999</v>
      </c>
      <c r="O698" s="3"/>
      <c r="P698" s="22">
        <v>45877</v>
      </c>
      <c r="Q698" s="22">
        <v>45877</v>
      </c>
      <c r="R698" s="3"/>
    </row>
    <row r="699" spans="1:19" x14ac:dyDescent="0.25">
      <c r="A699" s="8">
        <v>20</v>
      </c>
      <c r="B699" s="8">
        <v>4</v>
      </c>
      <c r="C699" s="8" t="s">
        <v>105</v>
      </c>
      <c r="D699" s="8" t="s">
        <v>16</v>
      </c>
      <c r="E699" s="8" t="s">
        <v>98</v>
      </c>
      <c r="F699" s="8" t="str">
        <f t="shared" si="8"/>
        <v>O_B2</v>
      </c>
      <c r="G699" s="3">
        <v>24.763999999999999</v>
      </c>
      <c r="H699" s="3">
        <f>IFERROR(INDEX('Tagging key'!D:D, MATCH(F699,'Tagging key'!C:C,0)),"")</f>
        <v>63.73</v>
      </c>
      <c r="I699" s="3">
        <f>IFERROR(INDEX('Tagging key'!E:E, MATCH(F699,'Tagging key'!C:C,0)),"")</f>
        <v>53.03</v>
      </c>
      <c r="J699" s="3">
        <f>IFERROR(INDEX('Tagging key'!F:F, MATCH(F699,'Tagging key'!C:C,0)),"")</f>
        <v>17.95</v>
      </c>
      <c r="K699" s="3">
        <v>24.792000000000002</v>
      </c>
      <c r="L699" s="3">
        <v>67.36</v>
      </c>
      <c r="M699" s="3">
        <v>34.83</v>
      </c>
      <c r="N699" s="3">
        <v>19.18</v>
      </c>
      <c r="O699" s="3"/>
      <c r="P699" s="22">
        <v>45886</v>
      </c>
      <c r="Q699" s="22">
        <v>45886</v>
      </c>
      <c r="R699" s="3"/>
    </row>
    <row r="700" spans="1:19" x14ac:dyDescent="0.25">
      <c r="A700" s="8">
        <v>20</v>
      </c>
      <c r="B700" s="8">
        <v>4</v>
      </c>
      <c r="C700" s="8" t="s">
        <v>105</v>
      </c>
      <c r="D700" s="8" t="s">
        <v>16</v>
      </c>
      <c r="E700" s="8" t="s">
        <v>484</v>
      </c>
      <c r="F700" s="8" t="str">
        <f t="shared" si="8"/>
        <v>O_R26</v>
      </c>
      <c r="G700" s="3">
        <v>36.701999999999998</v>
      </c>
      <c r="H700" s="3">
        <f>IFERROR(INDEX('Tagging key'!D:D, MATCH(F700,'Tagging key'!C:C,0)),"")</f>
        <v>62.62</v>
      </c>
      <c r="I700" s="3">
        <f>IFERROR(INDEX('Tagging key'!E:E, MATCH(F700,'Tagging key'!C:C,0)),"")</f>
        <v>57.92</v>
      </c>
      <c r="J700" s="3">
        <f>IFERROR(INDEX('Tagging key'!F:F, MATCH(F700,'Tagging key'!C:C,0)),"")</f>
        <v>19.47</v>
      </c>
      <c r="K700" s="3">
        <v>36.421999999999997</v>
      </c>
      <c r="L700" s="3">
        <v>65.510000000000005</v>
      </c>
      <c r="M700" s="3">
        <v>55.27</v>
      </c>
      <c r="N700" s="3">
        <v>17.309999999999999</v>
      </c>
      <c r="O700" s="3"/>
      <c r="P700" s="22">
        <v>45879</v>
      </c>
      <c r="Q700" s="22">
        <v>45879</v>
      </c>
      <c r="R700" s="3"/>
    </row>
    <row r="701" spans="1:19" x14ac:dyDescent="0.25">
      <c r="A701" s="8">
        <v>20</v>
      </c>
      <c r="B701" s="8">
        <v>4</v>
      </c>
      <c r="C701" s="8" t="s">
        <v>105</v>
      </c>
      <c r="D701" s="8" t="s">
        <v>16</v>
      </c>
      <c r="E701" s="8" t="s">
        <v>473</v>
      </c>
      <c r="F701" s="8" t="str">
        <f t="shared" si="8"/>
        <v>O_R25</v>
      </c>
      <c r="G701" s="3">
        <v>33.878999999999998</v>
      </c>
      <c r="H701" s="3">
        <f>IFERROR(INDEX('Tagging key'!D:D, MATCH(F701,'Tagging key'!C:C,0)),"")</f>
        <v>68.069999999999993</v>
      </c>
      <c r="I701" s="3">
        <f>IFERROR(INDEX('Tagging key'!E:E, MATCH(F701,'Tagging key'!C:C,0)),"")</f>
        <v>43.91</v>
      </c>
      <c r="J701" s="3">
        <f>IFERROR(INDEX('Tagging key'!F:F, MATCH(F701,'Tagging key'!C:C,0)),"")</f>
        <v>17.93</v>
      </c>
      <c r="K701" s="3">
        <v>33.360999999999997</v>
      </c>
      <c r="L701" s="3">
        <v>71.41</v>
      </c>
      <c r="M701" s="3">
        <v>44.25</v>
      </c>
      <c r="N701" s="3">
        <v>19.16</v>
      </c>
      <c r="O701" s="3"/>
      <c r="P701" s="22">
        <v>45882</v>
      </c>
      <c r="Q701" s="22">
        <v>45882</v>
      </c>
      <c r="R701" s="3">
        <v>20.913</v>
      </c>
    </row>
    <row r="702" spans="1:19" x14ac:dyDescent="0.25">
      <c r="A702" s="9">
        <v>20</v>
      </c>
      <c r="B702" s="9">
        <v>5</v>
      </c>
      <c r="C702" s="9" t="s">
        <v>105</v>
      </c>
      <c r="D702" s="9" t="s">
        <v>16</v>
      </c>
      <c r="E702" s="9" t="s">
        <v>931</v>
      </c>
      <c r="F702" s="9" t="str">
        <f t="shared" si="8"/>
        <v>O_B29</v>
      </c>
      <c r="G702" s="3">
        <v>30.936</v>
      </c>
      <c r="H702" s="3">
        <f>IFERROR(INDEX('Tagging key'!D:D, MATCH(F702,'Tagging key'!C:C,0)),"")</f>
        <v>62.15</v>
      </c>
      <c r="I702" s="3">
        <f>IFERROR(INDEX('Tagging key'!E:E, MATCH(F702,'Tagging key'!C:C,0)),"")</f>
        <v>45.91</v>
      </c>
      <c r="J702" s="3">
        <f>IFERROR(INDEX('Tagging key'!F:F, MATCH(F702,'Tagging key'!C:C,0)),"")</f>
        <v>16.34</v>
      </c>
      <c r="K702" s="3">
        <v>31.018999999999998</v>
      </c>
      <c r="L702" s="3">
        <v>61.32</v>
      </c>
      <c r="M702" s="3">
        <v>45.68</v>
      </c>
      <c r="N702" s="3">
        <v>17.04</v>
      </c>
      <c r="O702" s="3"/>
      <c r="P702" s="22">
        <v>45882</v>
      </c>
      <c r="Q702" s="22">
        <v>45882</v>
      </c>
      <c r="R702" s="3">
        <v>22.120999999999999</v>
      </c>
    </row>
    <row r="703" spans="1:19" x14ac:dyDescent="0.25">
      <c r="A703" s="9">
        <v>20</v>
      </c>
      <c r="B703" s="9">
        <v>5</v>
      </c>
      <c r="C703" s="9" t="s">
        <v>105</v>
      </c>
      <c r="D703" s="9" t="s">
        <v>16</v>
      </c>
      <c r="E703" s="9" t="s">
        <v>892</v>
      </c>
      <c r="F703" s="9" t="str">
        <f t="shared" si="8"/>
        <v>O_R71</v>
      </c>
      <c r="G703" s="3">
        <v>51.271999999999998</v>
      </c>
      <c r="H703" s="3">
        <f>IFERROR(INDEX('Tagging key'!D:D, MATCH(F703,'Tagging key'!C:C,0)),"")</f>
        <v>79.97</v>
      </c>
      <c r="I703" s="3">
        <f>IFERROR(INDEX('Tagging key'!E:E, MATCH(F703,'Tagging key'!C:C,0)),"")</f>
        <v>55.16</v>
      </c>
      <c r="J703" s="3">
        <f>IFERROR(INDEX('Tagging key'!F:F, MATCH(F703,'Tagging key'!C:C,0)),"")</f>
        <v>18.45</v>
      </c>
      <c r="K703" s="3">
        <v>50.756999999999998</v>
      </c>
      <c r="L703" s="3">
        <v>75.83</v>
      </c>
      <c r="M703" s="3">
        <v>50.85</v>
      </c>
      <c r="N703" s="3">
        <v>19.739999999999998</v>
      </c>
      <c r="O703" s="3"/>
      <c r="P703" s="22">
        <v>45879</v>
      </c>
      <c r="Q703" s="22">
        <v>45879</v>
      </c>
      <c r="R703" s="3"/>
    </row>
    <row r="704" spans="1:19" x14ac:dyDescent="0.25">
      <c r="A704" s="9">
        <v>20</v>
      </c>
      <c r="B704" s="9">
        <v>5</v>
      </c>
      <c r="C704" s="9" t="s">
        <v>105</v>
      </c>
      <c r="D704" s="9" t="s">
        <v>16</v>
      </c>
      <c r="E704" s="9" t="s">
        <v>256</v>
      </c>
      <c r="F704" s="9" t="str">
        <f t="shared" si="8"/>
        <v>O_B19</v>
      </c>
      <c r="G704" s="3">
        <v>41.469000000000001</v>
      </c>
      <c r="H704" s="3">
        <f>IFERROR(INDEX('Tagging key'!D:D, MATCH(F704,'Tagging key'!C:C,0)),"")</f>
        <v>80.52</v>
      </c>
      <c r="I704" s="3">
        <f>IFERROR(INDEX('Tagging key'!E:E, MATCH(F704,'Tagging key'!C:C,0)),"")</f>
        <v>46.08</v>
      </c>
      <c r="J704" s="3">
        <f>IFERROR(INDEX('Tagging key'!F:F, MATCH(F704,'Tagging key'!C:C,0)),"")</f>
        <v>16.48</v>
      </c>
      <c r="K704" s="3">
        <v>41.338000000000001</v>
      </c>
      <c r="L704" s="3">
        <v>79.97</v>
      </c>
      <c r="M704" s="3">
        <v>47.86</v>
      </c>
      <c r="N704" s="3">
        <v>23.37</v>
      </c>
      <c r="O704" s="3"/>
      <c r="P704" s="22">
        <v>45877</v>
      </c>
      <c r="Q704" s="22">
        <v>45877</v>
      </c>
      <c r="R704" s="3"/>
    </row>
    <row r="705" spans="1:19" x14ac:dyDescent="0.25">
      <c r="A705" s="9">
        <v>20</v>
      </c>
      <c r="B705" s="9">
        <v>5</v>
      </c>
      <c r="C705" s="9" t="s">
        <v>105</v>
      </c>
      <c r="D705" s="9" t="s">
        <v>16</v>
      </c>
      <c r="E705" s="9" t="s">
        <v>715</v>
      </c>
      <c r="F705" s="9" t="str">
        <f t="shared" si="8"/>
        <v>O_R85</v>
      </c>
      <c r="G705" s="3">
        <v>27.731999999999999</v>
      </c>
      <c r="H705" s="3">
        <f>IFERROR(INDEX('Tagging key'!D:D, MATCH(F705,'Tagging key'!C:C,0)),"")</f>
        <v>62.41</v>
      </c>
      <c r="I705" s="3">
        <f>IFERROR(INDEX('Tagging key'!E:E, MATCH(F705,'Tagging key'!C:C,0)),"")</f>
        <v>49.13</v>
      </c>
      <c r="J705" s="3">
        <f>IFERROR(INDEX('Tagging key'!F:F, MATCH(F705,'Tagging key'!C:C,0)),"")</f>
        <v>13.66</v>
      </c>
      <c r="K705" s="3">
        <v>27.626999999999999</v>
      </c>
      <c r="L705" s="3">
        <v>63.25</v>
      </c>
      <c r="M705" s="3">
        <v>48.75</v>
      </c>
      <c r="N705" s="3">
        <v>16.61</v>
      </c>
      <c r="O705" s="3"/>
      <c r="P705" s="22">
        <v>45886</v>
      </c>
      <c r="Q705" s="22">
        <v>45886</v>
      </c>
      <c r="R705" s="3">
        <v>18.257999999999999</v>
      </c>
    </row>
    <row r="706" spans="1:19" x14ac:dyDescent="0.25">
      <c r="A706" s="8">
        <v>20</v>
      </c>
      <c r="B706" s="8">
        <v>6</v>
      </c>
      <c r="C706" s="8" t="s">
        <v>105</v>
      </c>
      <c r="D706" s="8" t="s">
        <v>16</v>
      </c>
      <c r="E706" s="8" t="s">
        <v>599</v>
      </c>
      <c r="F706" s="8" t="str">
        <f t="shared" si="8"/>
        <v>O_B11</v>
      </c>
      <c r="G706" s="3">
        <v>37.884</v>
      </c>
      <c r="H706" s="3">
        <f>IFERROR(INDEX('Tagging key'!D:D, MATCH(F706,'Tagging key'!C:C,0)),"")</f>
        <v>76.08</v>
      </c>
      <c r="I706" s="3">
        <f>IFERROR(INDEX('Tagging key'!E:E, MATCH(F706,'Tagging key'!C:C,0)),"")</f>
        <v>50.98</v>
      </c>
      <c r="J706" s="3">
        <f>IFERROR(INDEX('Tagging key'!F:F, MATCH(F706,'Tagging key'!C:C,0)),"")</f>
        <v>18.13</v>
      </c>
      <c r="K706" s="3">
        <v>37.6</v>
      </c>
      <c r="L706" s="3">
        <v>75.930000000000007</v>
      </c>
      <c r="M706" s="3">
        <v>51.92</v>
      </c>
      <c r="N706" s="3">
        <v>23.99</v>
      </c>
      <c r="O706" s="3"/>
      <c r="P706" s="22">
        <v>45877</v>
      </c>
      <c r="Q706" s="22">
        <v>45877</v>
      </c>
      <c r="R706" s="3"/>
    </row>
    <row r="707" spans="1:19" x14ac:dyDescent="0.25">
      <c r="A707" s="8">
        <v>20</v>
      </c>
      <c r="B707" s="8">
        <v>6</v>
      </c>
      <c r="C707" s="8" t="s">
        <v>105</v>
      </c>
      <c r="D707" s="8" t="s">
        <v>16</v>
      </c>
      <c r="E707" s="8" t="s">
        <v>930</v>
      </c>
      <c r="F707" s="8" t="str">
        <f t="shared" si="8"/>
        <v>O_R81</v>
      </c>
      <c r="G707" s="19">
        <v>33.700000000000003</v>
      </c>
      <c r="H707" s="19">
        <f>IFERROR(INDEX('Tagging key'!D:D, MATCH(F707,'Tagging key'!C:C,0)),"")</f>
        <v>66.489999999999995</v>
      </c>
      <c r="I707" s="19">
        <f>IFERROR(INDEX('Tagging key'!E:E, MATCH(F707,'Tagging key'!C:C,0)),"")</f>
        <v>49.37</v>
      </c>
      <c r="J707" s="19">
        <f>IFERROR(INDEX('Tagging key'!F:F, MATCH(F707,'Tagging key'!C:C,0)),"")</f>
        <v>20.52</v>
      </c>
      <c r="K707" s="19"/>
      <c r="L707" s="19"/>
      <c r="M707" s="19"/>
      <c r="N707" s="19"/>
      <c r="O707" s="19"/>
      <c r="P707" s="19"/>
      <c r="Q707" s="19"/>
      <c r="R707" s="19"/>
      <c r="S707" t="s">
        <v>993</v>
      </c>
    </row>
    <row r="708" spans="1:19" x14ac:dyDescent="0.25">
      <c r="A708" s="8">
        <v>20</v>
      </c>
      <c r="B708" s="8">
        <v>6</v>
      </c>
      <c r="C708" s="8" t="s">
        <v>105</v>
      </c>
      <c r="D708" s="8" t="s">
        <v>16</v>
      </c>
      <c r="E708" s="8" t="s">
        <v>955</v>
      </c>
      <c r="F708" s="8" t="str">
        <f t="shared" si="8"/>
        <v>O_Y1</v>
      </c>
      <c r="G708" s="3">
        <v>28.091000000000001</v>
      </c>
      <c r="H708" s="3">
        <f>IFERROR(INDEX('Tagging key'!D:D, MATCH(F708,'Tagging key'!C:C,0)),"")</f>
        <v>63.78</v>
      </c>
      <c r="I708" s="3">
        <f>IFERROR(INDEX('Tagging key'!E:E, MATCH(F708,'Tagging key'!C:C,0)),"")</f>
        <v>49.78</v>
      </c>
      <c r="J708" s="3">
        <f>IFERROR(INDEX('Tagging key'!F:F, MATCH(F708,'Tagging key'!C:C,0)),"")</f>
        <v>18.7</v>
      </c>
      <c r="K708" s="3">
        <v>27.62</v>
      </c>
      <c r="L708" s="3">
        <v>63.66</v>
      </c>
      <c r="M708" s="3">
        <v>47.09</v>
      </c>
      <c r="N708" s="3">
        <v>17.7</v>
      </c>
      <c r="O708" s="3"/>
      <c r="P708" s="22">
        <v>45882</v>
      </c>
      <c r="Q708" s="22">
        <v>45882</v>
      </c>
      <c r="R708" s="3">
        <v>14.89</v>
      </c>
    </row>
    <row r="709" spans="1:19" x14ac:dyDescent="0.25">
      <c r="A709" s="8">
        <v>20</v>
      </c>
      <c r="B709" s="8">
        <v>6</v>
      </c>
      <c r="C709" s="8" t="s">
        <v>105</v>
      </c>
      <c r="D709" s="8" t="s">
        <v>16</v>
      </c>
      <c r="E709" s="8" t="s">
        <v>864</v>
      </c>
      <c r="F709" s="8" t="str">
        <f t="shared" si="8"/>
        <v>O_Y2</v>
      </c>
      <c r="G709" s="3">
        <v>33.762</v>
      </c>
      <c r="H709" s="3">
        <f>IFERROR(INDEX('Tagging key'!D:D, MATCH(F709,'Tagging key'!C:C,0)),"")</f>
        <v>69.260000000000005</v>
      </c>
      <c r="I709" s="3">
        <f>IFERROR(INDEX('Tagging key'!E:E, MATCH(F709,'Tagging key'!C:C,0)),"")</f>
        <v>49.41</v>
      </c>
      <c r="J709" s="3">
        <f>IFERROR(INDEX('Tagging key'!F:F, MATCH(F709,'Tagging key'!C:C,0)),"")</f>
        <v>21.33</v>
      </c>
      <c r="K709" s="3">
        <v>33.204999999999998</v>
      </c>
      <c r="L709" s="3">
        <v>67.31</v>
      </c>
      <c r="M709" s="3">
        <v>45.21</v>
      </c>
      <c r="N709" s="3">
        <v>17.3</v>
      </c>
      <c r="O709" s="3"/>
      <c r="P709" s="22">
        <v>45879</v>
      </c>
      <c r="Q709" s="22">
        <v>45879</v>
      </c>
      <c r="R709" s="3"/>
    </row>
    <row r="710" spans="1:19" x14ac:dyDescent="0.25">
      <c r="A710" s="11">
        <v>20</v>
      </c>
      <c r="B710" s="11">
        <v>7</v>
      </c>
      <c r="C710" s="11" t="s">
        <v>176</v>
      </c>
      <c r="D710" s="11" t="s">
        <v>964</v>
      </c>
      <c r="E710" s="11" t="s">
        <v>408</v>
      </c>
      <c r="F710" s="11" t="str">
        <f t="shared" si="8"/>
        <v>M_G8</v>
      </c>
      <c r="G710" s="3">
        <v>44.652999999999999</v>
      </c>
      <c r="H710" s="3">
        <f>IFERROR(INDEX('Tagging key'!D:D, MATCH(F710,'Tagging key'!C:C,0)),"")</f>
        <v>72</v>
      </c>
      <c r="I710" s="3">
        <f>IFERROR(INDEX('Tagging key'!E:E, MATCH(F710,'Tagging key'!C:C,0)),"")</f>
        <v>37</v>
      </c>
      <c r="J710" s="3">
        <f>IFERROR(INDEX('Tagging key'!F:F, MATCH(F710,'Tagging key'!C:C,0)),"")</f>
        <v>29</v>
      </c>
      <c r="K710" s="3">
        <v>47.24</v>
      </c>
      <c r="L710" s="3">
        <v>73.010000000000005</v>
      </c>
      <c r="M710" s="3">
        <v>36.6</v>
      </c>
      <c r="N710" s="3">
        <v>30.13</v>
      </c>
      <c r="O710" s="3"/>
      <c r="P710" s="22">
        <v>45882</v>
      </c>
      <c r="Q710" s="22">
        <v>45882</v>
      </c>
      <c r="R710" s="3">
        <v>22.626000000000001</v>
      </c>
    </row>
    <row r="711" spans="1:19" x14ac:dyDescent="0.25">
      <c r="A711" s="11">
        <v>20</v>
      </c>
      <c r="B711" s="11">
        <v>7</v>
      </c>
      <c r="C711" s="11" t="s">
        <v>176</v>
      </c>
      <c r="D711" s="11" t="s">
        <v>964</v>
      </c>
      <c r="E711" s="11" t="s">
        <v>926</v>
      </c>
      <c r="F711" s="11" t="str">
        <f t="shared" si="8"/>
        <v>M_R1</v>
      </c>
      <c r="G711" s="3">
        <v>47.284999999999997</v>
      </c>
      <c r="H711" s="3">
        <f>IFERROR(INDEX('Tagging key'!D:D, MATCH(F711,'Tagging key'!C:C,0)),"")</f>
        <v>79.790000000000006</v>
      </c>
      <c r="I711" s="3">
        <f>IFERROR(INDEX('Tagging key'!E:E, MATCH(F711,'Tagging key'!C:C,0)),"")</f>
        <v>39.26</v>
      </c>
      <c r="J711" s="3">
        <f>IFERROR(INDEX('Tagging key'!F:F, MATCH(F711,'Tagging key'!C:C,0)),"")</f>
        <v>29.34</v>
      </c>
      <c r="K711" s="3">
        <v>47.197000000000003</v>
      </c>
      <c r="L711" s="3">
        <v>80.02</v>
      </c>
      <c r="M711" s="3">
        <v>35.130000000000003</v>
      </c>
      <c r="N711" s="3">
        <v>29.55</v>
      </c>
      <c r="O711" s="3"/>
      <c r="P711" s="22">
        <v>45877</v>
      </c>
      <c r="Q711" s="22">
        <v>45877</v>
      </c>
      <c r="R711" s="3"/>
      <c r="S711" t="s">
        <v>989</v>
      </c>
    </row>
    <row r="712" spans="1:19" x14ac:dyDescent="0.25">
      <c r="A712" s="11">
        <v>20</v>
      </c>
      <c r="B712" s="11">
        <v>7</v>
      </c>
      <c r="C712" s="11" t="s">
        <v>176</v>
      </c>
      <c r="D712" s="11" t="s">
        <v>964</v>
      </c>
      <c r="E712" s="11" t="s">
        <v>241</v>
      </c>
      <c r="F712" s="11" t="str">
        <f t="shared" si="8"/>
        <v>M_G9</v>
      </c>
      <c r="G712" s="3">
        <v>35</v>
      </c>
      <c r="H712" s="3">
        <f>IFERROR(INDEX('Tagging key'!D:D, MATCH(F712,'Tagging key'!C:C,0)),"")</f>
        <v>71</v>
      </c>
      <c r="I712" s="3">
        <f>IFERROR(INDEX('Tagging key'!E:E, MATCH(F712,'Tagging key'!C:C,0)),"")</f>
        <v>38</v>
      </c>
      <c r="J712" s="3">
        <f>IFERROR(INDEX('Tagging key'!F:F, MATCH(F712,'Tagging key'!C:C,0)),"")</f>
        <v>25</v>
      </c>
      <c r="K712" s="3">
        <v>35.881999999999998</v>
      </c>
      <c r="L712" s="3">
        <v>72.47</v>
      </c>
      <c r="M712" s="3">
        <v>38.83</v>
      </c>
      <c r="N712" s="3">
        <v>25.58</v>
      </c>
      <c r="O712" s="3"/>
      <c r="P712" s="22">
        <v>45886</v>
      </c>
      <c r="Q712" s="22">
        <v>45886</v>
      </c>
      <c r="R712" s="3">
        <v>9.8290000000000006</v>
      </c>
    </row>
    <row r="713" spans="1:19" x14ac:dyDescent="0.25">
      <c r="A713" s="11">
        <v>20</v>
      </c>
      <c r="B713" s="11">
        <v>7</v>
      </c>
      <c r="C713" s="11" t="s">
        <v>176</v>
      </c>
      <c r="D713" s="11" t="s">
        <v>964</v>
      </c>
      <c r="E713" s="11" t="s">
        <v>739</v>
      </c>
      <c r="F713" s="11" t="str">
        <f t="shared" si="8"/>
        <v>M_B90</v>
      </c>
      <c r="G713" s="3">
        <v>55.344000000000001</v>
      </c>
      <c r="H713" s="3">
        <f>IFERROR(INDEX('Tagging key'!D:D, MATCH(F713,'Tagging key'!C:C,0)),"")</f>
        <v>81</v>
      </c>
      <c r="I713" s="3">
        <f>IFERROR(INDEX('Tagging key'!E:E, MATCH(F713,'Tagging key'!C:C,0)),"")</f>
        <v>40</v>
      </c>
      <c r="J713" s="3">
        <f>IFERROR(INDEX('Tagging key'!F:F, MATCH(F713,'Tagging key'!C:C,0)),"")</f>
        <v>30</v>
      </c>
      <c r="K713" s="3">
        <v>56.109000000000002</v>
      </c>
      <c r="L713" s="3">
        <v>81.47</v>
      </c>
      <c r="M713" s="3">
        <v>40.67</v>
      </c>
      <c r="N713" s="3">
        <v>30.29</v>
      </c>
      <c r="O713" s="3"/>
      <c r="P713" s="22">
        <v>45879</v>
      </c>
      <c r="Q713" s="22">
        <v>45879</v>
      </c>
      <c r="R713" s="3"/>
    </row>
    <row r="714" spans="1:19" x14ac:dyDescent="0.25">
      <c r="A714" s="12">
        <v>20</v>
      </c>
      <c r="B714" s="12">
        <v>8</v>
      </c>
      <c r="C714" s="12" t="s">
        <v>176</v>
      </c>
      <c r="D714" s="12" t="s">
        <v>964</v>
      </c>
      <c r="E714" s="12" t="s">
        <v>361</v>
      </c>
      <c r="F714" s="12" t="str">
        <f t="shared" si="8"/>
        <v>M_R21</v>
      </c>
      <c r="G714" s="3">
        <v>42.628</v>
      </c>
      <c r="H714" s="3">
        <f>IFERROR(INDEX('Tagging key'!D:D, MATCH(F714,'Tagging key'!C:C,0)),"")</f>
        <v>70.69</v>
      </c>
      <c r="I714" s="3">
        <f>IFERROR(INDEX('Tagging key'!E:E, MATCH(F714,'Tagging key'!C:C,0)),"")</f>
        <v>38</v>
      </c>
      <c r="J714" s="3">
        <f>IFERROR(INDEX('Tagging key'!F:F, MATCH(F714,'Tagging key'!C:C,0)),"")</f>
        <v>29.23</v>
      </c>
      <c r="K714" s="3">
        <v>42.04</v>
      </c>
      <c r="L714" s="3">
        <v>69.87</v>
      </c>
      <c r="M714" s="3">
        <v>34.94</v>
      </c>
      <c r="N714" s="3">
        <v>29.69</v>
      </c>
      <c r="O714" s="3"/>
      <c r="P714" s="22">
        <v>45882</v>
      </c>
      <c r="Q714" s="22">
        <v>45882</v>
      </c>
      <c r="R714" s="3">
        <v>17.994</v>
      </c>
    </row>
    <row r="715" spans="1:19" x14ac:dyDescent="0.25">
      <c r="A715" s="12">
        <v>20</v>
      </c>
      <c r="B715" s="12">
        <v>8</v>
      </c>
      <c r="C715" s="12" t="s">
        <v>176</v>
      </c>
      <c r="D715" s="12" t="s">
        <v>964</v>
      </c>
      <c r="E715" s="12" t="s">
        <v>674</v>
      </c>
      <c r="F715" s="12" t="str">
        <f t="shared" si="8"/>
        <v>M_B80</v>
      </c>
      <c r="G715" s="3">
        <v>54.942999999999998</v>
      </c>
      <c r="H715" s="3">
        <f>IFERROR(INDEX('Tagging key'!D:D, MATCH(F715,'Tagging key'!C:C,0)),"")</f>
        <v>79</v>
      </c>
      <c r="I715" s="3">
        <f>IFERROR(INDEX('Tagging key'!E:E, MATCH(F715,'Tagging key'!C:C,0)),"")</f>
        <v>41</v>
      </c>
      <c r="J715" s="3">
        <f>IFERROR(INDEX('Tagging key'!F:F, MATCH(F715,'Tagging key'!C:C,0)),"")</f>
        <v>31</v>
      </c>
      <c r="K715" s="3">
        <v>54.43</v>
      </c>
      <c r="L715" s="3">
        <v>80.849999999999994</v>
      </c>
      <c r="M715" s="3">
        <v>40.619999999999997</v>
      </c>
      <c r="N715" s="3">
        <v>33.22</v>
      </c>
      <c r="O715" s="3"/>
      <c r="P715" s="22">
        <v>45877</v>
      </c>
      <c r="Q715" s="22">
        <v>45877</v>
      </c>
      <c r="R715" s="3"/>
    </row>
    <row r="716" spans="1:19" x14ac:dyDescent="0.25">
      <c r="A716" s="12">
        <v>20</v>
      </c>
      <c r="B716" s="12">
        <v>8</v>
      </c>
      <c r="C716" s="12" t="s">
        <v>176</v>
      </c>
      <c r="D716" s="12" t="s">
        <v>964</v>
      </c>
      <c r="E716" s="12" t="s">
        <v>863</v>
      </c>
      <c r="F716" s="12" t="str">
        <f t="shared" si="8"/>
        <v>M_G18</v>
      </c>
      <c r="G716" s="3">
        <v>27.524999999999999</v>
      </c>
      <c r="H716" s="3">
        <f>IFERROR(INDEX('Tagging key'!D:D, MATCH(F716,'Tagging key'!C:C,0)),"")</f>
        <v>61</v>
      </c>
      <c r="I716" s="3">
        <f>IFERROR(INDEX('Tagging key'!E:E, MATCH(F716,'Tagging key'!C:C,0)),"")</f>
        <v>33</v>
      </c>
      <c r="J716" s="3">
        <f>IFERROR(INDEX('Tagging key'!F:F, MATCH(F716,'Tagging key'!C:C,0)),"")</f>
        <v>24</v>
      </c>
      <c r="K716" s="3">
        <v>27.748999999999999</v>
      </c>
      <c r="L716" s="3">
        <v>64.16</v>
      </c>
      <c r="M716" s="3">
        <v>34.69</v>
      </c>
      <c r="N716" s="3">
        <v>25.83</v>
      </c>
      <c r="O716" s="3"/>
      <c r="P716" s="22">
        <v>45879</v>
      </c>
      <c r="Q716" s="22">
        <v>45879</v>
      </c>
      <c r="R716" s="3"/>
    </row>
    <row r="717" spans="1:19" x14ac:dyDescent="0.25">
      <c r="A717" s="12">
        <v>20</v>
      </c>
      <c r="B717" s="12">
        <v>8</v>
      </c>
      <c r="C717" s="12" t="s">
        <v>176</v>
      </c>
      <c r="D717" s="12" t="s">
        <v>964</v>
      </c>
      <c r="E717" s="12" t="s">
        <v>243</v>
      </c>
      <c r="F717" s="12" t="str">
        <f t="shared" si="8"/>
        <v>M_G27</v>
      </c>
      <c r="G717" s="3">
        <v>39.375</v>
      </c>
      <c r="H717" s="3">
        <f>IFERROR(INDEX('Tagging key'!D:D, MATCH(F717,'Tagging key'!C:C,0)),"")</f>
        <v>75</v>
      </c>
      <c r="I717" s="3">
        <f>IFERROR(INDEX('Tagging key'!E:E, MATCH(F717,'Tagging key'!C:C,0)),"")</f>
        <v>37</v>
      </c>
      <c r="J717" s="3">
        <f>IFERROR(INDEX('Tagging key'!F:F, MATCH(F717,'Tagging key'!C:C,0)),"")</f>
        <v>28</v>
      </c>
      <c r="K717" s="3">
        <v>41.808</v>
      </c>
      <c r="L717" s="3">
        <v>76.86</v>
      </c>
      <c r="M717" s="3">
        <v>36.86</v>
      </c>
      <c r="N717" s="3">
        <v>28.09</v>
      </c>
      <c r="O717" s="3"/>
      <c r="P717" s="22">
        <v>45886</v>
      </c>
      <c r="Q717" s="22">
        <v>45886</v>
      </c>
      <c r="R717" s="3">
        <v>14.459</v>
      </c>
    </row>
    <row r="718" spans="1:19" x14ac:dyDescent="0.25">
      <c r="A718" s="11">
        <v>20</v>
      </c>
      <c r="B718" s="11">
        <v>9</v>
      </c>
      <c r="C718" s="11" t="s">
        <v>176</v>
      </c>
      <c r="D718" s="11" t="s">
        <v>964</v>
      </c>
      <c r="E718" s="11" t="s">
        <v>307</v>
      </c>
      <c r="F718" s="11" t="str">
        <f t="shared" si="8"/>
        <v>M_B27</v>
      </c>
      <c r="G718" s="3">
        <v>54.491999999999997</v>
      </c>
      <c r="H718" s="3">
        <f>IFERROR(INDEX('Tagging key'!D:D, MATCH(F718,'Tagging key'!C:C,0)),"")</f>
        <v>80</v>
      </c>
      <c r="I718" s="3">
        <f>IFERROR(INDEX('Tagging key'!E:E, MATCH(F718,'Tagging key'!C:C,0)),"")</f>
        <v>41</v>
      </c>
      <c r="J718" s="3">
        <f>IFERROR(INDEX('Tagging key'!F:F, MATCH(F718,'Tagging key'!C:C,0)),"")</f>
        <v>29</v>
      </c>
      <c r="K718" s="3">
        <v>54.652000000000001</v>
      </c>
      <c r="L718" s="3">
        <v>81.98</v>
      </c>
      <c r="M718" s="3">
        <v>41.09</v>
      </c>
      <c r="N718" s="3">
        <v>30.44</v>
      </c>
      <c r="O718" s="3"/>
      <c r="P718" s="22">
        <v>45877</v>
      </c>
      <c r="Q718" s="22">
        <v>45877</v>
      </c>
      <c r="R718" s="3"/>
    </row>
    <row r="719" spans="1:19" x14ac:dyDescent="0.25">
      <c r="A719" s="11">
        <v>20</v>
      </c>
      <c r="B719" s="11">
        <v>9</v>
      </c>
      <c r="C719" s="11" t="s">
        <v>176</v>
      </c>
      <c r="D719" s="11" t="s">
        <v>964</v>
      </c>
      <c r="E719" s="11" t="s">
        <v>994</v>
      </c>
      <c r="F719" s="11" t="str">
        <f t="shared" si="8"/>
        <v>M_B75</v>
      </c>
      <c r="G719" s="3">
        <v>29.306000000000001</v>
      </c>
      <c r="H719" s="3">
        <f>IFERROR(INDEX('Tagging key'!D:D, MATCH(F719,'Tagging key'!C:C,0)),"")</f>
        <v>67</v>
      </c>
      <c r="I719" s="3">
        <f>IFERROR(INDEX('Tagging key'!E:E, MATCH(F719,'Tagging key'!C:C,0)),"")</f>
        <v>35</v>
      </c>
      <c r="J719" s="3">
        <f>IFERROR(INDEX('Tagging key'!F:F, MATCH(F719,'Tagging key'!C:C,0)),"")</f>
        <v>22</v>
      </c>
      <c r="K719" s="3">
        <v>28.972000000000001</v>
      </c>
      <c r="L719" s="3">
        <v>67.819999999999993</v>
      </c>
      <c r="M719" s="3">
        <v>35.07</v>
      </c>
      <c r="N719" s="3">
        <v>23.06</v>
      </c>
      <c r="O719" s="3"/>
      <c r="P719" s="22">
        <v>45882</v>
      </c>
      <c r="Q719" s="22">
        <v>45882</v>
      </c>
      <c r="R719" s="3">
        <v>10.551</v>
      </c>
    </row>
    <row r="720" spans="1:19" x14ac:dyDescent="0.25">
      <c r="A720" s="11">
        <v>20</v>
      </c>
      <c r="B720" s="11">
        <v>9</v>
      </c>
      <c r="C720" s="11" t="s">
        <v>176</v>
      </c>
      <c r="D720" s="11" t="s">
        <v>964</v>
      </c>
      <c r="E720" s="11" t="s">
        <v>565</v>
      </c>
      <c r="F720" s="11" t="str">
        <f t="shared" si="8"/>
        <v>M_Y3</v>
      </c>
      <c r="G720" s="3">
        <v>19.323</v>
      </c>
      <c r="H720" s="3">
        <f>IFERROR(INDEX('Tagging key'!D:D, MATCH(F720,'Tagging key'!C:C,0)),"")</f>
        <v>59.27</v>
      </c>
      <c r="I720" s="3">
        <f>IFERROR(INDEX('Tagging key'!E:E, MATCH(F720,'Tagging key'!C:C,0)),"")</f>
        <v>35.15</v>
      </c>
      <c r="J720" s="3">
        <f>IFERROR(INDEX('Tagging key'!F:F, MATCH(F720,'Tagging key'!C:C,0)),"")</f>
        <v>19.68</v>
      </c>
      <c r="K720" s="3">
        <v>19.901</v>
      </c>
      <c r="L720" s="3">
        <v>59.85</v>
      </c>
      <c r="M720" s="3">
        <v>31.55</v>
      </c>
      <c r="N720" s="3">
        <v>19.86</v>
      </c>
      <c r="O720" s="3"/>
      <c r="P720" s="22">
        <v>45879</v>
      </c>
      <c r="Q720" s="22">
        <v>45879</v>
      </c>
      <c r="R720" s="3"/>
    </row>
    <row r="721" spans="1:18" x14ac:dyDescent="0.25">
      <c r="A721" s="11">
        <v>20</v>
      </c>
      <c r="B721" s="11">
        <v>9</v>
      </c>
      <c r="C721" s="11" t="s">
        <v>176</v>
      </c>
      <c r="D721" s="11" t="s">
        <v>964</v>
      </c>
      <c r="E721" s="11" t="s">
        <v>711</v>
      </c>
      <c r="F721" s="11" t="str">
        <f t="shared" si="8"/>
        <v>M_Y4</v>
      </c>
      <c r="G721" s="3">
        <v>54.997</v>
      </c>
      <c r="H721" s="3">
        <f>IFERROR(INDEX('Tagging key'!D:D, MATCH(F721,'Tagging key'!C:C,0)),"")</f>
        <v>85.34</v>
      </c>
      <c r="I721" s="3">
        <f>IFERROR(INDEX('Tagging key'!E:E, MATCH(F721,'Tagging key'!C:C,0)),"")</f>
        <v>43.28</v>
      </c>
      <c r="J721" s="3">
        <f>IFERROR(INDEX('Tagging key'!F:F, MATCH(F721,'Tagging key'!C:C,0)),"")</f>
        <v>30.25</v>
      </c>
      <c r="K721" s="3">
        <v>54.83</v>
      </c>
      <c r="L721" s="3">
        <v>84.83</v>
      </c>
      <c r="M721" s="3">
        <v>41.9</v>
      </c>
      <c r="N721" s="3">
        <v>30.88</v>
      </c>
      <c r="O721" s="3"/>
      <c r="P721" s="22">
        <v>45886</v>
      </c>
      <c r="Q721" s="22">
        <v>45886</v>
      </c>
      <c r="R721" s="3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CBEF-1F71-554C-8A5E-230E483FCCFE}">
  <dimension ref="A1:L773"/>
  <sheetViews>
    <sheetView zoomScale="110" zoomScaleNormal="110" workbookViewId="0">
      <selection activeCell="C300" sqref="C300"/>
    </sheetView>
  </sheetViews>
  <sheetFormatPr defaultColWidth="11" defaultRowHeight="15.75" x14ac:dyDescent="0.25"/>
  <cols>
    <col min="1" max="1" width="20.625" customWidth="1"/>
    <col min="4" max="4" width="12" customWidth="1"/>
    <col min="5" max="5" width="11.5" customWidth="1"/>
    <col min="6" max="6" width="12.5" customWidth="1"/>
  </cols>
  <sheetData>
    <row r="1" spans="1:12" ht="26.1" customHeight="1" x14ac:dyDescent="0.25">
      <c r="A1" s="4" t="s">
        <v>5</v>
      </c>
      <c r="B1" s="4" t="s">
        <v>6</v>
      </c>
      <c r="C1" s="4" t="s">
        <v>7</v>
      </c>
      <c r="D1" s="4" t="s">
        <v>9</v>
      </c>
      <c r="E1" s="4" t="s">
        <v>10</v>
      </c>
      <c r="F1" s="4" t="s">
        <v>995</v>
      </c>
      <c r="G1" s="4" t="s">
        <v>996</v>
      </c>
      <c r="H1" s="3"/>
      <c r="I1" s="3"/>
      <c r="J1" s="3"/>
      <c r="K1" s="3"/>
    </row>
    <row r="2" spans="1:12" x14ac:dyDescent="0.25">
      <c r="A2" s="3" t="s">
        <v>16</v>
      </c>
      <c r="B2" s="3" t="s">
        <v>926</v>
      </c>
      <c r="C2" s="3" t="s">
        <v>997</v>
      </c>
      <c r="D2" s="3">
        <v>62.07</v>
      </c>
      <c r="E2" s="3">
        <v>51.41</v>
      </c>
      <c r="F2" s="3">
        <v>20.09</v>
      </c>
      <c r="G2" s="3"/>
      <c r="H2" s="3"/>
      <c r="I2" s="3"/>
      <c r="J2" s="3"/>
      <c r="K2" s="3" t="s">
        <v>998</v>
      </c>
    </row>
    <row r="3" spans="1:12" x14ac:dyDescent="0.25">
      <c r="A3" s="17" t="s">
        <v>16</v>
      </c>
      <c r="B3" s="17" t="s">
        <v>928</v>
      </c>
      <c r="C3" s="17" t="s">
        <v>999</v>
      </c>
      <c r="D3" s="17">
        <v>64.94</v>
      </c>
      <c r="E3" s="17">
        <v>59.78</v>
      </c>
      <c r="F3" s="17">
        <v>19.649999999999999</v>
      </c>
      <c r="G3" s="17" t="s">
        <v>1000</v>
      </c>
      <c r="H3" s="3"/>
      <c r="I3" s="3"/>
      <c r="J3" s="3"/>
      <c r="K3" s="3" t="s">
        <v>1001</v>
      </c>
    </row>
    <row r="4" spans="1:12" x14ac:dyDescent="0.25">
      <c r="A4" s="3" t="s">
        <v>16</v>
      </c>
      <c r="B4" s="3" t="s">
        <v>527</v>
      </c>
      <c r="C4" s="3" t="s">
        <v>528</v>
      </c>
      <c r="D4" s="3">
        <v>69.3</v>
      </c>
      <c r="E4" s="3">
        <v>44.51</v>
      </c>
      <c r="F4" s="3">
        <v>16.88</v>
      </c>
      <c r="G4" s="3"/>
      <c r="H4" s="3"/>
      <c r="I4" s="3"/>
      <c r="J4" s="3"/>
      <c r="K4" s="3" t="s">
        <v>1002</v>
      </c>
    </row>
    <row r="5" spans="1:12" x14ac:dyDescent="0.25">
      <c r="A5" s="3" t="s">
        <v>16</v>
      </c>
      <c r="B5" s="3" t="s">
        <v>587</v>
      </c>
      <c r="C5" s="3" t="s">
        <v>1003</v>
      </c>
      <c r="D5" s="3">
        <v>68.27</v>
      </c>
      <c r="E5" s="3">
        <v>41.27</v>
      </c>
      <c r="F5" s="3">
        <v>20.03</v>
      </c>
      <c r="G5" s="3"/>
      <c r="H5" s="3"/>
      <c r="I5" s="3"/>
      <c r="J5" s="3"/>
      <c r="K5" s="3" t="s">
        <v>1004</v>
      </c>
    </row>
    <row r="6" spans="1:12" x14ac:dyDescent="0.25">
      <c r="A6" s="3" t="s">
        <v>16</v>
      </c>
      <c r="B6" s="3" t="s">
        <v>447</v>
      </c>
      <c r="C6" s="3" t="s">
        <v>448</v>
      </c>
      <c r="D6" s="3">
        <v>80.42</v>
      </c>
      <c r="E6" s="3">
        <v>47.66</v>
      </c>
      <c r="F6" s="3">
        <v>19.63</v>
      </c>
      <c r="G6" s="3"/>
      <c r="H6" s="3"/>
      <c r="I6" s="3"/>
      <c r="J6" s="3"/>
      <c r="K6" s="3" t="s">
        <v>1005</v>
      </c>
    </row>
    <row r="7" spans="1:12" x14ac:dyDescent="0.25">
      <c r="A7" s="3" t="s">
        <v>16</v>
      </c>
      <c r="B7" s="3" t="s">
        <v>917</v>
      </c>
      <c r="C7" s="3" t="s">
        <v>1006</v>
      </c>
      <c r="D7" s="3">
        <v>62.28</v>
      </c>
      <c r="E7" s="3">
        <v>34.51</v>
      </c>
      <c r="F7" s="3">
        <v>17.47</v>
      </c>
      <c r="G7" s="3"/>
      <c r="H7" s="3"/>
      <c r="I7" s="3"/>
      <c r="J7" s="3"/>
      <c r="K7" s="3" t="s">
        <v>16</v>
      </c>
      <c r="L7" t="s">
        <v>928</v>
      </c>
    </row>
    <row r="8" spans="1:12" x14ac:dyDescent="0.25">
      <c r="A8" s="3" t="s">
        <v>16</v>
      </c>
      <c r="B8" s="3" t="s">
        <v>515</v>
      </c>
      <c r="C8" s="3" t="s">
        <v>516</v>
      </c>
      <c r="D8" s="3">
        <v>63.26</v>
      </c>
      <c r="E8" s="3">
        <v>47.67</v>
      </c>
      <c r="F8" s="3">
        <v>14.78</v>
      </c>
      <c r="G8" s="3"/>
      <c r="H8" s="3"/>
      <c r="I8" s="3"/>
      <c r="J8" s="3"/>
      <c r="K8" s="3" t="s">
        <v>16</v>
      </c>
      <c r="L8" t="s">
        <v>434</v>
      </c>
    </row>
    <row r="9" spans="1:12" x14ac:dyDescent="0.25">
      <c r="A9" s="3" t="s">
        <v>16</v>
      </c>
      <c r="B9" s="3" t="s">
        <v>978</v>
      </c>
      <c r="C9" s="3" t="s">
        <v>1007</v>
      </c>
      <c r="D9" s="3">
        <v>60.77</v>
      </c>
      <c r="E9" s="3">
        <v>43.41</v>
      </c>
      <c r="F9" s="3">
        <v>17.54</v>
      </c>
      <c r="G9" s="3"/>
      <c r="H9" s="3"/>
      <c r="I9" s="3"/>
      <c r="J9" s="3"/>
      <c r="K9" s="3" t="s">
        <v>16</v>
      </c>
      <c r="L9" t="s">
        <v>994</v>
      </c>
    </row>
    <row r="10" spans="1:12" x14ac:dyDescent="0.25">
      <c r="A10" s="3" t="s">
        <v>16</v>
      </c>
      <c r="B10" s="3" t="s">
        <v>536</v>
      </c>
      <c r="C10" s="3" t="s">
        <v>537</v>
      </c>
      <c r="D10" s="3">
        <v>77.87</v>
      </c>
      <c r="E10" s="3">
        <v>46.75</v>
      </c>
      <c r="F10" s="3">
        <v>15.61</v>
      </c>
      <c r="G10" s="3"/>
      <c r="H10" s="3"/>
      <c r="I10" s="3"/>
      <c r="J10" s="3"/>
      <c r="K10" s="3" t="s">
        <v>16</v>
      </c>
      <c r="L10" t="s">
        <v>1008</v>
      </c>
    </row>
    <row r="11" spans="1:12" x14ac:dyDescent="0.25">
      <c r="A11" s="3" t="s">
        <v>16</v>
      </c>
      <c r="B11" s="3" t="s">
        <v>421</v>
      </c>
      <c r="C11" s="3" t="s">
        <v>1009</v>
      </c>
      <c r="D11" s="3">
        <v>65.48</v>
      </c>
      <c r="E11" s="3">
        <v>44.69</v>
      </c>
      <c r="F11" s="3">
        <v>16.559999999999999</v>
      </c>
      <c r="G11" s="3"/>
      <c r="H11" s="3"/>
      <c r="I11" s="3"/>
      <c r="J11" s="3"/>
      <c r="K11" s="3"/>
    </row>
    <row r="12" spans="1:12" x14ac:dyDescent="0.25">
      <c r="A12" s="3" t="s">
        <v>16</v>
      </c>
      <c r="B12" s="3" t="s">
        <v>353</v>
      </c>
      <c r="C12" s="3" t="s">
        <v>354</v>
      </c>
      <c r="D12" s="3">
        <v>61.21</v>
      </c>
      <c r="E12" s="3">
        <v>42.25</v>
      </c>
      <c r="F12" s="3">
        <v>14.03</v>
      </c>
      <c r="G12" s="3"/>
      <c r="H12" s="3"/>
      <c r="I12" s="3"/>
      <c r="J12" s="3"/>
      <c r="K12" s="3"/>
    </row>
    <row r="13" spans="1:12" x14ac:dyDescent="0.25">
      <c r="A13" s="3" t="s">
        <v>16</v>
      </c>
      <c r="B13" s="3" t="s">
        <v>760</v>
      </c>
      <c r="C13" s="3" t="s">
        <v>761</v>
      </c>
      <c r="D13" s="3">
        <v>60.29</v>
      </c>
      <c r="E13" s="3">
        <v>43.41</v>
      </c>
      <c r="F13" s="3">
        <v>16.239999999999998</v>
      </c>
      <c r="G13" s="3"/>
      <c r="H13" s="3"/>
      <c r="I13" s="3"/>
      <c r="J13" s="3"/>
      <c r="K13" s="3"/>
    </row>
    <row r="14" spans="1:12" x14ac:dyDescent="0.25">
      <c r="A14" s="3" t="s">
        <v>16</v>
      </c>
      <c r="B14" s="3" t="s">
        <v>525</v>
      </c>
      <c r="C14" s="3" t="s">
        <v>526</v>
      </c>
      <c r="D14" s="3">
        <v>58.87</v>
      </c>
      <c r="E14" s="3">
        <v>53.72</v>
      </c>
      <c r="F14" s="3">
        <v>15.89</v>
      </c>
      <c r="G14" s="3"/>
      <c r="H14" s="3"/>
      <c r="I14" s="3"/>
      <c r="J14" s="3"/>
      <c r="K14" s="3"/>
    </row>
    <row r="15" spans="1:12" x14ac:dyDescent="0.25">
      <c r="A15" s="3" t="s">
        <v>16</v>
      </c>
      <c r="B15" s="3" t="s">
        <v>838</v>
      </c>
      <c r="C15" s="3" t="s">
        <v>839</v>
      </c>
      <c r="D15" s="3">
        <v>64.75</v>
      </c>
      <c r="E15" s="3">
        <v>44.36</v>
      </c>
      <c r="F15" s="3">
        <v>20.89</v>
      </c>
      <c r="G15" s="3"/>
      <c r="H15" s="3"/>
      <c r="I15" s="3"/>
      <c r="J15" s="3"/>
      <c r="K15" s="3"/>
    </row>
    <row r="16" spans="1:12" x14ac:dyDescent="0.25">
      <c r="A16" s="3" t="s">
        <v>16</v>
      </c>
      <c r="B16" s="3" t="s">
        <v>877</v>
      </c>
      <c r="C16" s="3" t="s">
        <v>1010</v>
      </c>
      <c r="D16" s="3">
        <v>78.06</v>
      </c>
      <c r="E16" s="3">
        <v>55.62</v>
      </c>
      <c r="F16" s="3">
        <v>27.44</v>
      </c>
      <c r="G16" s="3"/>
      <c r="H16" s="3"/>
      <c r="I16" s="3"/>
      <c r="J16" s="3"/>
      <c r="K16" s="3"/>
    </row>
    <row r="17" spans="1:11" x14ac:dyDescent="0.25">
      <c r="A17" s="3" t="s">
        <v>16</v>
      </c>
      <c r="B17" s="3" t="s">
        <v>890</v>
      </c>
      <c r="C17" s="3" t="s">
        <v>1011</v>
      </c>
      <c r="D17" s="3">
        <v>66.739999999999995</v>
      </c>
      <c r="E17" s="3">
        <v>44.98</v>
      </c>
      <c r="F17" s="3">
        <v>13.67</v>
      </c>
      <c r="G17" s="3"/>
      <c r="H17" s="3"/>
      <c r="I17" s="3"/>
      <c r="J17" s="3"/>
      <c r="K17" s="3"/>
    </row>
    <row r="18" spans="1:11" x14ac:dyDescent="0.25">
      <c r="A18" s="3" t="s">
        <v>16</v>
      </c>
      <c r="B18" s="3" t="s">
        <v>720</v>
      </c>
      <c r="C18" s="3" t="s">
        <v>1012</v>
      </c>
      <c r="D18" s="3">
        <v>65</v>
      </c>
      <c r="E18" s="3">
        <v>43.53</v>
      </c>
      <c r="F18" s="3">
        <v>16.920000000000002</v>
      </c>
      <c r="G18" s="3"/>
      <c r="H18" s="3"/>
      <c r="I18" s="3"/>
      <c r="J18" s="3"/>
      <c r="K18" s="3"/>
    </row>
    <row r="19" spans="1:11" x14ac:dyDescent="0.25">
      <c r="A19" s="3" t="s">
        <v>16</v>
      </c>
      <c r="B19" s="3" t="s">
        <v>361</v>
      </c>
      <c r="C19" s="3" t="s">
        <v>362</v>
      </c>
      <c r="D19" s="3">
        <v>53.55</v>
      </c>
      <c r="E19" s="3">
        <v>49.5</v>
      </c>
      <c r="F19" s="3">
        <v>13.77</v>
      </c>
      <c r="G19" s="3"/>
      <c r="H19" s="3"/>
      <c r="I19" s="3"/>
      <c r="J19" s="3"/>
      <c r="K19" s="3"/>
    </row>
    <row r="20" spans="1:11" x14ac:dyDescent="0.25">
      <c r="A20" s="3" t="s">
        <v>16</v>
      </c>
      <c r="B20" s="3" t="s">
        <v>869</v>
      </c>
      <c r="C20" s="3" t="s">
        <v>1013</v>
      </c>
      <c r="D20" s="3">
        <v>69.94</v>
      </c>
      <c r="E20" s="3">
        <v>48.94</v>
      </c>
      <c r="F20" s="3">
        <v>19.079999999999998</v>
      </c>
      <c r="G20" s="3"/>
      <c r="H20" s="3"/>
      <c r="I20" s="3"/>
      <c r="J20" s="3"/>
      <c r="K20" s="3"/>
    </row>
    <row r="21" spans="1:11" x14ac:dyDescent="0.25">
      <c r="A21" s="3" t="s">
        <v>16</v>
      </c>
      <c r="B21" s="3" t="s">
        <v>949</v>
      </c>
      <c r="C21" s="3" t="s">
        <v>1014</v>
      </c>
      <c r="D21" s="3">
        <v>61.89</v>
      </c>
      <c r="E21" s="3">
        <v>57.9</v>
      </c>
      <c r="F21" s="3">
        <v>23.35</v>
      </c>
      <c r="G21" s="3"/>
      <c r="H21" s="3"/>
      <c r="I21" s="3"/>
      <c r="J21" s="3"/>
      <c r="K21" s="3"/>
    </row>
    <row r="22" spans="1:11" x14ac:dyDescent="0.25">
      <c r="A22" s="3" t="s">
        <v>16</v>
      </c>
      <c r="B22" s="3" t="s">
        <v>372</v>
      </c>
      <c r="C22" s="3" t="s">
        <v>373</v>
      </c>
      <c r="D22" s="3">
        <v>58.57</v>
      </c>
      <c r="E22" s="3">
        <v>39.39</v>
      </c>
      <c r="F22" s="3">
        <v>19.2</v>
      </c>
      <c r="G22" s="3"/>
      <c r="H22" s="3"/>
      <c r="I22" s="3"/>
      <c r="J22" s="3"/>
      <c r="K22" s="3"/>
    </row>
    <row r="23" spans="1:11" x14ac:dyDescent="0.25">
      <c r="A23" s="3" t="s">
        <v>16</v>
      </c>
      <c r="B23" s="3" t="s">
        <v>473</v>
      </c>
      <c r="C23" s="3" t="s">
        <v>1015</v>
      </c>
      <c r="D23" s="3">
        <v>68.069999999999993</v>
      </c>
      <c r="E23" s="3">
        <v>43.91</v>
      </c>
      <c r="F23" s="3">
        <v>17.93</v>
      </c>
      <c r="G23" s="3"/>
      <c r="H23" s="3"/>
      <c r="I23" s="3"/>
      <c r="J23" s="3"/>
      <c r="K23" s="3"/>
    </row>
    <row r="24" spans="1:11" x14ac:dyDescent="0.25">
      <c r="A24" s="3" t="s">
        <v>16</v>
      </c>
      <c r="B24" s="3" t="s">
        <v>484</v>
      </c>
      <c r="C24" s="3" t="s">
        <v>1016</v>
      </c>
      <c r="D24" s="3">
        <v>62.62</v>
      </c>
      <c r="E24" s="3">
        <v>57.92</v>
      </c>
      <c r="F24" s="3">
        <v>19.47</v>
      </c>
      <c r="G24" s="3"/>
      <c r="H24" s="3"/>
      <c r="I24" s="3"/>
      <c r="J24" s="3"/>
      <c r="K24" s="3"/>
    </row>
    <row r="25" spans="1:11" x14ac:dyDescent="0.25">
      <c r="A25" s="3" t="s">
        <v>16</v>
      </c>
      <c r="B25" s="3" t="s">
        <v>305</v>
      </c>
      <c r="C25" s="3" t="s">
        <v>306</v>
      </c>
      <c r="D25" s="3">
        <v>67.86</v>
      </c>
      <c r="E25" s="3">
        <v>44.72</v>
      </c>
      <c r="F25" s="3">
        <v>18.190000000000001</v>
      </c>
      <c r="G25" s="3"/>
      <c r="H25" s="3"/>
      <c r="I25" s="3"/>
      <c r="J25" s="3"/>
      <c r="K25" s="3"/>
    </row>
    <row r="26" spans="1:11" x14ac:dyDescent="0.25">
      <c r="A26" s="3" t="s">
        <v>16</v>
      </c>
      <c r="B26" s="3" t="s">
        <v>53</v>
      </c>
      <c r="C26" s="3" t="s">
        <v>365</v>
      </c>
      <c r="D26" s="3">
        <v>68.61</v>
      </c>
      <c r="E26" s="3">
        <v>48.68</v>
      </c>
      <c r="F26" s="3">
        <v>19.100000000000001</v>
      </c>
      <c r="G26" s="3"/>
      <c r="H26" s="3"/>
      <c r="I26" s="3"/>
      <c r="J26" s="3"/>
      <c r="K26" s="3"/>
    </row>
    <row r="27" spans="1:11" x14ac:dyDescent="0.25">
      <c r="A27" s="3" t="s">
        <v>16</v>
      </c>
      <c r="B27" s="3" t="s">
        <v>781</v>
      </c>
      <c r="C27" s="3" t="s">
        <v>1017</v>
      </c>
      <c r="D27" s="3">
        <v>79.22</v>
      </c>
      <c r="E27" s="3">
        <v>46.14</v>
      </c>
      <c r="F27" s="3">
        <v>15.02</v>
      </c>
      <c r="G27" s="3"/>
      <c r="H27" s="3"/>
      <c r="I27" s="3"/>
      <c r="J27" s="3"/>
      <c r="K27" s="3"/>
    </row>
    <row r="28" spans="1:11" x14ac:dyDescent="0.25">
      <c r="A28" s="3" t="s">
        <v>16</v>
      </c>
      <c r="B28" s="3" t="s">
        <v>432</v>
      </c>
      <c r="C28" s="3" t="s">
        <v>461</v>
      </c>
      <c r="D28" s="3">
        <v>60.48</v>
      </c>
      <c r="E28" s="3">
        <v>58.74</v>
      </c>
      <c r="F28" s="3">
        <v>19.45</v>
      </c>
      <c r="G28" s="3"/>
      <c r="H28" s="3"/>
      <c r="I28" s="3"/>
      <c r="J28" s="3"/>
      <c r="K28" s="3"/>
    </row>
    <row r="29" spans="1:11" x14ac:dyDescent="0.25">
      <c r="A29" s="3" t="s">
        <v>16</v>
      </c>
      <c r="B29" s="3" t="s">
        <v>872</v>
      </c>
      <c r="C29" s="3" t="s">
        <v>1018</v>
      </c>
      <c r="D29" s="3">
        <v>74.150000000000006</v>
      </c>
      <c r="E29" s="3">
        <v>43.11</v>
      </c>
      <c r="F29" s="3">
        <v>18.59</v>
      </c>
      <c r="G29" s="3"/>
      <c r="H29" s="3"/>
      <c r="I29" s="3"/>
      <c r="J29" s="3"/>
      <c r="K29" s="3"/>
    </row>
    <row r="30" spans="1:11" x14ac:dyDescent="0.25">
      <c r="A30" s="3" t="s">
        <v>16</v>
      </c>
      <c r="B30" s="3" t="s">
        <v>945</v>
      </c>
      <c r="C30" s="3" t="s">
        <v>1019</v>
      </c>
      <c r="D30" s="3">
        <v>64.459999999999994</v>
      </c>
      <c r="E30" s="3">
        <v>55.48</v>
      </c>
      <c r="F30" s="3">
        <v>17.920000000000002</v>
      </c>
      <c r="G30" s="3"/>
      <c r="H30" s="3"/>
      <c r="I30" s="3"/>
      <c r="J30" s="3"/>
      <c r="K30" s="3"/>
    </row>
    <row r="31" spans="1:11" x14ac:dyDescent="0.25">
      <c r="A31" s="3" t="s">
        <v>16</v>
      </c>
      <c r="B31" s="3" t="s">
        <v>727</v>
      </c>
      <c r="C31" s="3" t="s">
        <v>1020</v>
      </c>
      <c r="D31" s="3">
        <v>73.84</v>
      </c>
      <c r="E31" s="3">
        <v>43.78</v>
      </c>
      <c r="F31" s="3">
        <v>19.690000000000001</v>
      </c>
      <c r="G31" s="3"/>
      <c r="H31" s="3"/>
      <c r="I31" s="3"/>
      <c r="J31" s="3"/>
      <c r="K31" s="3"/>
    </row>
    <row r="32" spans="1:11" x14ac:dyDescent="0.25">
      <c r="A32" s="3" t="s">
        <v>16</v>
      </c>
      <c r="B32" s="3" t="s">
        <v>867</v>
      </c>
      <c r="C32" s="3" t="s">
        <v>1021</v>
      </c>
      <c r="D32" s="3">
        <v>70.8</v>
      </c>
      <c r="E32" s="3">
        <v>61.41</v>
      </c>
      <c r="F32" s="3">
        <v>15.53</v>
      </c>
      <c r="G32" s="3"/>
      <c r="H32" s="3"/>
      <c r="I32" s="3"/>
      <c r="J32" s="3"/>
      <c r="K32" s="3"/>
    </row>
    <row r="33" spans="1:11" x14ac:dyDescent="0.25">
      <c r="A33" s="3" t="s">
        <v>16</v>
      </c>
      <c r="B33" s="3" t="s">
        <v>469</v>
      </c>
      <c r="C33" s="3" t="s">
        <v>1022</v>
      </c>
      <c r="D33" s="3">
        <v>68.69</v>
      </c>
      <c r="E33" s="3">
        <v>43.03</v>
      </c>
      <c r="F33" s="3">
        <v>15.04</v>
      </c>
      <c r="G33" s="3"/>
      <c r="H33" s="3"/>
      <c r="I33" s="3"/>
      <c r="J33" s="3"/>
      <c r="K33" s="3"/>
    </row>
    <row r="34" spans="1:11" x14ac:dyDescent="0.25">
      <c r="A34" s="3" t="s">
        <v>16</v>
      </c>
      <c r="B34" s="3" t="s">
        <v>531</v>
      </c>
      <c r="C34" s="3" t="s">
        <v>532</v>
      </c>
      <c r="D34" s="3">
        <v>76.53</v>
      </c>
      <c r="E34" s="3">
        <v>47.91</v>
      </c>
      <c r="F34" s="3">
        <v>17.82</v>
      </c>
      <c r="G34" s="3"/>
      <c r="H34" s="3"/>
      <c r="I34" s="3"/>
      <c r="J34" s="3"/>
      <c r="K34" s="3"/>
    </row>
    <row r="35" spans="1:11" x14ac:dyDescent="0.25">
      <c r="A35" s="3" t="s">
        <v>16</v>
      </c>
      <c r="B35" s="3" t="s">
        <v>451</v>
      </c>
      <c r="C35" s="3" t="s">
        <v>452</v>
      </c>
      <c r="D35" s="3">
        <v>61.11</v>
      </c>
      <c r="E35" s="3">
        <v>46.57</v>
      </c>
      <c r="F35" s="3">
        <v>18.88</v>
      </c>
      <c r="G35" s="3" t="s">
        <v>1023</v>
      </c>
      <c r="H35" s="3"/>
      <c r="I35" s="3"/>
      <c r="J35" s="3"/>
      <c r="K35" s="3"/>
    </row>
    <row r="36" spans="1:11" x14ac:dyDescent="0.25">
      <c r="A36" s="3" t="s">
        <v>16</v>
      </c>
      <c r="B36" s="3" t="s">
        <v>626</v>
      </c>
      <c r="C36" s="3" t="s">
        <v>627</v>
      </c>
      <c r="D36" s="3">
        <v>59.54</v>
      </c>
      <c r="E36" s="3">
        <v>42.86</v>
      </c>
      <c r="F36" s="3">
        <v>15.87</v>
      </c>
      <c r="G36" s="3"/>
      <c r="H36" s="3"/>
      <c r="I36" s="3"/>
      <c r="J36" s="3"/>
      <c r="K36" s="3"/>
    </row>
    <row r="37" spans="1:11" x14ac:dyDescent="0.25">
      <c r="A37" s="3" t="s">
        <v>16</v>
      </c>
      <c r="B37" s="3" t="s">
        <v>314</v>
      </c>
      <c r="C37" s="3" t="s">
        <v>315</v>
      </c>
      <c r="D37" s="3">
        <v>68</v>
      </c>
      <c r="E37" s="3">
        <v>49.71</v>
      </c>
      <c r="F37" s="3">
        <v>17.420000000000002</v>
      </c>
      <c r="G37" s="3"/>
      <c r="H37" s="3"/>
      <c r="I37" s="3"/>
      <c r="J37" s="3"/>
      <c r="K37" s="3"/>
    </row>
    <row r="38" spans="1:11" x14ac:dyDescent="0.25">
      <c r="A38" s="3" t="s">
        <v>16</v>
      </c>
      <c r="B38" s="3" t="s">
        <v>429</v>
      </c>
      <c r="C38" s="3" t="s">
        <v>630</v>
      </c>
      <c r="D38" s="3">
        <v>67.97</v>
      </c>
      <c r="E38" s="3">
        <v>44.12</v>
      </c>
      <c r="F38" s="3">
        <v>19.170000000000002</v>
      </c>
      <c r="G38" s="3"/>
      <c r="H38" s="3"/>
      <c r="I38" s="3"/>
      <c r="J38" s="3"/>
      <c r="K38" s="3"/>
    </row>
    <row r="39" spans="1:11" x14ac:dyDescent="0.25">
      <c r="A39" s="3" t="s">
        <v>16</v>
      </c>
      <c r="B39" s="3" t="s">
        <v>25</v>
      </c>
      <c r="C39" s="3" t="s">
        <v>26</v>
      </c>
      <c r="D39" s="3">
        <v>63.69</v>
      </c>
      <c r="E39" s="3">
        <v>53.55</v>
      </c>
      <c r="F39" s="3">
        <v>18.02</v>
      </c>
      <c r="G39" s="3"/>
      <c r="H39" s="3"/>
      <c r="I39" s="3"/>
      <c r="J39" s="3"/>
      <c r="K39" s="3"/>
    </row>
    <row r="40" spans="1:11" x14ac:dyDescent="0.25">
      <c r="A40" s="3" t="s">
        <v>16</v>
      </c>
      <c r="B40" s="3" t="s">
        <v>449</v>
      </c>
      <c r="C40" s="3" t="s">
        <v>450</v>
      </c>
      <c r="D40" s="3">
        <v>81.28</v>
      </c>
      <c r="E40" s="3">
        <v>51.86</v>
      </c>
      <c r="F40" s="3">
        <v>23.17</v>
      </c>
      <c r="G40" s="3"/>
      <c r="H40" s="3"/>
      <c r="I40" s="3"/>
      <c r="J40" s="3"/>
      <c r="K40" s="3"/>
    </row>
    <row r="41" spans="1:11" x14ac:dyDescent="0.25">
      <c r="A41" s="3" t="s">
        <v>16</v>
      </c>
      <c r="B41" s="3" t="s">
        <v>542</v>
      </c>
      <c r="C41" s="3" t="s">
        <v>543</v>
      </c>
      <c r="D41" s="3">
        <v>80.14</v>
      </c>
      <c r="E41" s="3">
        <v>50.61</v>
      </c>
      <c r="F41" s="3">
        <v>20.72</v>
      </c>
      <c r="G41" s="3"/>
      <c r="H41" s="3"/>
      <c r="I41" s="3"/>
      <c r="J41" s="3"/>
      <c r="K41" s="3"/>
    </row>
    <row r="42" spans="1:11" x14ac:dyDescent="0.25">
      <c r="A42" s="3" t="s">
        <v>16</v>
      </c>
      <c r="B42" s="3" t="s">
        <v>652</v>
      </c>
      <c r="C42" s="3" t="s">
        <v>1024</v>
      </c>
      <c r="D42" s="3">
        <v>70.91</v>
      </c>
      <c r="E42" s="3">
        <v>53.97</v>
      </c>
      <c r="F42" s="3">
        <v>17.239999999999998</v>
      </c>
      <c r="G42" s="3"/>
      <c r="H42" s="3"/>
      <c r="I42" s="3"/>
      <c r="J42" s="3"/>
      <c r="K42" s="3"/>
    </row>
    <row r="43" spans="1:11" x14ac:dyDescent="0.25">
      <c r="A43" s="3" t="s">
        <v>16</v>
      </c>
      <c r="B43" s="3" t="s">
        <v>811</v>
      </c>
      <c r="C43" s="3" t="s">
        <v>845</v>
      </c>
      <c r="D43" s="3">
        <v>60.92</v>
      </c>
      <c r="E43" s="3">
        <v>44.39</v>
      </c>
      <c r="F43" s="3">
        <v>18.02</v>
      </c>
      <c r="G43" s="3"/>
      <c r="H43" s="3"/>
      <c r="I43" s="3"/>
      <c r="J43" s="3"/>
      <c r="K43" s="3"/>
    </row>
    <row r="44" spans="1:11" x14ac:dyDescent="0.25">
      <c r="A44" s="3" t="s">
        <v>16</v>
      </c>
      <c r="B44" s="3" t="s">
        <v>814</v>
      </c>
      <c r="C44" s="3" t="s">
        <v>1025</v>
      </c>
      <c r="D44" s="3">
        <v>66.75</v>
      </c>
      <c r="E44" s="3">
        <v>48.68</v>
      </c>
      <c r="F44" s="3">
        <v>17.59</v>
      </c>
      <c r="G44" s="3"/>
      <c r="H44" s="3"/>
      <c r="I44" s="3"/>
      <c r="J44" s="3"/>
      <c r="K44" s="3"/>
    </row>
    <row r="45" spans="1:11" x14ac:dyDescent="0.25">
      <c r="A45" s="3" t="s">
        <v>16</v>
      </c>
      <c r="B45" s="3" t="s">
        <v>921</v>
      </c>
      <c r="C45" s="3" t="s">
        <v>1026</v>
      </c>
      <c r="D45" s="3">
        <v>67.45</v>
      </c>
      <c r="E45" s="3">
        <v>62.01</v>
      </c>
      <c r="F45" s="3">
        <v>14.2</v>
      </c>
      <c r="G45" s="3"/>
      <c r="H45" s="3"/>
      <c r="I45" s="3"/>
      <c r="J45" s="3"/>
      <c r="K45" s="3"/>
    </row>
    <row r="46" spans="1:11" x14ac:dyDescent="0.25">
      <c r="A46" s="3" t="s">
        <v>16</v>
      </c>
      <c r="B46" s="3" t="s">
        <v>37</v>
      </c>
      <c r="C46" s="3" t="s">
        <v>38</v>
      </c>
      <c r="D46" s="3">
        <v>62.02</v>
      </c>
      <c r="E46" s="3">
        <v>43.46</v>
      </c>
      <c r="F46" s="3">
        <v>17.309999999999999</v>
      </c>
      <c r="G46" s="3"/>
      <c r="H46" s="3"/>
      <c r="I46" s="3"/>
      <c r="J46" s="3"/>
      <c r="K46" s="3"/>
    </row>
    <row r="47" spans="1:11" x14ac:dyDescent="0.25">
      <c r="A47" s="3" t="s">
        <v>16</v>
      </c>
      <c r="B47" s="3" t="s">
        <v>322</v>
      </c>
      <c r="C47" s="3" t="s">
        <v>323</v>
      </c>
      <c r="D47" s="3">
        <v>68.14</v>
      </c>
      <c r="E47" s="3">
        <v>54.19</v>
      </c>
      <c r="F47" s="3">
        <v>20.58</v>
      </c>
      <c r="G47" s="3"/>
      <c r="H47" s="3"/>
      <c r="I47" s="3"/>
      <c r="J47" s="3"/>
      <c r="K47" s="3"/>
    </row>
    <row r="48" spans="1:11" x14ac:dyDescent="0.25">
      <c r="A48" s="3" t="s">
        <v>16</v>
      </c>
      <c r="B48" s="3" t="s">
        <v>816</v>
      </c>
      <c r="C48" s="3" t="s">
        <v>842</v>
      </c>
      <c r="D48" s="3">
        <v>63.6</v>
      </c>
      <c r="E48" s="3">
        <v>48.43</v>
      </c>
      <c r="F48" s="3">
        <v>17.41</v>
      </c>
      <c r="G48" s="3"/>
      <c r="H48" s="3"/>
      <c r="I48" s="3"/>
      <c r="J48" s="3"/>
      <c r="K48" s="3"/>
    </row>
    <row r="49" spans="1:11" x14ac:dyDescent="0.25">
      <c r="A49" s="3" t="s">
        <v>16</v>
      </c>
      <c r="B49" s="3" t="s">
        <v>640</v>
      </c>
      <c r="C49" s="3" t="s">
        <v>742</v>
      </c>
      <c r="D49" s="3">
        <v>65.58</v>
      </c>
      <c r="E49" s="3">
        <v>56.34</v>
      </c>
      <c r="F49" s="3">
        <v>20.96</v>
      </c>
      <c r="G49" s="3"/>
      <c r="H49" s="3"/>
      <c r="I49" s="3"/>
      <c r="J49" s="3"/>
      <c r="K49" s="3"/>
    </row>
    <row r="50" spans="1:11" x14ac:dyDescent="0.25">
      <c r="A50" s="3" t="s">
        <v>16</v>
      </c>
      <c r="B50" s="3" t="s">
        <v>366</v>
      </c>
      <c r="C50" s="3" t="s">
        <v>367</v>
      </c>
      <c r="D50" s="3">
        <v>67.48</v>
      </c>
      <c r="E50" s="3">
        <v>40.08</v>
      </c>
      <c r="F50" s="3">
        <v>15.63</v>
      </c>
      <c r="G50" s="3"/>
      <c r="H50" s="3"/>
      <c r="I50" s="3"/>
      <c r="J50" s="3"/>
      <c r="K50" s="3"/>
    </row>
    <row r="51" spans="1:11" x14ac:dyDescent="0.25">
      <c r="A51" s="3" t="s">
        <v>16</v>
      </c>
      <c r="B51" s="3" t="s">
        <v>618</v>
      </c>
      <c r="C51" s="3" t="s">
        <v>619</v>
      </c>
      <c r="D51" s="3">
        <v>57.3</v>
      </c>
      <c r="E51" s="3">
        <v>43.72</v>
      </c>
      <c r="F51" s="3">
        <v>16.12</v>
      </c>
      <c r="G51" s="3"/>
      <c r="H51" s="3"/>
      <c r="I51" s="3"/>
      <c r="J51" s="3"/>
      <c r="K51" s="3"/>
    </row>
    <row r="52" spans="1:11" x14ac:dyDescent="0.25">
      <c r="A52" s="3" t="s">
        <v>16</v>
      </c>
      <c r="B52" s="3" t="s">
        <v>198</v>
      </c>
      <c r="C52" s="3" t="s">
        <v>548</v>
      </c>
      <c r="D52" s="3">
        <v>62.25</v>
      </c>
      <c r="E52" s="3">
        <v>48.1</v>
      </c>
      <c r="F52" s="3">
        <v>14.02</v>
      </c>
      <c r="G52" s="3"/>
      <c r="H52" s="3"/>
      <c r="I52" s="3"/>
      <c r="J52" s="3"/>
      <c r="K52" s="3"/>
    </row>
    <row r="53" spans="1:11" x14ac:dyDescent="0.25">
      <c r="A53" s="3" t="s">
        <v>16</v>
      </c>
      <c r="B53" s="3" t="s">
        <v>355</v>
      </c>
      <c r="C53" s="3" t="s">
        <v>356</v>
      </c>
      <c r="D53" s="3">
        <v>64.290000000000006</v>
      </c>
      <c r="E53" s="3">
        <v>52.58</v>
      </c>
      <c r="F53" s="3">
        <v>17.86</v>
      </c>
      <c r="G53" s="3"/>
      <c r="H53" s="3"/>
      <c r="I53" s="3"/>
      <c r="J53" s="3"/>
      <c r="K53" s="3"/>
    </row>
    <row r="54" spans="1:11" x14ac:dyDescent="0.25">
      <c r="A54" s="3" t="s">
        <v>16</v>
      </c>
      <c r="B54" s="3" t="s">
        <v>467</v>
      </c>
      <c r="C54" s="3" t="s">
        <v>1027</v>
      </c>
      <c r="D54" s="3">
        <v>62.07</v>
      </c>
      <c r="E54" s="3">
        <v>47.55</v>
      </c>
      <c r="F54" s="3">
        <v>13.79</v>
      </c>
      <c r="G54" s="3"/>
      <c r="H54" s="3"/>
      <c r="I54" s="3"/>
      <c r="J54" s="3"/>
      <c r="K54" s="3"/>
    </row>
    <row r="55" spans="1:11" x14ac:dyDescent="0.25">
      <c r="A55" s="3" t="s">
        <v>16</v>
      </c>
      <c r="B55" s="3" t="s">
        <v>167</v>
      </c>
      <c r="C55" s="3" t="s">
        <v>1028</v>
      </c>
      <c r="D55" s="3">
        <v>70.23</v>
      </c>
      <c r="E55" s="3">
        <v>40.1</v>
      </c>
      <c r="F55" s="3">
        <v>18.07</v>
      </c>
      <c r="G55" s="3"/>
      <c r="H55" s="3"/>
      <c r="I55" s="3"/>
      <c r="J55" s="3"/>
      <c r="K55" s="3"/>
    </row>
    <row r="56" spans="1:11" x14ac:dyDescent="0.25">
      <c r="A56" s="3" t="s">
        <v>16</v>
      </c>
      <c r="B56" s="3" t="s">
        <v>368</v>
      </c>
      <c r="C56" s="3" t="s">
        <v>369</v>
      </c>
      <c r="D56" s="3">
        <v>63.1</v>
      </c>
      <c r="E56" s="3">
        <v>56.16</v>
      </c>
      <c r="F56" s="3">
        <v>18.940000000000001</v>
      </c>
      <c r="G56" s="3"/>
      <c r="H56" s="3"/>
      <c r="I56" s="3"/>
      <c r="J56" s="3"/>
      <c r="K56" s="3"/>
    </row>
    <row r="57" spans="1:11" x14ac:dyDescent="0.25">
      <c r="A57" s="3" t="s">
        <v>16</v>
      </c>
      <c r="B57" s="3" t="s">
        <v>636</v>
      </c>
      <c r="C57" s="3" t="s">
        <v>676</v>
      </c>
      <c r="D57" s="3">
        <v>68.34</v>
      </c>
      <c r="E57" s="3">
        <v>44.08</v>
      </c>
      <c r="F57" s="3">
        <v>17.2</v>
      </c>
      <c r="G57" s="3"/>
      <c r="H57" s="3"/>
      <c r="I57" s="3"/>
      <c r="J57" s="3"/>
      <c r="K57" s="3"/>
    </row>
    <row r="58" spans="1:11" x14ac:dyDescent="0.25">
      <c r="A58" s="3" t="s">
        <v>16</v>
      </c>
      <c r="B58" s="3" t="s">
        <v>722</v>
      </c>
      <c r="C58" s="3" t="s">
        <v>754</v>
      </c>
      <c r="D58" s="3">
        <v>63.53</v>
      </c>
      <c r="E58" s="3">
        <v>46.99</v>
      </c>
      <c r="F58" s="3">
        <v>15.83</v>
      </c>
      <c r="G58" s="3"/>
      <c r="H58" s="3"/>
      <c r="I58" s="3"/>
      <c r="J58" s="3"/>
      <c r="K58" s="3"/>
    </row>
    <row r="59" spans="1:11" x14ac:dyDescent="0.25">
      <c r="A59" s="3" t="s">
        <v>16</v>
      </c>
      <c r="B59" s="3" t="s">
        <v>556</v>
      </c>
      <c r="C59" s="3" t="s">
        <v>557</v>
      </c>
      <c r="D59" s="3">
        <v>79.13</v>
      </c>
      <c r="E59" s="3">
        <v>39.08</v>
      </c>
      <c r="F59" s="3">
        <v>17.12</v>
      </c>
      <c r="G59" s="3"/>
      <c r="H59" s="3"/>
      <c r="I59" s="3"/>
      <c r="J59" s="3"/>
      <c r="K59" s="3"/>
    </row>
    <row r="60" spans="1:11" x14ac:dyDescent="0.25">
      <c r="A60" s="3" t="s">
        <v>16</v>
      </c>
      <c r="B60" s="3" t="s">
        <v>471</v>
      </c>
      <c r="C60" s="3" t="s">
        <v>681</v>
      </c>
      <c r="D60" s="3">
        <v>62.03</v>
      </c>
      <c r="E60" s="3">
        <v>54.57</v>
      </c>
      <c r="F60" s="3">
        <v>18.260000000000002</v>
      </c>
      <c r="G60" s="3"/>
      <c r="H60" s="3"/>
      <c r="I60" s="3"/>
      <c r="J60" s="3"/>
      <c r="K60" s="3"/>
    </row>
    <row r="61" spans="1:11" x14ac:dyDescent="0.25">
      <c r="A61" s="3" t="s">
        <v>16</v>
      </c>
      <c r="B61" s="3" t="s">
        <v>620</v>
      </c>
      <c r="C61" s="3" t="s">
        <v>621</v>
      </c>
      <c r="D61" s="3">
        <v>56.83</v>
      </c>
      <c r="E61" s="3">
        <v>48.25</v>
      </c>
      <c r="F61" s="3">
        <v>17.47</v>
      </c>
      <c r="G61" s="3"/>
      <c r="H61" s="3"/>
      <c r="I61" s="3"/>
      <c r="J61" s="3"/>
      <c r="K61" s="3"/>
    </row>
    <row r="62" spans="1:11" x14ac:dyDescent="0.25">
      <c r="A62" s="3" t="s">
        <v>16</v>
      </c>
      <c r="B62" s="3" t="s">
        <v>222</v>
      </c>
      <c r="C62" s="3" t="s">
        <v>223</v>
      </c>
      <c r="D62" s="3">
        <v>68.349999999999994</v>
      </c>
      <c r="E62" s="3">
        <v>40.799999999999997</v>
      </c>
      <c r="F62" s="3">
        <v>19.13</v>
      </c>
      <c r="G62" s="3"/>
      <c r="H62" s="3"/>
      <c r="I62" s="3"/>
      <c r="J62" s="3"/>
      <c r="K62" s="3"/>
    </row>
    <row r="63" spans="1:11" x14ac:dyDescent="0.25">
      <c r="A63" s="3" t="s">
        <v>16</v>
      </c>
      <c r="B63" s="3" t="s">
        <v>268</v>
      </c>
      <c r="C63" s="3" t="s">
        <v>317</v>
      </c>
      <c r="D63" s="3">
        <v>73.680000000000007</v>
      </c>
      <c r="E63" s="3">
        <v>52.58</v>
      </c>
      <c r="F63" s="3">
        <v>15.91</v>
      </c>
      <c r="G63" s="3"/>
      <c r="H63" s="3"/>
      <c r="I63" s="3"/>
      <c r="J63" s="3"/>
      <c r="K63" s="3"/>
    </row>
    <row r="64" spans="1:11" x14ac:dyDescent="0.25">
      <c r="A64" s="3" t="s">
        <v>16</v>
      </c>
      <c r="B64" s="3" t="s">
        <v>584</v>
      </c>
      <c r="C64" s="3" t="s">
        <v>614</v>
      </c>
      <c r="D64" s="3">
        <v>72.739999999999995</v>
      </c>
      <c r="E64" s="3">
        <v>49.28</v>
      </c>
      <c r="F64" s="3">
        <v>18.03</v>
      </c>
      <c r="G64" s="3"/>
      <c r="H64" s="3"/>
      <c r="I64" s="3"/>
      <c r="J64" s="3"/>
      <c r="K64" s="3"/>
    </row>
    <row r="65" spans="1:11" x14ac:dyDescent="0.25">
      <c r="A65" s="3" t="s">
        <v>16</v>
      </c>
      <c r="B65" s="3" t="s">
        <v>262</v>
      </c>
      <c r="C65" s="3" t="s">
        <v>1029</v>
      </c>
      <c r="D65" s="3">
        <v>68.14</v>
      </c>
      <c r="E65" s="3">
        <v>39.94</v>
      </c>
      <c r="F65" s="3">
        <v>16.93</v>
      </c>
      <c r="G65" s="3"/>
      <c r="H65" s="3"/>
      <c r="I65" s="3"/>
      <c r="J65" s="3"/>
      <c r="K65" s="3"/>
    </row>
    <row r="66" spans="1:11" x14ac:dyDescent="0.25">
      <c r="A66" s="3" t="s">
        <v>16</v>
      </c>
      <c r="B66" s="3" t="s">
        <v>486</v>
      </c>
      <c r="C66" s="3" t="s">
        <v>1030</v>
      </c>
      <c r="D66" s="3">
        <v>67.61</v>
      </c>
      <c r="E66" s="3">
        <v>39.6</v>
      </c>
      <c r="F66" s="3">
        <v>13.71</v>
      </c>
      <c r="G66" s="3"/>
      <c r="H66" s="3"/>
      <c r="I66" s="3"/>
      <c r="J66" s="3"/>
      <c r="K66" s="3"/>
    </row>
    <row r="67" spans="1:11" x14ac:dyDescent="0.25">
      <c r="A67" s="3" t="s">
        <v>16</v>
      </c>
      <c r="B67" s="3" t="s">
        <v>893</v>
      </c>
      <c r="C67" s="3" t="s">
        <v>1031</v>
      </c>
      <c r="D67" s="3">
        <v>58.41</v>
      </c>
      <c r="E67" s="3">
        <v>43.38</v>
      </c>
      <c r="F67" s="3">
        <v>13.69</v>
      </c>
      <c r="G67" s="3"/>
      <c r="H67" s="3"/>
      <c r="I67" s="3"/>
      <c r="J67" s="3"/>
      <c r="K67" s="3"/>
    </row>
    <row r="68" spans="1:11" x14ac:dyDescent="0.25">
      <c r="A68" s="3" t="s">
        <v>16</v>
      </c>
      <c r="B68" s="3" t="s">
        <v>892</v>
      </c>
      <c r="C68" s="3" t="s">
        <v>1032</v>
      </c>
      <c r="D68" s="3">
        <v>79.97</v>
      </c>
      <c r="E68" s="3">
        <v>55.16</v>
      </c>
      <c r="F68" s="3">
        <v>18.45</v>
      </c>
      <c r="G68" s="3"/>
      <c r="H68" s="3"/>
      <c r="I68" s="3"/>
      <c r="J68" s="3"/>
      <c r="K68" s="3"/>
    </row>
    <row r="69" spans="1:11" x14ac:dyDescent="0.25">
      <c r="A69" s="3" t="s">
        <v>16</v>
      </c>
      <c r="B69" s="3" t="s">
        <v>866</v>
      </c>
      <c r="C69" s="3" t="s">
        <v>1033</v>
      </c>
      <c r="D69" s="3">
        <v>63.49</v>
      </c>
      <c r="E69" s="3">
        <v>52.02</v>
      </c>
      <c r="F69" s="3">
        <v>18.54</v>
      </c>
      <c r="G69" s="3"/>
      <c r="H69" s="3"/>
      <c r="I69" s="3"/>
      <c r="J69" s="3"/>
      <c r="K69" s="3"/>
    </row>
    <row r="70" spans="1:11" x14ac:dyDescent="0.25">
      <c r="A70" s="3" t="s">
        <v>16</v>
      </c>
      <c r="B70" s="3" t="s">
        <v>183</v>
      </c>
      <c r="C70" s="3" t="s">
        <v>455</v>
      </c>
      <c r="D70" s="3">
        <v>55.85</v>
      </c>
      <c r="E70" s="3">
        <v>52.59</v>
      </c>
      <c r="F70" s="3">
        <v>17.809999999999999</v>
      </c>
      <c r="G70" s="3"/>
      <c r="H70" s="3"/>
      <c r="I70" s="3"/>
      <c r="J70" s="3"/>
      <c r="K70" s="3"/>
    </row>
    <row r="71" spans="1:11" x14ac:dyDescent="0.25">
      <c r="A71" s="3" t="s">
        <v>16</v>
      </c>
      <c r="B71" s="3" t="s">
        <v>660</v>
      </c>
      <c r="C71" s="3" t="s">
        <v>1034</v>
      </c>
      <c r="D71" s="3">
        <v>65.09</v>
      </c>
      <c r="E71" s="3">
        <v>52.35</v>
      </c>
      <c r="F71" s="3">
        <v>17.72</v>
      </c>
      <c r="G71" s="3"/>
      <c r="H71" s="3"/>
      <c r="I71" s="3"/>
      <c r="J71" s="3"/>
      <c r="K71" s="3"/>
    </row>
    <row r="72" spans="1:11" x14ac:dyDescent="0.25">
      <c r="A72" s="3" t="s">
        <v>16</v>
      </c>
      <c r="B72" s="3" t="s">
        <v>260</v>
      </c>
      <c r="C72" s="3" t="s">
        <v>1035</v>
      </c>
      <c r="D72" s="3">
        <v>63.11</v>
      </c>
      <c r="E72" s="3">
        <v>56.4</v>
      </c>
      <c r="F72" s="3">
        <v>16.13</v>
      </c>
      <c r="G72" s="3"/>
      <c r="H72" s="3"/>
      <c r="I72" s="3"/>
      <c r="J72" s="3"/>
      <c r="K72" s="3"/>
    </row>
    <row r="73" spans="1:11" x14ac:dyDescent="0.25">
      <c r="A73" s="3" t="s">
        <v>16</v>
      </c>
      <c r="B73" s="3" t="s">
        <v>425</v>
      </c>
      <c r="C73" s="3" t="s">
        <v>1036</v>
      </c>
      <c r="D73" s="3">
        <v>83.2</v>
      </c>
      <c r="E73" s="3">
        <v>53.55</v>
      </c>
      <c r="F73" s="3">
        <v>17.05</v>
      </c>
      <c r="G73" s="3"/>
      <c r="H73" s="3"/>
      <c r="I73" s="3"/>
      <c r="J73" s="3"/>
      <c r="K73" s="3"/>
    </row>
    <row r="74" spans="1:11" x14ac:dyDescent="0.25">
      <c r="A74" s="3" t="s">
        <v>16</v>
      </c>
      <c r="B74" s="3" t="s">
        <v>616</v>
      </c>
      <c r="C74" s="3" t="s">
        <v>617</v>
      </c>
      <c r="D74" s="3">
        <v>66.34</v>
      </c>
      <c r="E74" s="3">
        <v>55.4</v>
      </c>
      <c r="F74" s="3">
        <v>19.25</v>
      </c>
      <c r="G74" s="3"/>
      <c r="H74" s="3"/>
      <c r="I74" s="3"/>
      <c r="J74" s="3"/>
      <c r="K74" s="3"/>
    </row>
    <row r="75" spans="1:11" x14ac:dyDescent="0.25">
      <c r="A75" s="3" t="s">
        <v>16</v>
      </c>
      <c r="B75" s="3" t="s">
        <v>477</v>
      </c>
      <c r="C75" s="3" t="s">
        <v>535</v>
      </c>
      <c r="D75" s="3">
        <v>67.650000000000006</v>
      </c>
      <c r="E75" s="3">
        <v>49.78</v>
      </c>
      <c r="F75" s="3">
        <v>18.12</v>
      </c>
      <c r="G75" s="3"/>
      <c r="H75" s="3"/>
      <c r="I75" s="3"/>
      <c r="J75" s="3"/>
      <c r="K75" s="3"/>
    </row>
    <row r="76" spans="1:11" x14ac:dyDescent="0.25">
      <c r="A76" s="3" t="s">
        <v>16</v>
      </c>
      <c r="B76" s="3" t="s">
        <v>725</v>
      </c>
      <c r="C76" s="3" t="s">
        <v>1037</v>
      </c>
      <c r="D76" s="3">
        <v>56.09</v>
      </c>
      <c r="E76" s="3">
        <v>54.63</v>
      </c>
      <c r="F76" s="3">
        <v>16.850000000000001</v>
      </c>
      <c r="G76" s="3"/>
      <c r="H76" s="3"/>
      <c r="I76" s="3"/>
      <c r="J76" s="3"/>
      <c r="K76" s="3"/>
    </row>
    <row r="77" spans="1:11" x14ac:dyDescent="0.25">
      <c r="A77" s="3" t="s">
        <v>16</v>
      </c>
      <c r="B77" s="3" t="s">
        <v>649</v>
      </c>
      <c r="C77" s="3" t="s">
        <v>1038</v>
      </c>
      <c r="D77" s="3">
        <v>74.349999999999994</v>
      </c>
      <c r="E77" s="3">
        <v>47.94</v>
      </c>
      <c r="F77" s="3">
        <v>17.79</v>
      </c>
      <c r="G77" s="3"/>
      <c r="H77" s="3"/>
      <c r="I77" s="3"/>
      <c r="J77" s="3"/>
      <c r="K77" s="3"/>
    </row>
    <row r="78" spans="1:11" x14ac:dyDescent="0.25">
      <c r="A78" s="3" t="s">
        <v>16</v>
      </c>
      <c r="B78" s="3" t="s">
        <v>930</v>
      </c>
      <c r="C78" s="3" t="s">
        <v>1039</v>
      </c>
      <c r="D78" s="3">
        <v>66.489999999999995</v>
      </c>
      <c r="E78" s="3">
        <v>49.37</v>
      </c>
      <c r="F78" s="3">
        <v>20.52</v>
      </c>
      <c r="G78" s="3"/>
      <c r="H78" s="3"/>
      <c r="I78" s="3"/>
      <c r="J78" s="3"/>
      <c r="K78" s="3"/>
    </row>
    <row r="79" spans="1:11" x14ac:dyDescent="0.25">
      <c r="A79" s="3" t="s">
        <v>16</v>
      </c>
      <c r="B79" s="3" t="s">
        <v>55</v>
      </c>
      <c r="C79" s="3" t="s">
        <v>1040</v>
      </c>
      <c r="D79" s="3">
        <v>68.39</v>
      </c>
      <c r="E79" s="3">
        <v>53.16</v>
      </c>
      <c r="F79" s="3">
        <v>16.95</v>
      </c>
      <c r="G79" s="3"/>
      <c r="H79" s="3"/>
      <c r="I79" s="3"/>
      <c r="J79" s="3"/>
      <c r="K79" s="3"/>
    </row>
    <row r="80" spans="1:11" x14ac:dyDescent="0.25">
      <c r="A80" s="3" t="s">
        <v>16</v>
      </c>
      <c r="B80" s="3" t="s">
        <v>552</v>
      </c>
      <c r="C80" s="3" t="s">
        <v>553</v>
      </c>
      <c r="D80" s="3">
        <v>54.1</v>
      </c>
      <c r="E80" s="3">
        <v>38.96</v>
      </c>
      <c r="F80" s="3">
        <v>18.64</v>
      </c>
      <c r="G80" s="3"/>
      <c r="H80" s="3"/>
      <c r="I80" s="3"/>
      <c r="J80" s="3"/>
      <c r="K80" s="3"/>
    </row>
    <row r="81" spans="1:11" x14ac:dyDescent="0.25">
      <c r="A81" s="3" t="s">
        <v>16</v>
      </c>
      <c r="B81" s="3" t="s">
        <v>533</v>
      </c>
      <c r="C81" s="3" t="s">
        <v>534</v>
      </c>
      <c r="D81" s="3">
        <v>62.95</v>
      </c>
      <c r="E81" s="3">
        <v>50.7</v>
      </c>
      <c r="F81" s="3">
        <v>19</v>
      </c>
      <c r="G81" s="3"/>
      <c r="H81" s="3"/>
      <c r="I81" s="3"/>
      <c r="J81" s="3"/>
      <c r="K81" s="3"/>
    </row>
    <row r="82" spans="1:11" x14ac:dyDescent="0.25">
      <c r="A82" s="3" t="s">
        <v>16</v>
      </c>
      <c r="B82" s="3" t="s">
        <v>715</v>
      </c>
      <c r="C82" s="3" t="s">
        <v>1041</v>
      </c>
      <c r="D82" s="3">
        <v>62.41</v>
      </c>
      <c r="E82" s="3">
        <v>49.13</v>
      </c>
      <c r="F82" s="3">
        <v>13.66</v>
      </c>
      <c r="G82" s="3"/>
      <c r="H82" s="3"/>
      <c r="I82" s="3"/>
      <c r="J82" s="3"/>
      <c r="K82" s="3"/>
    </row>
    <row r="83" spans="1:11" x14ac:dyDescent="0.25">
      <c r="A83" s="3" t="s">
        <v>16</v>
      </c>
      <c r="B83" s="3" t="s">
        <v>871</v>
      </c>
      <c r="C83" s="3" t="s">
        <v>1042</v>
      </c>
      <c r="D83" s="3">
        <v>57.79</v>
      </c>
      <c r="E83" s="3">
        <v>53.49</v>
      </c>
      <c r="F83" s="3">
        <v>16.149999999999999</v>
      </c>
      <c r="G83" s="3"/>
      <c r="H83" s="3"/>
      <c r="I83" s="3"/>
      <c r="J83" s="3"/>
      <c r="K83" s="3"/>
    </row>
    <row r="84" spans="1:11" x14ac:dyDescent="0.25">
      <c r="A84" s="3" t="s">
        <v>16</v>
      </c>
      <c r="B84" s="3" t="s">
        <v>538</v>
      </c>
      <c r="C84" s="3" t="s">
        <v>539</v>
      </c>
      <c r="D84" s="3">
        <v>61.52</v>
      </c>
      <c r="E84" s="3">
        <v>45.06</v>
      </c>
      <c r="F84" s="3">
        <v>13.19</v>
      </c>
      <c r="G84" s="3"/>
      <c r="H84" s="3"/>
      <c r="I84" s="3"/>
      <c r="J84" s="3"/>
      <c r="K84" s="3"/>
    </row>
    <row r="85" spans="1:11" x14ac:dyDescent="0.25">
      <c r="A85" s="3" t="s">
        <v>16</v>
      </c>
      <c r="B85" s="3" t="s">
        <v>192</v>
      </c>
      <c r="C85" s="3" t="s">
        <v>1043</v>
      </c>
      <c r="D85" s="3">
        <v>72.88</v>
      </c>
      <c r="E85" s="3">
        <v>50.25</v>
      </c>
      <c r="F85" s="3">
        <v>16.440000000000001</v>
      </c>
      <c r="G85" s="3"/>
      <c r="H85" s="3"/>
      <c r="I85" s="3"/>
      <c r="J85" s="3"/>
      <c r="K85" s="3"/>
    </row>
    <row r="86" spans="1:11" x14ac:dyDescent="0.25">
      <c r="A86" s="3" t="s">
        <v>16</v>
      </c>
      <c r="B86" s="3" t="s">
        <v>573</v>
      </c>
      <c r="C86" s="3" t="s">
        <v>304</v>
      </c>
      <c r="D86" s="3">
        <v>78.89</v>
      </c>
      <c r="E86" s="3">
        <v>53.63</v>
      </c>
      <c r="F86" s="3">
        <v>16.63</v>
      </c>
      <c r="G86" s="3"/>
      <c r="H86" s="3"/>
      <c r="I86" s="3"/>
      <c r="J86" s="3"/>
      <c r="K86" s="3"/>
    </row>
    <row r="87" spans="1:11" x14ac:dyDescent="0.25">
      <c r="A87" s="3" t="s">
        <v>16</v>
      </c>
      <c r="B87" s="3" t="s">
        <v>679</v>
      </c>
      <c r="C87" s="3" t="s">
        <v>680</v>
      </c>
      <c r="D87" s="3">
        <v>64.510000000000005</v>
      </c>
      <c r="E87" s="3">
        <v>40.29</v>
      </c>
      <c r="F87" s="3">
        <v>16.57</v>
      </c>
      <c r="G87" s="3"/>
      <c r="H87" s="3"/>
      <c r="I87" s="3"/>
      <c r="J87" s="3"/>
      <c r="K87" s="3"/>
    </row>
    <row r="88" spans="1:11" x14ac:dyDescent="0.25">
      <c r="A88" s="3" t="s">
        <v>16</v>
      </c>
      <c r="B88" s="3" t="s">
        <v>358</v>
      </c>
      <c r="C88" s="3" t="s">
        <v>359</v>
      </c>
      <c r="D88" s="3">
        <v>63.66</v>
      </c>
      <c r="E88" s="3">
        <v>53.06</v>
      </c>
      <c r="F88" s="3">
        <v>18.62</v>
      </c>
      <c r="G88" s="3"/>
      <c r="H88" s="3"/>
      <c r="I88" s="3"/>
      <c r="J88" s="3"/>
      <c r="K88" s="3"/>
    </row>
    <row r="89" spans="1:11" x14ac:dyDescent="0.25">
      <c r="A89" s="3" t="s">
        <v>16</v>
      </c>
      <c r="B89" s="3" t="s">
        <v>194</v>
      </c>
      <c r="C89" s="3" t="s">
        <v>1044</v>
      </c>
      <c r="D89" s="3">
        <v>71.09</v>
      </c>
      <c r="E89" s="3">
        <v>44.23</v>
      </c>
      <c r="F89" s="3">
        <v>16.79</v>
      </c>
      <c r="G89" s="3"/>
      <c r="H89" s="3"/>
      <c r="I89" s="3"/>
      <c r="J89" s="3"/>
      <c r="K89" s="3"/>
    </row>
    <row r="90" spans="1:11" x14ac:dyDescent="0.25">
      <c r="A90" s="3" t="s">
        <v>16</v>
      </c>
      <c r="B90" s="3" t="s">
        <v>755</v>
      </c>
      <c r="C90" s="3" t="s">
        <v>756</v>
      </c>
      <c r="D90" s="3">
        <v>60.95</v>
      </c>
      <c r="E90" s="3">
        <v>39.520000000000003</v>
      </c>
      <c r="F90" s="3">
        <v>18.48</v>
      </c>
      <c r="G90" s="3"/>
      <c r="H90" s="3"/>
      <c r="I90" s="3"/>
      <c r="J90" s="3"/>
      <c r="K90" s="3"/>
    </row>
    <row r="91" spans="1:11" x14ac:dyDescent="0.25">
      <c r="A91" s="3" t="s">
        <v>16</v>
      </c>
      <c r="B91" s="3" t="s">
        <v>520</v>
      </c>
      <c r="C91" s="3" t="s">
        <v>521</v>
      </c>
      <c r="D91" s="3">
        <v>65.75</v>
      </c>
      <c r="E91" s="3">
        <v>42.76</v>
      </c>
      <c r="F91" s="3">
        <v>16.02</v>
      </c>
      <c r="G91" s="3"/>
      <c r="H91" s="3"/>
      <c r="I91" s="3"/>
      <c r="J91" s="3"/>
      <c r="K91" s="3"/>
    </row>
    <row r="92" spans="1:11" x14ac:dyDescent="0.25">
      <c r="A92" s="3" t="s">
        <v>16</v>
      </c>
      <c r="B92" s="3" t="s">
        <v>946</v>
      </c>
      <c r="C92" s="3" t="s">
        <v>1045</v>
      </c>
      <c r="D92" s="3">
        <v>68.19</v>
      </c>
      <c r="E92" s="3">
        <v>44.09</v>
      </c>
      <c r="F92" s="3">
        <v>18.71</v>
      </c>
      <c r="G92" s="3"/>
      <c r="H92" s="3"/>
      <c r="I92" s="3"/>
      <c r="J92" s="3"/>
      <c r="K92" s="3"/>
    </row>
    <row r="93" spans="1:11" x14ac:dyDescent="0.25">
      <c r="A93" s="3" t="s">
        <v>16</v>
      </c>
      <c r="B93" s="3" t="s">
        <v>622</v>
      </c>
      <c r="C93" s="3" t="s">
        <v>623</v>
      </c>
      <c r="D93" s="3">
        <v>67.5</v>
      </c>
      <c r="E93" s="3">
        <v>54.58</v>
      </c>
      <c r="F93" s="3">
        <v>20.440000000000001</v>
      </c>
      <c r="G93" s="3"/>
      <c r="H93" s="3"/>
      <c r="I93" s="3"/>
      <c r="J93" s="3"/>
      <c r="K93" s="3"/>
    </row>
    <row r="94" spans="1:11" x14ac:dyDescent="0.25">
      <c r="A94" s="3" t="s">
        <v>16</v>
      </c>
      <c r="B94" s="3" t="s">
        <v>351</v>
      </c>
      <c r="C94" s="3" t="s">
        <v>352</v>
      </c>
      <c r="D94" s="3">
        <v>62.31</v>
      </c>
      <c r="E94" s="3">
        <v>58.73</v>
      </c>
      <c r="F94" s="3">
        <v>18.63</v>
      </c>
      <c r="G94" s="3"/>
      <c r="H94" s="3"/>
      <c r="I94" s="3"/>
      <c r="J94" s="3"/>
      <c r="K94" s="3"/>
    </row>
    <row r="95" spans="1:11" x14ac:dyDescent="0.25">
      <c r="A95" s="3" t="s">
        <v>16</v>
      </c>
      <c r="B95" s="3" t="s">
        <v>873</v>
      </c>
      <c r="C95" s="3" t="s">
        <v>1046</v>
      </c>
      <c r="D95" s="3">
        <v>68.69</v>
      </c>
      <c r="E95" s="3">
        <v>38.049999999999997</v>
      </c>
      <c r="F95" s="3">
        <v>13.62</v>
      </c>
      <c r="G95" s="3"/>
      <c r="H95" s="3"/>
      <c r="I95" s="3"/>
      <c r="J95" s="3"/>
      <c r="K95" s="3"/>
    </row>
    <row r="96" spans="1:11" x14ac:dyDescent="0.25">
      <c r="A96" s="3" t="s">
        <v>16</v>
      </c>
      <c r="B96" s="3" t="s">
        <v>977</v>
      </c>
      <c r="C96" s="3" t="s">
        <v>1047</v>
      </c>
      <c r="D96" s="3">
        <v>61.23</v>
      </c>
      <c r="E96" s="3">
        <v>50.9</v>
      </c>
      <c r="F96" s="3">
        <v>16.559999999999999</v>
      </c>
      <c r="G96" s="3"/>
      <c r="H96" s="3"/>
      <c r="I96" s="3"/>
      <c r="J96" s="3"/>
      <c r="K96" s="3"/>
    </row>
    <row r="97" spans="1:11" x14ac:dyDescent="0.25">
      <c r="A97" s="3" t="s">
        <v>16</v>
      </c>
      <c r="B97" s="3" t="s">
        <v>546</v>
      </c>
      <c r="C97" s="3" t="s">
        <v>547</v>
      </c>
      <c r="D97" s="3">
        <v>64.099999999999994</v>
      </c>
      <c r="E97" s="3">
        <v>46.85</v>
      </c>
      <c r="F97" s="3">
        <v>16.18</v>
      </c>
      <c r="G97" s="3"/>
      <c r="H97" s="3"/>
      <c r="I97" s="3"/>
      <c r="J97" s="3"/>
      <c r="K97" s="3"/>
    </row>
    <row r="98" spans="1:11" x14ac:dyDescent="0.25">
      <c r="A98" s="3" t="s">
        <v>16</v>
      </c>
      <c r="B98" s="3" t="s">
        <v>101</v>
      </c>
      <c r="C98" s="3" t="s">
        <v>849</v>
      </c>
      <c r="D98" s="3">
        <v>66.78</v>
      </c>
      <c r="E98" s="3">
        <v>44.92</v>
      </c>
      <c r="F98" s="3">
        <v>20.190000000000001</v>
      </c>
      <c r="G98" s="3"/>
      <c r="H98" s="3"/>
      <c r="I98" s="3"/>
      <c r="J98" s="3"/>
      <c r="K98" s="3"/>
    </row>
    <row r="99" spans="1:11" x14ac:dyDescent="0.25">
      <c r="A99" s="3" t="s">
        <v>16</v>
      </c>
      <c r="B99" s="3" t="s">
        <v>98</v>
      </c>
      <c r="C99" s="3" t="s">
        <v>1048</v>
      </c>
      <c r="D99" s="3">
        <v>63.73</v>
      </c>
      <c r="E99" s="3">
        <v>53.03</v>
      </c>
      <c r="F99" s="3">
        <v>17.95</v>
      </c>
      <c r="G99" s="3"/>
      <c r="H99" s="3"/>
      <c r="I99" s="3"/>
      <c r="J99" s="3"/>
      <c r="K99" s="3"/>
    </row>
    <row r="100" spans="1:11" x14ac:dyDescent="0.25">
      <c r="A100" s="3" t="s">
        <v>16</v>
      </c>
      <c r="B100" s="3" t="s">
        <v>90</v>
      </c>
      <c r="C100" s="3" t="s">
        <v>1049</v>
      </c>
      <c r="D100" s="3">
        <v>68.95</v>
      </c>
      <c r="E100" s="3">
        <v>48.08</v>
      </c>
      <c r="F100" s="3">
        <v>16.989999999999998</v>
      </c>
      <c r="G100" s="3"/>
      <c r="H100" s="3"/>
      <c r="I100" s="3"/>
      <c r="J100" s="3"/>
      <c r="K100" s="3"/>
    </row>
    <row r="101" spans="1:11" x14ac:dyDescent="0.25">
      <c r="A101" s="3" t="s">
        <v>16</v>
      </c>
      <c r="B101" s="3" t="s">
        <v>94</v>
      </c>
      <c r="C101" s="3" t="s">
        <v>737</v>
      </c>
      <c r="D101" s="3">
        <v>80.38</v>
      </c>
      <c r="E101" s="3">
        <v>45.71</v>
      </c>
      <c r="F101" s="3">
        <v>11.45</v>
      </c>
      <c r="G101" s="3"/>
      <c r="H101" s="3"/>
      <c r="I101" s="3"/>
      <c r="J101" s="3"/>
      <c r="K101" s="3"/>
    </row>
    <row r="102" spans="1:11" x14ac:dyDescent="0.25">
      <c r="A102" s="3" t="s">
        <v>16</v>
      </c>
      <c r="B102" s="3" t="s">
        <v>32</v>
      </c>
      <c r="C102" s="3" t="s">
        <v>33</v>
      </c>
      <c r="D102" s="3">
        <v>72.69</v>
      </c>
      <c r="E102" s="3">
        <v>44.55</v>
      </c>
      <c r="F102" s="3">
        <v>14.49</v>
      </c>
      <c r="G102" s="3"/>
      <c r="H102" s="3"/>
      <c r="I102" s="3"/>
      <c r="J102" s="3"/>
      <c r="K102" s="3"/>
    </row>
    <row r="103" spans="1:11" x14ac:dyDescent="0.25">
      <c r="A103" s="3" t="s">
        <v>16</v>
      </c>
      <c r="B103" s="3" t="s">
        <v>440</v>
      </c>
      <c r="C103" s="3" t="s">
        <v>1050</v>
      </c>
      <c r="D103" s="3">
        <v>72.12</v>
      </c>
      <c r="E103" s="3">
        <v>47.84</v>
      </c>
      <c r="F103" s="3">
        <v>16.95</v>
      </c>
      <c r="G103" s="3"/>
      <c r="H103" s="3"/>
      <c r="I103" s="3"/>
      <c r="J103" s="3"/>
      <c r="K103" s="3"/>
    </row>
    <row r="104" spans="1:11" x14ac:dyDescent="0.25">
      <c r="A104" s="3" t="s">
        <v>16</v>
      </c>
      <c r="B104" s="3" t="s">
        <v>529</v>
      </c>
      <c r="C104" s="3" t="s">
        <v>530</v>
      </c>
      <c r="D104" s="3">
        <v>61.2</v>
      </c>
      <c r="E104" s="3">
        <v>64.47</v>
      </c>
      <c r="F104" s="3">
        <v>22.3</v>
      </c>
      <c r="G104" s="3"/>
      <c r="H104" s="3"/>
      <c r="I104" s="3"/>
      <c r="J104" s="3"/>
      <c r="K104" s="3"/>
    </row>
    <row r="105" spans="1:11" x14ac:dyDescent="0.25">
      <c r="A105" s="3" t="s">
        <v>16</v>
      </c>
      <c r="B105" s="3" t="s">
        <v>118</v>
      </c>
      <c r="C105" s="3" t="s">
        <v>119</v>
      </c>
      <c r="D105" s="3">
        <v>70.41</v>
      </c>
      <c r="E105" s="3">
        <v>53.1</v>
      </c>
      <c r="F105" s="3">
        <v>14.98</v>
      </c>
      <c r="G105" s="3"/>
      <c r="H105" s="3"/>
      <c r="I105" s="3"/>
      <c r="J105" s="3"/>
      <c r="K105" s="3"/>
    </row>
    <row r="106" spans="1:11" x14ac:dyDescent="0.25">
      <c r="A106" s="3" t="s">
        <v>16</v>
      </c>
      <c r="B106" s="3" t="s">
        <v>597</v>
      </c>
      <c r="C106" s="3" t="s">
        <v>1051</v>
      </c>
      <c r="D106" s="3">
        <v>71.34</v>
      </c>
      <c r="E106" s="3">
        <v>45.73</v>
      </c>
      <c r="F106" s="3">
        <v>18.93</v>
      </c>
      <c r="G106" s="3"/>
      <c r="H106" s="3"/>
      <c r="I106" s="3"/>
      <c r="J106" s="3"/>
      <c r="K106" s="3"/>
    </row>
    <row r="107" spans="1:11" x14ac:dyDescent="0.25">
      <c r="A107" s="3" t="s">
        <v>16</v>
      </c>
      <c r="B107" s="3" t="s">
        <v>602</v>
      </c>
      <c r="C107" s="3" t="s">
        <v>753</v>
      </c>
      <c r="D107" s="3">
        <v>57.55</v>
      </c>
      <c r="E107" s="3">
        <v>47.75</v>
      </c>
      <c r="F107" s="3">
        <v>18.03</v>
      </c>
      <c r="G107" s="3"/>
      <c r="H107" s="3"/>
      <c r="I107" s="3"/>
      <c r="J107" s="3"/>
      <c r="K107" s="3"/>
    </row>
    <row r="108" spans="1:11" x14ac:dyDescent="0.25">
      <c r="A108" s="3" t="s">
        <v>16</v>
      </c>
      <c r="B108" s="3" t="s">
        <v>599</v>
      </c>
      <c r="C108" s="3" t="s">
        <v>1052</v>
      </c>
      <c r="D108" s="3">
        <v>76.08</v>
      </c>
      <c r="E108" s="3">
        <v>50.98</v>
      </c>
      <c r="F108" s="3">
        <v>18.13</v>
      </c>
      <c r="G108" s="3"/>
      <c r="H108" s="3"/>
      <c r="I108" s="3"/>
      <c r="J108" s="3"/>
      <c r="K108" s="3"/>
    </row>
    <row r="109" spans="1:11" x14ac:dyDescent="0.25">
      <c r="A109" s="3" t="s">
        <v>16</v>
      </c>
      <c r="B109" s="3" t="s">
        <v>374</v>
      </c>
      <c r="C109" s="3" t="s">
        <v>1053</v>
      </c>
      <c r="D109" s="3">
        <v>58.7</v>
      </c>
      <c r="E109" s="3">
        <v>59.58</v>
      </c>
      <c r="F109" s="3">
        <v>20.54</v>
      </c>
      <c r="G109" s="3"/>
      <c r="H109" s="3"/>
      <c r="I109" s="3"/>
      <c r="J109" s="3"/>
      <c r="K109" s="3"/>
    </row>
    <row r="110" spans="1:11" x14ac:dyDescent="0.25">
      <c r="A110" s="3" t="s">
        <v>16</v>
      </c>
      <c r="B110" s="3" t="s">
        <v>459</v>
      </c>
      <c r="C110" s="3" t="s">
        <v>460</v>
      </c>
      <c r="D110" s="3">
        <v>59.29</v>
      </c>
      <c r="E110" s="3">
        <v>37.909999999999997</v>
      </c>
      <c r="F110" s="3">
        <v>14.47</v>
      </c>
      <c r="G110" s="3"/>
      <c r="H110" s="3"/>
      <c r="I110" s="3"/>
      <c r="J110" s="3"/>
      <c r="K110" s="3"/>
    </row>
    <row r="111" spans="1:11" x14ac:dyDescent="0.25">
      <c r="A111" s="3" t="s">
        <v>16</v>
      </c>
      <c r="B111" s="3" t="s">
        <v>608</v>
      </c>
      <c r="C111" s="3" t="s">
        <v>738</v>
      </c>
      <c r="D111" s="3">
        <v>69.650000000000006</v>
      </c>
      <c r="E111" s="3">
        <v>48.23</v>
      </c>
      <c r="F111" s="3">
        <v>18.21</v>
      </c>
      <c r="G111" s="3"/>
      <c r="H111" s="3"/>
      <c r="I111" s="3"/>
      <c r="J111" s="3"/>
      <c r="K111" s="3"/>
    </row>
    <row r="112" spans="1:11" x14ac:dyDescent="0.25">
      <c r="A112" s="3" t="s">
        <v>16</v>
      </c>
      <c r="B112" s="3" t="s">
        <v>772</v>
      </c>
      <c r="C112" s="3" t="s">
        <v>1054</v>
      </c>
      <c r="D112" s="3">
        <v>80.430000000000007</v>
      </c>
      <c r="E112" s="3">
        <v>43.15</v>
      </c>
      <c r="F112" s="3">
        <v>16.440000000000001</v>
      </c>
      <c r="G112" s="3"/>
      <c r="H112" s="3"/>
      <c r="I112" s="3"/>
      <c r="J112" s="3"/>
      <c r="K112" s="3"/>
    </row>
    <row r="113" spans="1:11" x14ac:dyDescent="0.25">
      <c r="A113" s="3" t="s">
        <v>16</v>
      </c>
      <c r="B113" s="3" t="s">
        <v>174</v>
      </c>
      <c r="C113" s="3" t="s">
        <v>550</v>
      </c>
      <c r="D113" s="3">
        <v>70.930000000000007</v>
      </c>
      <c r="E113" s="3">
        <v>42.89</v>
      </c>
      <c r="F113" s="3">
        <v>15.49</v>
      </c>
      <c r="G113" s="3"/>
      <c r="H113" s="3"/>
      <c r="I113" s="3"/>
      <c r="J113" s="3"/>
      <c r="K113" s="3"/>
    </row>
    <row r="114" spans="1:11" x14ac:dyDescent="0.25">
      <c r="A114" s="3" t="s">
        <v>16</v>
      </c>
      <c r="B114" s="3" t="s">
        <v>612</v>
      </c>
      <c r="C114" s="3" t="s">
        <v>613</v>
      </c>
      <c r="D114" s="3">
        <v>80.84</v>
      </c>
      <c r="E114" s="3">
        <v>55.76</v>
      </c>
      <c r="F114" s="3">
        <v>19.059999999999999</v>
      </c>
      <c r="G114" s="3"/>
      <c r="H114" s="3"/>
      <c r="I114" s="3"/>
      <c r="J114" s="3"/>
      <c r="K114" s="3"/>
    </row>
    <row r="115" spans="1:11" x14ac:dyDescent="0.25">
      <c r="A115" s="3" t="s">
        <v>16</v>
      </c>
      <c r="B115" s="3" t="s">
        <v>320</v>
      </c>
      <c r="C115" s="3" t="s">
        <v>321</v>
      </c>
      <c r="D115" s="3">
        <v>71.150000000000006</v>
      </c>
      <c r="E115" s="3">
        <v>51.32</v>
      </c>
      <c r="F115" s="3">
        <v>16.98</v>
      </c>
      <c r="G115" s="3"/>
      <c r="H115" s="3"/>
      <c r="I115" s="3"/>
      <c r="J115" s="3"/>
      <c r="K115" s="3"/>
    </row>
    <row r="116" spans="1:11" x14ac:dyDescent="0.25">
      <c r="A116" s="3" t="s">
        <v>16</v>
      </c>
      <c r="B116" s="3" t="s">
        <v>256</v>
      </c>
      <c r="C116" s="3" t="s">
        <v>1055</v>
      </c>
      <c r="D116" s="3">
        <v>80.52</v>
      </c>
      <c r="E116" s="3">
        <v>46.08</v>
      </c>
      <c r="F116" s="3">
        <v>16.48</v>
      </c>
      <c r="G116" s="3"/>
      <c r="H116" s="3"/>
      <c r="I116" s="3"/>
      <c r="J116" s="3"/>
      <c r="K116" s="3"/>
    </row>
    <row r="117" spans="1:11" x14ac:dyDescent="0.25">
      <c r="A117" s="3" t="s">
        <v>16</v>
      </c>
      <c r="B117" s="3" t="s">
        <v>156</v>
      </c>
      <c r="C117" s="3" t="s">
        <v>299</v>
      </c>
      <c r="D117" s="3">
        <v>68.42</v>
      </c>
      <c r="E117" s="3">
        <v>48.96</v>
      </c>
      <c r="F117" s="3">
        <v>15.76</v>
      </c>
      <c r="G117" s="3"/>
      <c r="H117" s="3"/>
      <c r="I117" s="3"/>
      <c r="J117" s="3"/>
      <c r="K117" s="3"/>
    </row>
    <row r="118" spans="1:11" x14ac:dyDescent="0.25">
      <c r="A118" s="3" t="s">
        <v>16</v>
      </c>
      <c r="B118" s="3" t="s">
        <v>196</v>
      </c>
      <c r="C118" s="3" t="s">
        <v>765</v>
      </c>
      <c r="D118" s="3">
        <v>71.22</v>
      </c>
      <c r="E118" s="3">
        <v>39.49</v>
      </c>
      <c r="F118" s="3">
        <v>15.45</v>
      </c>
      <c r="G118" s="3"/>
      <c r="H118" s="3"/>
      <c r="I118" s="3"/>
      <c r="J118" s="3"/>
      <c r="K118" s="3"/>
    </row>
    <row r="119" spans="1:11" x14ac:dyDescent="0.25">
      <c r="A119" s="3" t="s">
        <v>16</v>
      </c>
      <c r="B119" s="3" t="s">
        <v>682</v>
      </c>
      <c r="C119" s="3" t="s">
        <v>683</v>
      </c>
      <c r="D119" s="3">
        <v>65.95</v>
      </c>
      <c r="E119" s="3">
        <v>43.64</v>
      </c>
      <c r="F119" s="3">
        <v>16.13</v>
      </c>
      <c r="G119" s="3"/>
      <c r="H119" s="3"/>
      <c r="I119" s="3"/>
      <c r="J119" s="3"/>
      <c r="K119" s="3"/>
    </row>
    <row r="120" spans="1:11" x14ac:dyDescent="0.25">
      <c r="A120" s="3" t="s">
        <v>16</v>
      </c>
      <c r="B120" s="3" t="s">
        <v>670</v>
      </c>
      <c r="C120" s="3" t="s">
        <v>671</v>
      </c>
      <c r="D120" s="3">
        <v>56.77</v>
      </c>
      <c r="E120" s="3">
        <v>47.77</v>
      </c>
      <c r="F120" s="3">
        <v>15.5</v>
      </c>
      <c r="G120" s="3"/>
      <c r="H120" s="3"/>
      <c r="I120" s="3"/>
      <c r="J120" s="3"/>
      <c r="K120" s="3"/>
    </row>
    <row r="121" spans="1:11" x14ac:dyDescent="0.25">
      <c r="A121" s="3" t="s">
        <v>16</v>
      </c>
      <c r="B121" s="3" t="s">
        <v>444</v>
      </c>
      <c r="C121" s="3" t="s">
        <v>445</v>
      </c>
      <c r="D121" s="3">
        <v>65.17</v>
      </c>
      <c r="E121" s="3">
        <v>45.56</v>
      </c>
      <c r="F121" s="3">
        <v>14.72</v>
      </c>
      <c r="G121" s="3"/>
      <c r="H121" s="3"/>
      <c r="I121" s="3"/>
      <c r="J121" s="3"/>
      <c r="K121" s="3"/>
    </row>
    <row r="122" spans="1:11" x14ac:dyDescent="0.25">
      <c r="A122" s="3" t="s">
        <v>16</v>
      </c>
      <c r="B122" s="3" t="s">
        <v>154</v>
      </c>
      <c r="C122" s="3" t="s">
        <v>453</v>
      </c>
      <c r="D122" s="3">
        <v>84.7</v>
      </c>
      <c r="E122" s="3">
        <v>49.44</v>
      </c>
      <c r="F122" s="3">
        <v>17.03</v>
      </c>
      <c r="G122" s="3"/>
      <c r="H122" s="3"/>
      <c r="I122" s="3"/>
      <c r="J122" s="3"/>
      <c r="K122" s="3"/>
    </row>
    <row r="123" spans="1:11" x14ac:dyDescent="0.25">
      <c r="A123" s="3" t="s">
        <v>16</v>
      </c>
      <c r="B123" s="3" t="s">
        <v>251</v>
      </c>
      <c r="C123" s="3" t="s">
        <v>1056</v>
      </c>
      <c r="D123" s="3">
        <v>63.44</v>
      </c>
      <c r="E123" s="3">
        <v>47.71</v>
      </c>
      <c r="F123" s="3">
        <v>17.38</v>
      </c>
      <c r="G123" s="3"/>
      <c r="H123" s="3"/>
      <c r="I123" s="3"/>
      <c r="J123" s="3"/>
      <c r="K123" s="3"/>
    </row>
    <row r="124" spans="1:11" x14ac:dyDescent="0.25">
      <c r="A124" s="3" t="s">
        <v>16</v>
      </c>
      <c r="B124" s="3" t="s">
        <v>307</v>
      </c>
      <c r="C124" s="3" t="s">
        <v>308</v>
      </c>
      <c r="D124" s="3">
        <v>70.13</v>
      </c>
      <c r="E124" s="3">
        <v>51.32</v>
      </c>
      <c r="F124" s="3">
        <v>16.82</v>
      </c>
      <c r="G124" s="3"/>
      <c r="H124" s="3"/>
      <c r="I124" s="3"/>
      <c r="J124" s="3"/>
      <c r="K124" s="3"/>
    </row>
    <row r="125" spans="1:11" x14ac:dyDescent="0.25">
      <c r="A125" s="3" t="s">
        <v>16</v>
      </c>
      <c r="B125" s="3" t="s">
        <v>127</v>
      </c>
      <c r="C125" s="3" t="s">
        <v>128</v>
      </c>
      <c r="D125" s="3">
        <v>56.39</v>
      </c>
      <c r="E125" s="3">
        <v>35.68</v>
      </c>
      <c r="F125" s="3">
        <v>13.34</v>
      </c>
      <c r="G125" s="3"/>
      <c r="H125" s="3"/>
      <c r="I125" s="3"/>
      <c r="J125" s="3"/>
      <c r="K125" s="3"/>
    </row>
    <row r="126" spans="1:11" x14ac:dyDescent="0.25">
      <c r="A126" s="3" t="s">
        <v>16</v>
      </c>
      <c r="B126" s="3" t="s">
        <v>931</v>
      </c>
      <c r="C126" s="3" t="s">
        <v>1057</v>
      </c>
      <c r="D126" s="3">
        <v>62.15</v>
      </c>
      <c r="E126" s="3">
        <v>45.91</v>
      </c>
      <c r="F126" s="3">
        <v>16.34</v>
      </c>
      <c r="G126" s="3"/>
      <c r="H126" s="3"/>
      <c r="I126" s="3"/>
      <c r="J126" s="3"/>
      <c r="K126" s="3"/>
    </row>
    <row r="127" spans="1:11" x14ac:dyDescent="0.25">
      <c r="A127" s="3" t="s">
        <v>16</v>
      </c>
      <c r="B127" s="3" t="s">
        <v>170</v>
      </c>
      <c r="C127" s="3" t="s">
        <v>454</v>
      </c>
      <c r="D127" s="3">
        <v>71.98</v>
      </c>
      <c r="E127" s="3">
        <v>50.73</v>
      </c>
      <c r="F127" s="3">
        <v>17.510000000000002</v>
      </c>
      <c r="G127" s="3"/>
      <c r="H127" s="3"/>
      <c r="I127" s="3"/>
      <c r="J127" s="3"/>
      <c r="K127" s="3"/>
    </row>
    <row r="128" spans="1:11" x14ac:dyDescent="0.25">
      <c r="A128" s="3" t="s">
        <v>16</v>
      </c>
      <c r="B128" s="3" t="s">
        <v>49</v>
      </c>
      <c r="C128" s="3" t="s">
        <v>206</v>
      </c>
      <c r="D128" s="3">
        <v>70.849999999999994</v>
      </c>
      <c r="E128" s="3">
        <v>52.01</v>
      </c>
      <c r="F128" s="3">
        <v>15.07</v>
      </c>
      <c r="G128" s="3"/>
      <c r="H128" s="3"/>
      <c r="I128" s="3"/>
      <c r="J128" s="3"/>
      <c r="K128" s="3"/>
    </row>
    <row r="129" spans="1:11" x14ac:dyDescent="0.25">
      <c r="A129" s="3" t="s">
        <v>16</v>
      </c>
      <c r="B129" s="3" t="s">
        <v>172</v>
      </c>
      <c r="C129" s="3" t="s">
        <v>684</v>
      </c>
      <c r="D129" s="3">
        <v>65.2</v>
      </c>
      <c r="E129" s="3">
        <v>43.67</v>
      </c>
      <c r="F129" s="3">
        <v>17.82</v>
      </c>
      <c r="G129" s="3"/>
      <c r="H129" s="3"/>
      <c r="I129" s="3"/>
      <c r="J129" s="3"/>
      <c r="K129" s="3"/>
    </row>
    <row r="130" spans="1:11" x14ac:dyDescent="0.25">
      <c r="A130" s="3" t="s">
        <v>16</v>
      </c>
      <c r="B130" s="3" t="s">
        <v>544</v>
      </c>
      <c r="C130" s="3" t="s">
        <v>545</v>
      </c>
      <c r="D130" s="3">
        <v>65.099999999999994</v>
      </c>
      <c r="E130" s="3">
        <v>49.86</v>
      </c>
      <c r="F130" s="3">
        <v>17.190000000000001</v>
      </c>
      <c r="G130" s="3"/>
      <c r="H130" s="3"/>
      <c r="I130" s="3"/>
      <c r="J130" s="3"/>
      <c r="K130" s="3"/>
    </row>
    <row r="131" spans="1:11" x14ac:dyDescent="0.25">
      <c r="A131" s="3" t="s">
        <v>16</v>
      </c>
      <c r="B131" s="3" t="s">
        <v>112</v>
      </c>
      <c r="C131" s="3" t="s">
        <v>113</v>
      </c>
      <c r="D131" s="3">
        <v>62.42</v>
      </c>
      <c r="E131" s="3">
        <v>46.78</v>
      </c>
      <c r="F131" s="3">
        <v>17.420000000000002</v>
      </c>
      <c r="G131" s="3"/>
      <c r="H131" s="3"/>
      <c r="I131" s="3"/>
      <c r="J131" s="3"/>
      <c r="K131" s="3"/>
    </row>
    <row r="132" spans="1:11" x14ac:dyDescent="0.25">
      <c r="A132" s="3" t="s">
        <v>16</v>
      </c>
      <c r="B132" s="3" t="s">
        <v>216</v>
      </c>
      <c r="C132" s="3" t="s">
        <v>217</v>
      </c>
      <c r="D132" s="3">
        <v>73.47</v>
      </c>
      <c r="E132" s="3">
        <v>45.62</v>
      </c>
      <c r="F132" s="3">
        <v>15.71</v>
      </c>
      <c r="G132" s="3"/>
      <c r="H132" s="3"/>
      <c r="I132" s="3"/>
      <c r="J132" s="3"/>
      <c r="K132" s="3"/>
    </row>
    <row r="133" spans="1:11" x14ac:dyDescent="0.25">
      <c r="A133" s="3" t="s">
        <v>16</v>
      </c>
      <c r="B133" s="3" t="s">
        <v>181</v>
      </c>
      <c r="C133" s="3" t="s">
        <v>1058</v>
      </c>
      <c r="D133" s="3">
        <v>64.040000000000006</v>
      </c>
      <c r="E133" s="3">
        <v>42.84</v>
      </c>
      <c r="F133" s="3">
        <v>16.260000000000002</v>
      </c>
      <c r="G133" s="3"/>
      <c r="H133" s="3"/>
      <c r="I133" s="3"/>
      <c r="J133" s="3"/>
      <c r="K133" s="3"/>
    </row>
    <row r="134" spans="1:11" x14ac:dyDescent="0.25">
      <c r="A134" s="17" t="s">
        <v>16</v>
      </c>
      <c r="B134" s="17" t="s">
        <v>434</v>
      </c>
      <c r="C134" s="17" t="s">
        <v>1059</v>
      </c>
      <c r="D134" s="17">
        <v>63.03</v>
      </c>
      <c r="E134" s="17">
        <v>52.65</v>
      </c>
      <c r="F134" s="17">
        <v>18.170000000000002</v>
      </c>
      <c r="G134" s="17" t="s">
        <v>1000</v>
      </c>
      <c r="H134" s="3"/>
      <c r="I134" s="3"/>
      <c r="J134" s="3"/>
      <c r="K134" s="3"/>
    </row>
    <row r="135" spans="1:11" x14ac:dyDescent="0.25">
      <c r="A135" s="3" t="s">
        <v>16</v>
      </c>
      <c r="B135" s="3" t="s">
        <v>159</v>
      </c>
      <c r="C135" s="3" t="s">
        <v>1060</v>
      </c>
      <c r="D135" s="3">
        <v>62.48</v>
      </c>
      <c r="E135" s="3">
        <v>47.16</v>
      </c>
      <c r="F135" s="3">
        <v>14.17</v>
      </c>
      <c r="G135" s="3"/>
      <c r="H135" s="3"/>
      <c r="I135" s="3"/>
      <c r="J135" s="3"/>
      <c r="K135" s="3"/>
    </row>
    <row r="136" spans="1:11" x14ac:dyDescent="0.25">
      <c r="A136" s="3" t="s">
        <v>16</v>
      </c>
      <c r="B136" s="3" t="s">
        <v>662</v>
      </c>
      <c r="C136" s="3" t="s">
        <v>762</v>
      </c>
      <c r="D136" s="3">
        <v>77.97</v>
      </c>
      <c r="E136" s="3">
        <v>40.86</v>
      </c>
      <c r="F136" s="3">
        <v>17.27</v>
      </c>
      <c r="G136" s="3"/>
      <c r="H136" s="3"/>
      <c r="I136" s="3"/>
      <c r="J136" s="3"/>
      <c r="K136" s="3"/>
    </row>
    <row r="137" spans="1:11" x14ac:dyDescent="0.25">
      <c r="A137" s="3" t="s">
        <v>16</v>
      </c>
      <c r="B137" s="3" t="s">
        <v>165</v>
      </c>
      <c r="C137" s="3" t="s">
        <v>549</v>
      </c>
      <c r="D137" s="3">
        <v>64.33</v>
      </c>
      <c r="E137" s="3">
        <v>44.72</v>
      </c>
      <c r="F137" s="3">
        <v>15.96</v>
      </c>
      <c r="G137" s="3"/>
      <c r="H137" s="3"/>
      <c r="I137" s="3"/>
      <c r="J137" s="3"/>
      <c r="K137" s="3"/>
    </row>
    <row r="138" spans="1:11" x14ac:dyDescent="0.25">
      <c r="A138" s="3" t="s">
        <v>16</v>
      </c>
      <c r="B138" s="3" t="s">
        <v>349</v>
      </c>
      <c r="C138" s="3" t="s">
        <v>350</v>
      </c>
      <c r="D138" s="3">
        <v>67.25</v>
      </c>
      <c r="E138" s="3">
        <v>46.17</v>
      </c>
      <c r="F138" s="3">
        <v>14.38</v>
      </c>
      <c r="G138" s="3"/>
      <c r="H138" s="3"/>
      <c r="I138" s="3"/>
      <c r="J138" s="3"/>
      <c r="K138" s="3"/>
    </row>
    <row r="139" spans="1:11" x14ac:dyDescent="0.25">
      <c r="A139" s="3" t="s">
        <v>16</v>
      </c>
      <c r="B139" s="3" t="s">
        <v>177</v>
      </c>
      <c r="C139" s="3" t="s">
        <v>551</v>
      </c>
      <c r="D139" s="3">
        <v>72.36</v>
      </c>
      <c r="E139" s="3">
        <v>36.770000000000003</v>
      </c>
      <c r="F139" s="3">
        <v>13.07</v>
      </c>
      <c r="G139" s="3"/>
      <c r="H139" s="3"/>
      <c r="I139" s="3"/>
      <c r="J139" s="3"/>
      <c r="K139" s="3"/>
    </row>
    <row r="140" spans="1:11" x14ac:dyDescent="0.25">
      <c r="A140" s="3" t="s">
        <v>16</v>
      </c>
      <c r="B140" s="3" t="s">
        <v>843</v>
      </c>
      <c r="C140" s="3" t="s">
        <v>844</v>
      </c>
      <c r="D140" s="3">
        <v>62.19</v>
      </c>
      <c r="E140" s="3">
        <v>54.36</v>
      </c>
      <c r="F140" s="3">
        <v>14.21</v>
      </c>
      <c r="G140" s="3"/>
      <c r="H140" s="3"/>
      <c r="I140" s="3"/>
      <c r="J140" s="3"/>
      <c r="K140" s="3"/>
    </row>
    <row r="141" spans="1:11" x14ac:dyDescent="0.25">
      <c r="A141" s="3" t="s">
        <v>16</v>
      </c>
      <c r="B141" s="3" t="s">
        <v>804</v>
      </c>
      <c r="C141" s="3" t="s">
        <v>848</v>
      </c>
      <c r="D141" s="3">
        <v>69.510000000000005</v>
      </c>
      <c r="E141" s="3">
        <v>48.35</v>
      </c>
      <c r="F141" s="3">
        <v>16.05</v>
      </c>
      <c r="G141" s="3"/>
      <c r="H141" s="3"/>
      <c r="I141" s="3"/>
      <c r="J141" s="3"/>
      <c r="K141" s="3"/>
    </row>
    <row r="142" spans="1:11" x14ac:dyDescent="0.25">
      <c r="A142" s="3" t="s">
        <v>16</v>
      </c>
      <c r="B142" s="3" t="s">
        <v>380</v>
      </c>
      <c r="C142" s="3" t="s">
        <v>615</v>
      </c>
      <c r="D142" s="3">
        <v>55.69</v>
      </c>
      <c r="E142" s="3">
        <v>57.71</v>
      </c>
      <c r="F142" s="3">
        <v>16.57</v>
      </c>
      <c r="G142" s="3"/>
      <c r="H142" s="3"/>
      <c r="I142" s="3"/>
      <c r="J142" s="3"/>
      <c r="K142" s="3"/>
    </row>
    <row r="143" spans="1:11" x14ac:dyDescent="0.25">
      <c r="A143" s="3" t="s">
        <v>16</v>
      </c>
      <c r="B143" s="3" t="s">
        <v>211</v>
      </c>
      <c r="C143" s="3" t="s">
        <v>212</v>
      </c>
      <c r="D143" s="3">
        <v>74.31</v>
      </c>
      <c r="E143" s="3">
        <v>51.95</v>
      </c>
      <c r="F143" s="3">
        <v>17.239999999999998</v>
      </c>
      <c r="G143" s="3"/>
      <c r="H143" s="3"/>
      <c r="I143" s="3"/>
      <c r="J143" s="3"/>
      <c r="K143" s="3"/>
    </row>
    <row r="144" spans="1:11" x14ac:dyDescent="0.25">
      <c r="A144" s="3" t="s">
        <v>16</v>
      </c>
      <c r="B144" s="3" t="s">
        <v>202</v>
      </c>
      <c r="C144" s="3" t="s">
        <v>203</v>
      </c>
      <c r="D144" s="3">
        <v>64.23</v>
      </c>
      <c r="E144" s="3">
        <v>53.31</v>
      </c>
      <c r="F144" s="3">
        <v>20.28</v>
      </c>
      <c r="G144" s="3"/>
      <c r="H144" s="3"/>
      <c r="I144" s="3"/>
      <c r="J144" s="3"/>
      <c r="K144" s="3"/>
    </row>
    <row r="145" spans="1:11" x14ac:dyDescent="0.25">
      <c r="A145" s="3" t="s">
        <v>16</v>
      </c>
      <c r="B145" s="3" t="s">
        <v>264</v>
      </c>
      <c r="C145" s="3" t="s">
        <v>1061</v>
      </c>
      <c r="D145" s="3">
        <v>70.650000000000006</v>
      </c>
      <c r="E145" s="3">
        <v>51.33</v>
      </c>
      <c r="F145" s="3">
        <v>15.85</v>
      </c>
      <c r="G145" s="3"/>
      <c r="H145" s="3"/>
      <c r="I145" s="3"/>
      <c r="J145" s="3"/>
      <c r="K145" s="3"/>
    </row>
    <row r="146" spans="1:11" x14ac:dyDescent="0.25">
      <c r="A146" s="3" t="s">
        <v>16</v>
      </c>
      <c r="B146" s="3" t="s">
        <v>540</v>
      </c>
      <c r="C146" s="3" t="s">
        <v>541</v>
      </c>
      <c r="D146" s="3">
        <v>60.08</v>
      </c>
      <c r="E146" s="3">
        <v>43.32</v>
      </c>
      <c r="F146" s="3">
        <v>14.18</v>
      </c>
      <c r="G146" s="3"/>
      <c r="H146" s="3"/>
      <c r="I146" s="3"/>
      <c r="J146" s="3"/>
      <c r="K146" s="3"/>
    </row>
    <row r="147" spans="1:11" x14ac:dyDescent="0.25">
      <c r="A147" s="3" t="s">
        <v>16</v>
      </c>
      <c r="B147" s="3" t="s">
        <v>672</v>
      </c>
      <c r="C147" s="3" t="s">
        <v>673</v>
      </c>
      <c r="D147" s="3">
        <v>73.319999999999993</v>
      </c>
      <c r="E147" s="3">
        <v>35.659999999999997</v>
      </c>
      <c r="F147" s="3">
        <v>11.67</v>
      </c>
      <c r="G147" s="3"/>
      <c r="H147" s="3"/>
      <c r="I147" s="3"/>
      <c r="J147" s="3"/>
      <c r="K147" s="3"/>
    </row>
    <row r="148" spans="1:11" x14ac:dyDescent="0.25">
      <c r="A148" s="3" t="s">
        <v>16</v>
      </c>
      <c r="B148" s="3" t="s">
        <v>66</v>
      </c>
      <c r="C148" s="3" t="s">
        <v>748</v>
      </c>
      <c r="D148" s="3">
        <v>75.2</v>
      </c>
      <c r="E148" s="3">
        <v>48.97</v>
      </c>
      <c r="F148" s="3">
        <v>20.37</v>
      </c>
      <c r="G148" s="3"/>
      <c r="H148" s="3"/>
      <c r="I148" s="3"/>
      <c r="J148" s="3"/>
      <c r="K148" s="3"/>
    </row>
    <row r="149" spans="1:11" x14ac:dyDescent="0.25">
      <c r="A149" s="3" t="s">
        <v>16</v>
      </c>
      <c r="B149" s="3" t="s">
        <v>57</v>
      </c>
      <c r="C149" s="3" t="s">
        <v>126</v>
      </c>
      <c r="D149" s="3">
        <v>67.83</v>
      </c>
      <c r="E149" s="3">
        <v>52.61</v>
      </c>
      <c r="F149" s="3">
        <v>16.87</v>
      </c>
      <c r="G149" s="3"/>
      <c r="H149" s="3"/>
      <c r="I149" s="3"/>
      <c r="J149" s="3"/>
      <c r="K149" s="3"/>
    </row>
    <row r="150" spans="1:11" x14ac:dyDescent="0.25">
      <c r="A150" s="3" t="s">
        <v>16</v>
      </c>
      <c r="B150" s="3" t="s">
        <v>249</v>
      </c>
      <c r="C150" s="3" t="s">
        <v>766</v>
      </c>
      <c r="D150" s="3">
        <v>60.55</v>
      </c>
      <c r="E150" s="3">
        <v>48.09</v>
      </c>
      <c r="F150" s="3">
        <v>22.31</v>
      </c>
      <c r="G150" s="3"/>
      <c r="H150" s="3"/>
      <c r="I150" s="3"/>
      <c r="J150" s="3"/>
      <c r="K150" s="3"/>
    </row>
    <row r="151" spans="1:11" x14ac:dyDescent="0.25">
      <c r="A151" s="3" t="s">
        <v>16</v>
      </c>
      <c r="B151" s="3" t="s">
        <v>23</v>
      </c>
      <c r="C151" s="3" t="s">
        <v>24</v>
      </c>
      <c r="D151" s="3">
        <v>72.75</v>
      </c>
      <c r="E151" s="3">
        <v>42.12</v>
      </c>
      <c r="F151" s="3">
        <v>16.440000000000001</v>
      </c>
      <c r="G151" s="3"/>
      <c r="H151" s="3"/>
      <c r="I151" s="3"/>
      <c r="J151" s="3"/>
      <c r="K151" s="3"/>
    </row>
    <row r="152" spans="1:11" x14ac:dyDescent="0.25">
      <c r="A152" s="3" t="s">
        <v>16</v>
      </c>
      <c r="B152" s="3" t="s">
        <v>840</v>
      </c>
      <c r="C152" s="3" t="s">
        <v>841</v>
      </c>
      <c r="D152" s="3">
        <v>68.48</v>
      </c>
      <c r="E152" s="3">
        <v>40.659999999999997</v>
      </c>
      <c r="F152" s="3">
        <v>14.73</v>
      </c>
      <c r="G152" s="3"/>
      <c r="H152" s="3"/>
      <c r="I152" s="3"/>
      <c r="J152" s="3"/>
      <c r="K152" s="3"/>
    </row>
    <row r="153" spans="1:11" x14ac:dyDescent="0.25">
      <c r="A153" s="3" t="s">
        <v>16</v>
      </c>
      <c r="B153" s="3" t="s">
        <v>370</v>
      </c>
      <c r="C153" s="3" t="s">
        <v>371</v>
      </c>
      <c r="D153" s="3">
        <v>72.180000000000007</v>
      </c>
      <c r="E153" s="3">
        <v>46.69</v>
      </c>
      <c r="F153" s="3">
        <v>17.22</v>
      </c>
      <c r="G153" s="3"/>
      <c r="H153" s="3"/>
      <c r="I153" s="3"/>
      <c r="J153" s="3"/>
      <c r="K153" s="3"/>
    </row>
    <row r="154" spans="1:11" x14ac:dyDescent="0.25">
      <c r="A154" s="3" t="s">
        <v>16</v>
      </c>
      <c r="B154" s="3" t="s">
        <v>218</v>
      </c>
      <c r="C154" s="3" t="s">
        <v>219</v>
      </c>
      <c r="D154" s="3">
        <v>66.89</v>
      </c>
      <c r="E154" s="3">
        <v>47.26</v>
      </c>
      <c r="F154" s="3">
        <v>16.43</v>
      </c>
      <c r="G154" s="3"/>
      <c r="H154" s="3"/>
      <c r="I154" s="3"/>
      <c r="J154" s="3"/>
      <c r="K154" s="3"/>
    </row>
    <row r="155" spans="1:11" x14ac:dyDescent="0.25">
      <c r="A155" s="3" t="s">
        <v>16</v>
      </c>
      <c r="B155" s="3" t="s">
        <v>220</v>
      </c>
      <c r="C155" s="3" t="s">
        <v>221</v>
      </c>
      <c r="D155" s="3">
        <v>67.489999999999995</v>
      </c>
      <c r="E155" s="3">
        <v>65.41</v>
      </c>
      <c r="F155" s="3">
        <v>19.25</v>
      </c>
      <c r="G155" s="3"/>
      <c r="H155" s="3"/>
      <c r="I155" s="3"/>
      <c r="J155" s="3"/>
      <c r="K155" s="3"/>
    </row>
    <row r="156" spans="1:11" x14ac:dyDescent="0.25">
      <c r="A156" s="3" t="s">
        <v>16</v>
      </c>
      <c r="B156" s="3" t="s">
        <v>576</v>
      </c>
      <c r="C156" s="3" t="s">
        <v>749</v>
      </c>
      <c r="D156" s="3">
        <v>63.32</v>
      </c>
      <c r="E156" s="3">
        <v>45.03</v>
      </c>
      <c r="F156" s="3">
        <v>17.43</v>
      </c>
      <c r="G156" s="3"/>
      <c r="H156" s="3"/>
      <c r="I156" s="3"/>
      <c r="J156" s="3"/>
      <c r="K156" s="3"/>
    </row>
    <row r="157" spans="1:11" x14ac:dyDescent="0.25">
      <c r="A157" s="3" t="s">
        <v>16</v>
      </c>
      <c r="B157" s="3" t="s">
        <v>209</v>
      </c>
      <c r="C157" s="3" t="s">
        <v>210</v>
      </c>
      <c r="D157" s="3">
        <v>73.05</v>
      </c>
      <c r="E157" s="3">
        <v>38.82</v>
      </c>
      <c r="F157" s="3">
        <v>12.29</v>
      </c>
      <c r="G157" s="3"/>
      <c r="H157" s="3"/>
      <c r="I157" s="3"/>
      <c r="J157" s="3"/>
      <c r="K157" s="3"/>
    </row>
    <row r="158" spans="1:11" x14ac:dyDescent="0.25">
      <c r="A158" s="3" t="s">
        <v>16</v>
      </c>
      <c r="B158" s="3" t="s">
        <v>20</v>
      </c>
      <c r="C158" s="3" t="s">
        <v>21</v>
      </c>
      <c r="D158" s="3">
        <v>73.819999999999993</v>
      </c>
      <c r="E158" s="3">
        <v>54.05</v>
      </c>
      <c r="F158" s="3">
        <v>14.88</v>
      </c>
      <c r="G158" s="3"/>
      <c r="H158" s="3"/>
      <c r="I158" s="3"/>
      <c r="J158" s="3"/>
      <c r="K158" s="3"/>
    </row>
    <row r="159" spans="1:11" x14ac:dyDescent="0.25">
      <c r="A159" s="3" t="s">
        <v>16</v>
      </c>
      <c r="B159" s="3" t="s">
        <v>610</v>
      </c>
      <c r="C159" s="3" t="s">
        <v>611</v>
      </c>
      <c r="D159" s="3">
        <v>71.72</v>
      </c>
      <c r="E159" s="3">
        <v>47.83</v>
      </c>
      <c r="F159" s="3">
        <v>19.809999999999999</v>
      </c>
      <c r="G159" s="3"/>
      <c r="H159" s="3"/>
      <c r="I159" s="3"/>
      <c r="J159" s="3"/>
      <c r="K159" s="3"/>
    </row>
    <row r="160" spans="1:11" x14ac:dyDescent="0.25">
      <c r="A160" s="3" t="s">
        <v>16</v>
      </c>
      <c r="B160" s="3" t="s">
        <v>891</v>
      </c>
      <c r="C160" s="3" t="s">
        <v>1062</v>
      </c>
      <c r="D160" s="3">
        <v>67.510000000000005</v>
      </c>
      <c r="E160" s="3">
        <v>43.8</v>
      </c>
      <c r="F160" s="3">
        <v>12.68</v>
      </c>
      <c r="G160" s="3"/>
      <c r="H160" s="3"/>
      <c r="I160" s="3"/>
      <c r="J160" s="3"/>
      <c r="K160" s="3"/>
    </row>
    <row r="161" spans="1:11" x14ac:dyDescent="0.25">
      <c r="A161" s="3" t="s">
        <v>16</v>
      </c>
      <c r="B161" s="3" t="s">
        <v>116</v>
      </c>
      <c r="C161" s="3" t="s">
        <v>117</v>
      </c>
      <c r="D161" s="3">
        <v>68.489999999999995</v>
      </c>
      <c r="E161" s="3">
        <v>49.5</v>
      </c>
      <c r="F161" s="3">
        <v>17.690000000000001</v>
      </c>
      <c r="G161" s="3"/>
      <c r="H161" s="3"/>
      <c r="I161" s="3"/>
      <c r="J161" s="3"/>
      <c r="K161" s="3"/>
    </row>
    <row r="162" spans="1:11" x14ac:dyDescent="0.25">
      <c r="A162" s="3" t="s">
        <v>16</v>
      </c>
      <c r="B162" s="3" t="s">
        <v>29</v>
      </c>
      <c r="C162" s="3" t="s">
        <v>30</v>
      </c>
      <c r="D162" s="3">
        <v>69.63</v>
      </c>
      <c r="E162" s="3">
        <v>70.349999999999994</v>
      </c>
      <c r="F162" s="3">
        <v>23.62</v>
      </c>
      <c r="G162" s="3"/>
      <c r="H162" s="3"/>
      <c r="I162" s="3"/>
      <c r="J162" s="3"/>
      <c r="K162" s="3"/>
    </row>
    <row r="163" spans="1:11" x14ac:dyDescent="0.25">
      <c r="A163" s="3" t="s">
        <v>16</v>
      </c>
      <c r="B163" s="3" t="s">
        <v>786</v>
      </c>
      <c r="C163" s="3" t="s">
        <v>1063</v>
      </c>
      <c r="D163" s="3">
        <v>71.58</v>
      </c>
      <c r="E163" s="3">
        <v>48.32</v>
      </c>
      <c r="F163" s="3">
        <v>22.87</v>
      </c>
      <c r="G163" s="3"/>
      <c r="H163" s="3"/>
      <c r="I163" s="3"/>
      <c r="J163" s="3"/>
      <c r="K163" s="3"/>
    </row>
    <row r="164" spans="1:11" x14ac:dyDescent="0.25">
      <c r="A164" s="3" t="s">
        <v>16</v>
      </c>
      <c r="B164" s="3" t="s">
        <v>51</v>
      </c>
      <c r="C164" s="3" t="s">
        <v>1064</v>
      </c>
      <c r="D164" s="3">
        <v>69.31</v>
      </c>
      <c r="E164" s="3">
        <v>47.76</v>
      </c>
      <c r="F164" s="3">
        <v>19.96</v>
      </c>
      <c r="G164" s="3"/>
      <c r="H164" s="3"/>
      <c r="I164" s="3"/>
      <c r="J164" s="3"/>
      <c r="K164" s="3"/>
    </row>
    <row r="165" spans="1:11" x14ac:dyDescent="0.25">
      <c r="A165" s="3" t="s">
        <v>16</v>
      </c>
      <c r="B165" s="3" t="s">
        <v>27</v>
      </c>
      <c r="C165" s="3" t="s">
        <v>28</v>
      </c>
      <c r="D165" s="3">
        <v>59.48</v>
      </c>
      <c r="E165" s="3">
        <v>42.39</v>
      </c>
      <c r="F165" s="3">
        <v>13.12</v>
      </c>
      <c r="G165" s="3"/>
      <c r="H165" s="3"/>
      <c r="I165" s="3"/>
      <c r="J165" s="3"/>
      <c r="K165" s="3"/>
    </row>
    <row r="166" spans="1:11" x14ac:dyDescent="0.25">
      <c r="A166" s="3" t="s">
        <v>16</v>
      </c>
      <c r="B166" s="3" t="s">
        <v>68</v>
      </c>
      <c r="C166" s="3" t="s">
        <v>514</v>
      </c>
      <c r="D166" s="3">
        <v>76.53</v>
      </c>
      <c r="E166" s="3">
        <v>52.08</v>
      </c>
      <c r="F166" s="3">
        <v>15.06</v>
      </c>
      <c r="G166" s="3"/>
      <c r="H166" s="3"/>
      <c r="I166" s="3"/>
      <c r="J166" s="3"/>
      <c r="K166" s="3"/>
    </row>
    <row r="167" spans="1:11" x14ac:dyDescent="0.25">
      <c r="A167" s="3" t="s">
        <v>16</v>
      </c>
      <c r="B167" s="3" t="s">
        <v>835</v>
      </c>
      <c r="C167" s="3" t="s">
        <v>836</v>
      </c>
      <c r="D167" s="3">
        <v>69.260000000000005</v>
      </c>
      <c r="E167" s="3">
        <v>48.13</v>
      </c>
      <c r="F167" s="3">
        <v>13.89</v>
      </c>
      <c r="G167" s="3"/>
      <c r="H167" s="3"/>
      <c r="I167" s="3"/>
      <c r="J167" s="3"/>
      <c r="K167" s="3"/>
    </row>
    <row r="168" spans="1:11" x14ac:dyDescent="0.25">
      <c r="A168" s="3" t="s">
        <v>16</v>
      </c>
      <c r="B168" s="3" t="s">
        <v>654</v>
      </c>
      <c r="C168" s="3" t="s">
        <v>837</v>
      </c>
      <c r="D168" s="3">
        <v>85.73</v>
      </c>
      <c r="E168" s="3">
        <v>47.36</v>
      </c>
      <c r="F168" s="3">
        <v>18.059999999999999</v>
      </c>
      <c r="G168" s="3"/>
      <c r="H168" s="3"/>
      <c r="I168" s="3"/>
      <c r="J168" s="3"/>
      <c r="K168" s="3"/>
    </row>
    <row r="169" spans="1:11" x14ac:dyDescent="0.25">
      <c r="A169" s="3" t="s">
        <v>16</v>
      </c>
      <c r="B169" s="3" t="s">
        <v>554</v>
      </c>
      <c r="C169" s="3" t="s">
        <v>555</v>
      </c>
      <c r="D169" s="3">
        <v>85.27</v>
      </c>
      <c r="E169" s="3">
        <v>61.19</v>
      </c>
      <c r="F169" s="3">
        <v>22.81</v>
      </c>
      <c r="G169" s="3"/>
      <c r="H169" s="3"/>
      <c r="I169" s="3"/>
      <c r="J169" s="3"/>
      <c r="K169" s="3"/>
    </row>
    <row r="170" spans="1:11" x14ac:dyDescent="0.25">
      <c r="A170" s="3" t="s">
        <v>16</v>
      </c>
      <c r="B170" s="3" t="s">
        <v>918</v>
      </c>
      <c r="C170" s="3" t="s">
        <v>1065</v>
      </c>
      <c r="D170" s="3">
        <v>71.95</v>
      </c>
      <c r="E170" s="3">
        <v>42.32</v>
      </c>
      <c r="F170" s="3">
        <v>17.739999999999998</v>
      </c>
      <c r="G170" s="3"/>
      <c r="H170" s="3"/>
      <c r="I170" s="3"/>
      <c r="J170" s="3"/>
      <c r="K170" s="3"/>
    </row>
    <row r="171" spans="1:11" x14ac:dyDescent="0.25">
      <c r="A171" s="3" t="s">
        <v>16</v>
      </c>
      <c r="B171" s="3" t="s">
        <v>456</v>
      </c>
      <c r="C171" s="3" t="s">
        <v>457</v>
      </c>
      <c r="D171" s="3">
        <v>48.99</v>
      </c>
      <c r="E171" s="3">
        <v>31.19</v>
      </c>
      <c r="F171" s="3">
        <v>14.88</v>
      </c>
      <c r="G171" s="3"/>
      <c r="H171" s="3"/>
      <c r="I171" s="3"/>
      <c r="J171" s="3"/>
      <c r="K171" s="3"/>
    </row>
    <row r="172" spans="1:11" x14ac:dyDescent="0.25">
      <c r="A172" s="17" t="s">
        <v>16</v>
      </c>
      <c r="B172" s="17" t="s">
        <v>994</v>
      </c>
      <c r="C172" s="17" t="s">
        <v>1066</v>
      </c>
      <c r="D172" s="17">
        <v>67.17</v>
      </c>
      <c r="E172" s="17">
        <v>40.950000000000003</v>
      </c>
      <c r="F172" s="17">
        <v>18.16</v>
      </c>
      <c r="G172" s="17" t="s">
        <v>1000</v>
      </c>
      <c r="H172" s="3"/>
      <c r="I172" s="3"/>
      <c r="J172" s="3"/>
      <c r="K172" s="3"/>
    </row>
    <row r="173" spans="1:11" x14ac:dyDescent="0.25">
      <c r="A173" s="3" t="s">
        <v>16</v>
      </c>
      <c r="B173" s="3" t="s">
        <v>188</v>
      </c>
      <c r="C173" s="3" t="s">
        <v>669</v>
      </c>
      <c r="D173" s="3">
        <v>75.58</v>
      </c>
      <c r="E173" s="3">
        <v>48.31</v>
      </c>
      <c r="F173" s="3">
        <v>19.899999999999999</v>
      </c>
      <c r="G173" s="3"/>
      <c r="H173" s="3"/>
      <c r="I173" s="3"/>
      <c r="J173" s="3"/>
      <c r="K173" s="3"/>
    </row>
    <row r="174" spans="1:11" x14ac:dyDescent="0.25">
      <c r="A174" s="3" t="s">
        <v>16</v>
      </c>
      <c r="B174" s="3" t="s">
        <v>442</v>
      </c>
      <c r="C174" s="3" t="s">
        <v>1067</v>
      </c>
      <c r="D174" s="3">
        <v>75.33</v>
      </c>
      <c r="E174" s="3">
        <v>47.97</v>
      </c>
      <c r="F174" s="3">
        <v>16</v>
      </c>
      <c r="G174" s="3"/>
      <c r="H174" s="3"/>
      <c r="I174" s="3"/>
      <c r="J174" s="3"/>
      <c r="K174" s="3"/>
    </row>
    <row r="175" spans="1:11" x14ac:dyDescent="0.25">
      <c r="A175" s="3" t="s">
        <v>16</v>
      </c>
      <c r="B175" s="3" t="s">
        <v>393</v>
      </c>
      <c r="C175" s="3" t="s">
        <v>464</v>
      </c>
      <c r="D175" s="3">
        <v>67.66</v>
      </c>
      <c r="E175" s="3">
        <v>37.200000000000003</v>
      </c>
      <c r="F175" s="3">
        <v>17.350000000000001</v>
      </c>
      <c r="G175" s="3"/>
      <c r="H175" s="3"/>
      <c r="I175" s="3"/>
      <c r="J175" s="3"/>
      <c r="K175" s="3"/>
    </row>
    <row r="176" spans="1:11" x14ac:dyDescent="0.25">
      <c r="A176" s="3" t="s">
        <v>16</v>
      </c>
      <c r="B176" s="3" t="s">
        <v>674</v>
      </c>
      <c r="C176" s="3" t="s">
        <v>675</v>
      </c>
      <c r="D176" s="3">
        <v>64.989999999999995</v>
      </c>
      <c r="E176" s="3">
        <v>47.26</v>
      </c>
      <c r="F176" s="3">
        <v>17.97</v>
      </c>
      <c r="G176" s="3"/>
      <c r="H176" s="3"/>
      <c r="I176" s="3"/>
      <c r="J176" s="3"/>
      <c r="K176" s="3"/>
    </row>
    <row r="177" spans="1:11" x14ac:dyDescent="0.25">
      <c r="A177" s="3" t="s">
        <v>16</v>
      </c>
      <c r="B177" s="3" t="s">
        <v>924</v>
      </c>
      <c r="C177" s="3" t="s">
        <v>1068</v>
      </c>
      <c r="D177" s="3">
        <v>71.400000000000006</v>
      </c>
      <c r="E177" s="3">
        <v>39.03</v>
      </c>
      <c r="F177" s="3">
        <v>14.91</v>
      </c>
      <c r="G177" s="3"/>
      <c r="H177" s="3"/>
      <c r="I177" s="3"/>
      <c r="J177" s="3"/>
      <c r="K177" s="3"/>
    </row>
    <row r="178" spans="1:11" x14ac:dyDescent="0.25">
      <c r="A178" s="3" t="s">
        <v>16</v>
      </c>
      <c r="B178" s="3" t="s">
        <v>389</v>
      </c>
      <c r="C178" s="3" t="s">
        <v>1069</v>
      </c>
      <c r="D178" s="3">
        <v>64.989999999999995</v>
      </c>
      <c r="E178" s="3">
        <v>51.64</v>
      </c>
      <c r="F178" s="3">
        <v>21.83</v>
      </c>
      <c r="G178" s="3"/>
      <c r="H178" s="3"/>
      <c r="I178" s="3"/>
      <c r="J178" s="3"/>
      <c r="K178" s="3"/>
    </row>
    <row r="179" spans="1:11" x14ac:dyDescent="0.25">
      <c r="A179" s="3" t="s">
        <v>16</v>
      </c>
      <c r="B179" s="3" t="s">
        <v>462</v>
      </c>
      <c r="C179" s="3" t="s">
        <v>463</v>
      </c>
      <c r="D179" s="3">
        <v>69.05</v>
      </c>
      <c r="E179" s="3">
        <v>43.8</v>
      </c>
      <c r="F179" s="3">
        <v>15.75</v>
      </c>
      <c r="G179" s="3"/>
      <c r="H179" s="3"/>
      <c r="I179" s="3"/>
      <c r="J179" s="3"/>
      <c r="K179" s="3"/>
    </row>
    <row r="180" spans="1:11" x14ac:dyDescent="0.25">
      <c r="A180" s="3" t="s">
        <v>16</v>
      </c>
      <c r="B180" s="3" t="s">
        <v>582</v>
      </c>
      <c r="C180" s="3" t="s">
        <v>1070</v>
      </c>
      <c r="D180" s="3">
        <v>51.33</v>
      </c>
      <c r="E180" s="3">
        <v>54.12</v>
      </c>
      <c r="F180" s="3">
        <v>20.58</v>
      </c>
      <c r="G180" s="3"/>
      <c r="H180" s="3"/>
      <c r="I180" s="3"/>
      <c r="J180" s="3"/>
      <c r="K180" s="3"/>
    </row>
    <row r="181" spans="1:11" x14ac:dyDescent="0.25">
      <c r="A181" s="3" t="s">
        <v>16</v>
      </c>
      <c r="B181" s="3" t="s">
        <v>312</v>
      </c>
      <c r="C181" s="3" t="s">
        <v>313</v>
      </c>
      <c r="D181" s="3">
        <v>63.94</v>
      </c>
      <c r="E181" s="3">
        <v>49.26</v>
      </c>
      <c r="F181" s="3">
        <v>17.100000000000001</v>
      </c>
      <c r="G181" s="3"/>
      <c r="H181" s="3"/>
      <c r="I181" s="3"/>
      <c r="J181" s="3"/>
      <c r="K181" s="3"/>
    </row>
    <row r="182" spans="1:11" x14ac:dyDescent="0.25">
      <c r="A182" s="3" t="s">
        <v>16</v>
      </c>
      <c r="B182" s="3" t="s">
        <v>204</v>
      </c>
      <c r="C182" s="3" t="s">
        <v>205</v>
      </c>
      <c r="D182" s="3">
        <v>63.71</v>
      </c>
      <c r="E182" s="3">
        <v>50.88</v>
      </c>
      <c r="F182" s="3">
        <v>20.29</v>
      </c>
      <c r="G182" s="3"/>
      <c r="H182" s="3"/>
      <c r="I182" s="3"/>
      <c r="J182" s="3"/>
      <c r="K182" s="3"/>
    </row>
    <row r="183" spans="1:11" x14ac:dyDescent="0.25">
      <c r="A183" s="3" t="s">
        <v>16</v>
      </c>
      <c r="B183" s="3" t="s">
        <v>818</v>
      </c>
      <c r="C183" s="3" t="s">
        <v>1071</v>
      </c>
      <c r="D183" s="3">
        <v>69.31</v>
      </c>
      <c r="E183" s="3">
        <v>42.54</v>
      </c>
      <c r="F183" s="3">
        <v>18.079999999999998</v>
      </c>
      <c r="G183" s="3"/>
      <c r="H183" s="3"/>
      <c r="I183" s="3"/>
      <c r="J183" s="3"/>
      <c r="K183" s="3"/>
    </row>
    <row r="184" spans="1:11" x14ac:dyDescent="0.25">
      <c r="A184" s="3" t="s">
        <v>16</v>
      </c>
      <c r="B184" s="3" t="s">
        <v>35</v>
      </c>
      <c r="C184" s="3" t="s">
        <v>36</v>
      </c>
      <c r="D184" s="3">
        <v>66.349999999999994</v>
      </c>
      <c r="E184" s="3">
        <v>50.23</v>
      </c>
      <c r="F184" s="3">
        <v>14.63</v>
      </c>
      <c r="G184" s="3"/>
      <c r="H184" s="3"/>
      <c r="I184" s="3"/>
      <c r="J184" s="3"/>
      <c r="K184" s="3"/>
    </row>
    <row r="185" spans="1:11" x14ac:dyDescent="0.25">
      <c r="A185" s="3" t="s">
        <v>16</v>
      </c>
      <c r="B185" s="3" t="s">
        <v>122</v>
      </c>
      <c r="C185" s="3" t="s">
        <v>123</v>
      </c>
      <c r="D185" s="3">
        <v>74.52</v>
      </c>
      <c r="E185" s="3">
        <v>46.59</v>
      </c>
      <c r="F185" s="3">
        <v>17.47</v>
      </c>
      <c r="G185" s="3"/>
      <c r="H185" s="3"/>
      <c r="I185" s="3"/>
      <c r="J185" s="3"/>
      <c r="K185" s="3"/>
    </row>
    <row r="186" spans="1:11" x14ac:dyDescent="0.25">
      <c r="A186" s="3" t="s">
        <v>16</v>
      </c>
      <c r="B186" s="3" t="s">
        <v>739</v>
      </c>
      <c r="C186" s="3" t="s">
        <v>740</v>
      </c>
      <c r="D186" s="3">
        <v>63.76</v>
      </c>
      <c r="E186" s="3">
        <v>45.56</v>
      </c>
      <c r="F186" s="3">
        <v>17.47</v>
      </c>
      <c r="G186" s="3"/>
      <c r="H186" s="3"/>
      <c r="I186" s="3"/>
      <c r="J186" s="3"/>
      <c r="K186" s="3"/>
    </row>
    <row r="187" spans="1:11" x14ac:dyDescent="0.25">
      <c r="A187" s="3" t="s">
        <v>16</v>
      </c>
      <c r="B187" s="3" t="s">
        <v>44</v>
      </c>
      <c r="C187" s="3" t="s">
        <v>45</v>
      </c>
      <c r="D187" s="3">
        <v>66.290000000000006</v>
      </c>
      <c r="E187" s="3">
        <v>47.34</v>
      </c>
      <c r="F187" s="3">
        <v>15.65</v>
      </c>
      <c r="G187" s="3"/>
      <c r="H187" s="3"/>
      <c r="I187" s="3"/>
      <c r="J187" s="3"/>
      <c r="K187" s="3"/>
    </row>
    <row r="188" spans="1:11" x14ac:dyDescent="0.25">
      <c r="A188" s="3" t="s">
        <v>16</v>
      </c>
      <c r="B188" s="3" t="s">
        <v>41</v>
      </c>
      <c r="C188" s="3" t="s">
        <v>42</v>
      </c>
      <c r="D188" s="3">
        <v>67.87</v>
      </c>
      <c r="E188" s="3">
        <v>51.68</v>
      </c>
      <c r="F188" s="3">
        <v>14.59</v>
      </c>
      <c r="G188" s="3"/>
      <c r="H188" s="3"/>
      <c r="I188" s="3"/>
      <c r="J188" s="3"/>
      <c r="K188" s="3"/>
    </row>
    <row r="189" spans="1:11" x14ac:dyDescent="0.25">
      <c r="A189" s="3" t="s">
        <v>16</v>
      </c>
      <c r="B189" s="3" t="s">
        <v>70</v>
      </c>
      <c r="C189" s="3" t="s">
        <v>750</v>
      </c>
      <c r="D189" s="3">
        <v>75.95</v>
      </c>
      <c r="E189" s="3">
        <v>53.48</v>
      </c>
      <c r="F189" s="3">
        <v>17.32</v>
      </c>
      <c r="G189" s="3"/>
      <c r="H189" s="3"/>
      <c r="I189" s="3"/>
      <c r="J189" s="3"/>
      <c r="K189" s="3"/>
    </row>
    <row r="190" spans="1:11" x14ac:dyDescent="0.25">
      <c r="A190" s="3" t="s">
        <v>16</v>
      </c>
      <c r="B190" s="3" t="s">
        <v>763</v>
      </c>
      <c r="C190" s="3" t="s">
        <v>764</v>
      </c>
      <c r="D190" s="3">
        <v>72.33</v>
      </c>
      <c r="E190" s="3">
        <v>45.38</v>
      </c>
      <c r="F190" s="3">
        <v>14.18</v>
      </c>
      <c r="G190" s="3"/>
      <c r="H190" s="3"/>
      <c r="I190" s="3"/>
      <c r="J190" s="3"/>
      <c r="K190" s="3"/>
    </row>
    <row r="191" spans="1:11" x14ac:dyDescent="0.25">
      <c r="A191" s="3" t="s">
        <v>16</v>
      </c>
      <c r="B191" s="3" t="s">
        <v>214</v>
      </c>
      <c r="C191" s="3" t="s">
        <v>215</v>
      </c>
      <c r="D191" s="3">
        <v>91.83</v>
      </c>
      <c r="E191" s="3">
        <v>39.65</v>
      </c>
      <c r="F191" s="3">
        <v>10.62</v>
      </c>
      <c r="G191" s="3"/>
      <c r="H191" s="3"/>
      <c r="I191" s="3"/>
      <c r="J191" s="3"/>
      <c r="K191" s="3"/>
    </row>
    <row r="192" spans="1:11" x14ac:dyDescent="0.25">
      <c r="A192" s="3" t="s">
        <v>16</v>
      </c>
      <c r="B192" s="3" t="s">
        <v>200</v>
      </c>
      <c r="C192" s="3" t="s">
        <v>201</v>
      </c>
      <c r="D192" s="3">
        <v>67.739999999999995</v>
      </c>
      <c r="E192" s="3">
        <v>52.86</v>
      </c>
      <c r="F192" s="3">
        <v>13.98</v>
      </c>
      <c r="G192" s="3"/>
      <c r="H192" s="3"/>
      <c r="I192" s="3"/>
      <c r="J192" s="3"/>
      <c r="K192" s="3"/>
    </row>
    <row r="193" spans="1:11" x14ac:dyDescent="0.25">
      <c r="A193" s="3" t="s">
        <v>16</v>
      </c>
      <c r="B193" s="3" t="s">
        <v>731</v>
      </c>
      <c r="C193" s="3" t="s">
        <v>732</v>
      </c>
      <c r="D193" s="3">
        <v>66.900000000000006</v>
      </c>
      <c r="E193" s="3">
        <v>40</v>
      </c>
      <c r="F193" s="3">
        <v>24.3</v>
      </c>
      <c r="G193" s="3"/>
      <c r="H193" s="3"/>
      <c r="I193" s="3"/>
      <c r="J193" s="3"/>
      <c r="K193" s="3"/>
    </row>
    <row r="194" spans="1:11" x14ac:dyDescent="0.25">
      <c r="A194" s="3" t="s">
        <v>16</v>
      </c>
      <c r="B194" s="3" t="s">
        <v>779</v>
      </c>
      <c r="C194" s="3" t="s">
        <v>629</v>
      </c>
      <c r="D194" s="3">
        <v>67.09</v>
      </c>
      <c r="E194" s="3">
        <v>46.43</v>
      </c>
      <c r="F194" s="3">
        <v>17.45</v>
      </c>
      <c r="G194" s="3"/>
      <c r="H194" s="3"/>
      <c r="I194" s="3"/>
      <c r="J194" s="3"/>
      <c r="K194" s="3"/>
    </row>
    <row r="195" spans="1:11" x14ac:dyDescent="0.25">
      <c r="A195" s="3" t="s">
        <v>16</v>
      </c>
      <c r="B195" s="3" t="s">
        <v>108</v>
      </c>
      <c r="C195" s="3" t="s">
        <v>109</v>
      </c>
      <c r="D195" s="3">
        <v>60</v>
      </c>
      <c r="E195" s="3">
        <v>48.92</v>
      </c>
      <c r="F195" s="3">
        <v>17.079999999999998</v>
      </c>
      <c r="G195" s="3"/>
      <c r="H195" s="3"/>
      <c r="I195" s="3"/>
      <c r="J195" s="3"/>
      <c r="K195" s="3"/>
    </row>
    <row r="196" spans="1:11" x14ac:dyDescent="0.25">
      <c r="A196" s="3" t="s">
        <v>16</v>
      </c>
      <c r="B196" s="3" t="s">
        <v>687</v>
      </c>
      <c r="C196" s="3" t="s">
        <v>688</v>
      </c>
      <c r="D196" s="3">
        <v>83.4</v>
      </c>
      <c r="E196" s="3">
        <v>52.05</v>
      </c>
      <c r="F196" s="3">
        <v>19.739999999999998</v>
      </c>
      <c r="G196" s="3"/>
      <c r="H196" s="3"/>
      <c r="I196" s="3"/>
      <c r="J196" s="3"/>
      <c r="K196" s="3"/>
    </row>
    <row r="197" spans="1:11" x14ac:dyDescent="0.25">
      <c r="A197" s="3" t="s">
        <v>16</v>
      </c>
      <c r="B197" s="3" t="s">
        <v>868</v>
      </c>
      <c r="C197" s="3" t="s">
        <v>1072</v>
      </c>
      <c r="D197" s="3">
        <v>79.06</v>
      </c>
      <c r="E197" s="3">
        <v>54.15</v>
      </c>
      <c r="F197" s="3">
        <v>20.71</v>
      </c>
      <c r="G197" s="3"/>
      <c r="H197" s="3"/>
      <c r="I197" s="3"/>
      <c r="J197" s="3"/>
      <c r="K197" s="3"/>
    </row>
    <row r="198" spans="1:11" x14ac:dyDescent="0.25">
      <c r="A198" s="3" t="s">
        <v>16</v>
      </c>
      <c r="B198" s="3" t="s">
        <v>523</v>
      </c>
      <c r="C198" s="3" t="s">
        <v>524</v>
      </c>
      <c r="D198" s="3">
        <v>62.09</v>
      </c>
      <c r="E198" s="3">
        <v>44.17</v>
      </c>
      <c r="F198" s="3">
        <v>17.3</v>
      </c>
      <c r="G198" s="3"/>
      <c r="H198" s="3"/>
      <c r="I198" s="3"/>
      <c r="J198" s="3"/>
      <c r="K198" s="3"/>
    </row>
    <row r="199" spans="1:11" x14ac:dyDescent="0.25">
      <c r="A199" s="3" t="s">
        <v>16</v>
      </c>
      <c r="B199" s="3" t="s">
        <v>1073</v>
      </c>
      <c r="C199" s="3" t="s">
        <v>1074</v>
      </c>
      <c r="D199" s="3">
        <v>66.92</v>
      </c>
      <c r="E199" s="3">
        <v>40.6</v>
      </c>
      <c r="F199" s="3">
        <v>14.18</v>
      </c>
      <c r="G199" s="3"/>
      <c r="H199" s="3"/>
      <c r="I199" s="3"/>
      <c r="J199" s="3"/>
      <c r="K199" s="3"/>
    </row>
    <row r="200" spans="1:11" x14ac:dyDescent="0.25">
      <c r="A200" s="3" t="s">
        <v>16</v>
      </c>
      <c r="B200" s="3" t="s">
        <v>300</v>
      </c>
      <c r="C200" s="3" t="s">
        <v>301</v>
      </c>
      <c r="D200" s="3">
        <v>74.64</v>
      </c>
      <c r="E200" s="3">
        <v>50.03</v>
      </c>
      <c r="F200" s="3">
        <v>14.57</v>
      </c>
      <c r="G200" s="3"/>
      <c r="H200" s="3"/>
      <c r="I200" s="3"/>
      <c r="J200" s="3"/>
      <c r="K200" s="3"/>
    </row>
    <row r="201" spans="1:11" x14ac:dyDescent="0.25">
      <c r="A201" s="3" t="s">
        <v>16</v>
      </c>
      <c r="B201" s="3" t="s">
        <v>769</v>
      </c>
      <c r="C201" s="3" t="s">
        <v>770</v>
      </c>
      <c r="D201" s="3">
        <v>69.86</v>
      </c>
      <c r="E201" s="3">
        <v>52.21</v>
      </c>
      <c r="F201" s="3">
        <v>22.14</v>
      </c>
      <c r="G201" s="3"/>
      <c r="H201" s="3"/>
      <c r="I201" s="3"/>
      <c r="J201" s="3"/>
      <c r="K201" s="3"/>
    </row>
    <row r="202" spans="1:11" x14ac:dyDescent="0.25">
      <c r="A202" s="3" t="s">
        <v>16</v>
      </c>
      <c r="B202" s="3" t="s">
        <v>913</v>
      </c>
      <c r="C202" s="3" t="s">
        <v>1075</v>
      </c>
      <c r="D202" s="3">
        <v>68.31</v>
      </c>
      <c r="E202" s="3">
        <v>45.82</v>
      </c>
      <c r="F202" s="3">
        <v>17.399999999999999</v>
      </c>
      <c r="G202" s="3"/>
      <c r="H202" s="3"/>
      <c r="I202" s="3"/>
      <c r="J202" s="3"/>
      <c r="K202" s="3"/>
    </row>
    <row r="203" spans="1:11" x14ac:dyDescent="0.25">
      <c r="A203" s="3" t="s">
        <v>16</v>
      </c>
      <c r="B203" s="3" t="s">
        <v>751</v>
      </c>
      <c r="C203" s="3" t="s">
        <v>752</v>
      </c>
      <c r="D203" s="3">
        <v>79.34</v>
      </c>
      <c r="E203" s="3">
        <v>42.43</v>
      </c>
      <c r="F203" s="3">
        <v>14.5</v>
      </c>
      <c r="G203" s="3"/>
      <c r="H203" s="3"/>
      <c r="I203" s="3"/>
      <c r="J203" s="3"/>
      <c r="K203" s="3"/>
    </row>
    <row r="204" spans="1:11" x14ac:dyDescent="0.25">
      <c r="A204" s="3" t="s">
        <v>16</v>
      </c>
      <c r="B204" s="3" t="s">
        <v>1076</v>
      </c>
      <c r="C204" s="3" t="s">
        <v>125</v>
      </c>
      <c r="D204" s="3">
        <v>63.35</v>
      </c>
      <c r="E204" s="3">
        <v>50.79</v>
      </c>
      <c r="F204" s="3">
        <v>14.3</v>
      </c>
      <c r="G204" s="3"/>
      <c r="H204" s="3"/>
      <c r="I204" s="3"/>
      <c r="J204" s="3"/>
      <c r="K204" s="3"/>
    </row>
    <row r="205" spans="1:11" x14ac:dyDescent="0.25">
      <c r="A205" s="3" t="s">
        <v>16</v>
      </c>
      <c r="B205" s="3" t="s">
        <v>318</v>
      </c>
      <c r="C205" s="3" t="s">
        <v>319</v>
      </c>
      <c r="D205" s="3">
        <v>78.69</v>
      </c>
      <c r="E205" s="3">
        <v>36.97</v>
      </c>
      <c r="F205" s="3">
        <v>12.58</v>
      </c>
      <c r="G205" s="3"/>
      <c r="H205" s="3"/>
      <c r="I205" s="3"/>
      <c r="J205" s="3"/>
      <c r="K205" s="3"/>
    </row>
    <row r="206" spans="1:11" x14ac:dyDescent="0.25">
      <c r="A206" s="3" t="s">
        <v>16</v>
      </c>
      <c r="B206" s="3" t="s">
        <v>950</v>
      </c>
      <c r="C206" s="3" t="s">
        <v>1077</v>
      </c>
      <c r="D206" s="3">
        <v>73.47</v>
      </c>
      <c r="E206" s="3">
        <v>48.5</v>
      </c>
      <c r="F206" s="3">
        <v>18.46</v>
      </c>
      <c r="G206" s="3"/>
      <c r="H206" s="3"/>
      <c r="I206" s="3"/>
      <c r="J206" s="3"/>
      <c r="K206" s="3"/>
    </row>
    <row r="207" spans="1:11" x14ac:dyDescent="0.25">
      <c r="A207" s="3" t="s">
        <v>16</v>
      </c>
      <c r="B207" s="3" t="s">
        <v>919</v>
      </c>
      <c r="C207" s="3" t="s">
        <v>1078</v>
      </c>
      <c r="D207" s="3">
        <v>74.66</v>
      </c>
      <c r="E207" s="3">
        <v>42.18</v>
      </c>
      <c r="F207" s="3">
        <v>10.29</v>
      </c>
      <c r="G207" s="3"/>
      <c r="H207" s="3"/>
      <c r="I207" s="3"/>
      <c r="J207" s="3"/>
      <c r="K207" s="3"/>
    </row>
    <row r="208" spans="1:11" x14ac:dyDescent="0.25">
      <c r="A208" s="3" t="s">
        <v>16</v>
      </c>
      <c r="B208" s="3" t="s">
        <v>852</v>
      </c>
      <c r="C208" s="3" t="s">
        <v>853</v>
      </c>
      <c r="D208" s="3">
        <v>68.58</v>
      </c>
      <c r="E208" s="3">
        <v>43.81</v>
      </c>
      <c r="F208" s="3">
        <v>17.510000000000002</v>
      </c>
      <c r="G208" s="3"/>
      <c r="H208" s="3"/>
      <c r="I208" s="3"/>
      <c r="J208" s="3"/>
      <c r="K208" s="3"/>
    </row>
    <row r="209" spans="1:11" x14ac:dyDescent="0.25">
      <c r="A209" s="3" t="s">
        <v>16</v>
      </c>
      <c r="B209" s="3" t="s">
        <v>758</v>
      </c>
      <c r="C209" s="3" t="s">
        <v>759</v>
      </c>
      <c r="D209" s="3">
        <v>75.58</v>
      </c>
      <c r="E209" s="3">
        <v>56.43</v>
      </c>
      <c r="F209" s="3">
        <v>13.27</v>
      </c>
      <c r="G209" s="3"/>
      <c r="H209" s="3"/>
      <c r="I209" s="3"/>
      <c r="J209" s="3"/>
      <c r="K209" s="3"/>
    </row>
    <row r="210" spans="1:11" x14ac:dyDescent="0.25">
      <c r="A210" s="3" t="s">
        <v>16</v>
      </c>
      <c r="B210" s="3" t="s">
        <v>39</v>
      </c>
      <c r="C210" s="3" t="s">
        <v>40</v>
      </c>
      <c r="D210" s="3">
        <v>76.48</v>
      </c>
      <c r="E210" s="3">
        <v>44.98</v>
      </c>
      <c r="F210" s="3">
        <v>20.399999999999999</v>
      </c>
      <c r="G210" s="3"/>
      <c r="H210" s="3"/>
      <c r="I210" s="3"/>
      <c r="J210" s="3"/>
      <c r="K210" s="3"/>
    </row>
    <row r="211" spans="1:11" x14ac:dyDescent="0.25">
      <c r="A211" s="3" t="s">
        <v>16</v>
      </c>
      <c r="B211" s="3" t="s">
        <v>114</v>
      </c>
      <c r="C211" s="3" t="s">
        <v>115</v>
      </c>
      <c r="D211" s="3">
        <v>62.04</v>
      </c>
      <c r="E211" s="3">
        <v>54.99</v>
      </c>
      <c r="F211" s="3">
        <v>18.239999999999998</v>
      </c>
      <c r="G211" s="3"/>
      <c r="H211" s="3"/>
      <c r="I211" s="3"/>
      <c r="J211" s="3"/>
      <c r="K211" s="3"/>
    </row>
    <row r="212" spans="1:11" x14ac:dyDescent="0.25">
      <c r="A212" s="3" t="s">
        <v>16</v>
      </c>
      <c r="B212" s="3" t="s">
        <v>743</v>
      </c>
      <c r="C212" s="3" t="s">
        <v>744</v>
      </c>
      <c r="D212" s="3">
        <v>63.98</v>
      </c>
      <c r="E212" s="3">
        <v>53.1</v>
      </c>
      <c r="F212" s="3">
        <v>15.95</v>
      </c>
      <c r="G212" s="3"/>
      <c r="H212" s="3"/>
      <c r="I212" s="3"/>
      <c r="J212" s="3"/>
      <c r="K212" s="3"/>
    </row>
    <row r="213" spans="1:11" x14ac:dyDescent="0.25">
      <c r="A213" s="3" t="s">
        <v>16</v>
      </c>
      <c r="B213" s="3" t="s">
        <v>846</v>
      </c>
      <c r="C213" s="3" t="s">
        <v>847</v>
      </c>
      <c r="D213" s="3">
        <v>77.05</v>
      </c>
      <c r="E213" s="3">
        <v>49.11</v>
      </c>
      <c r="F213" s="3">
        <v>18</v>
      </c>
      <c r="G213" s="3"/>
      <c r="H213" s="3"/>
      <c r="I213" s="3"/>
      <c r="J213" s="3"/>
      <c r="K213" s="3"/>
    </row>
    <row r="214" spans="1:11" x14ac:dyDescent="0.25">
      <c r="A214" s="3" t="s">
        <v>16</v>
      </c>
      <c r="B214" s="3" t="s">
        <v>875</v>
      </c>
      <c r="C214" s="3" t="s">
        <v>1079</v>
      </c>
      <c r="D214" s="3">
        <v>71.08</v>
      </c>
      <c r="E214" s="3">
        <v>40.159999999999997</v>
      </c>
      <c r="F214" s="3">
        <v>13.37</v>
      </c>
      <c r="G214" s="3"/>
      <c r="H214" s="3"/>
      <c r="I214" s="3"/>
      <c r="J214" s="3"/>
      <c r="K214" s="3"/>
    </row>
    <row r="215" spans="1:11" x14ac:dyDescent="0.25">
      <c r="A215" s="3" t="s">
        <v>16</v>
      </c>
      <c r="B215" s="3" t="s">
        <v>767</v>
      </c>
      <c r="C215" s="3" t="s">
        <v>768</v>
      </c>
      <c r="D215" s="3">
        <v>64.900000000000006</v>
      </c>
      <c r="E215" s="3">
        <v>42.12</v>
      </c>
      <c r="F215" s="3">
        <v>16.670000000000002</v>
      </c>
      <c r="G215" s="3"/>
      <c r="H215" s="3"/>
      <c r="I215" s="3"/>
      <c r="J215" s="3"/>
      <c r="K215" s="3"/>
    </row>
    <row r="216" spans="1:11" x14ac:dyDescent="0.25">
      <c r="A216" s="3" t="s">
        <v>16</v>
      </c>
      <c r="B216" s="3" t="s">
        <v>850</v>
      </c>
      <c r="C216" s="3" t="s">
        <v>851</v>
      </c>
      <c r="D216" s="3">
        <v>64.47</v>
      </c>
      <c r="E216" s="3">
        <v>43.44</v>
      </c>
      <c r="F216" s="3">
        <v>15.89</v>
      </c>
      <c r="G216" s="3"/>
      <c r="H216" s="3"/>
      <c r="I216" s="3"/>
      <c r="J216" s="3"/>
      <c r="K216" s="3"/>
    </row>
    <row r="217" spans="1:11" x14ac:dyDescent="0.25">
      <c r="A217" s="3" t="s">
        <v>16</v>
      </c>
      <c r="B217" s="3" t="s">
        <v>363</v>
      </c>
      <c r="C217" s="3" t="s">
        <v>364</v>
      </c>
      <c r="D217" s="5">
        <v>57.97</v>
      </c>
      <c r="E217" s="3">
        <v>40.11</v>
      </c>
      <c r="F217" s="3">
        <v>14.36</v>
      </c>
      <c r="G217" s="3"/>
      <c r="H217" s="3"/>
      <c r="I217" s="3"/>
      <c r="J217" s="3"/>
      <c r="K217" s="3"/>
    </row>
    <row r="218" spans="1:11" x14ac:dyDescent="0.25">
      <c r="A218" s="3" t="s">
        <v>16</v>
      </c>
      <c r="B218" s="3" t="s">
        <v>951</v>
      </c>
      <c r="C218" s="3" t="s">
        <v>1080</v>
      </c>
      <c r="D218" s="3">
        <v>60.3</v>
      </c>
      <c r="E218" s="3">
        <v>41.76</v>
      </c>
      <c r="F218" s="3">
        <v>14.73</v>
      </c>
      <c r="G218" s="3"/>
      <c r="H218" s="3"/>
      <c r="I218" s="3"/>
      <c r="J218" s="3"/>
      <c r="K218" s="3"/>
    </row>
    <row r="219" spans="1:11" x14ac:dyDescent="0.25">
      <c r="A219" s="3" t="s">
        <v>16</v>
      </c>
      <c r="B219" s="3" t="s">
        <v>912</v>
      </c>
      <c r="C219" s="3" t="s">
        <v>1081</v>
      </c>
      <c r="D219" s="3">
        <v>88</v>
      </c>
      <c r="E219" s="3">
        <v>38.5</v>
      </c>
      <c r="F219" s="3">
        <v>9.5</v>
      </c>
      <c r="G219" s="3"/>
      <c r="H219" s="3"/>
      <c r="I219" s="3"/>
      <c r="J219" s="3"/>
      <c r="K219" s="3"/>
    </row>
    <row r="220" spans="1:11" x14ac:dyDescent="0.25">
      <c r="A220" s="3" t="s">
        <v>16</v>
      </c>
      <c r="B220" s="3" t="s">
        <v>746</v>
      </c>
      <c r="C220" s="3" t="s">
        <v>747</v>
      </c>
      <c r="D220" s="3">
        <v>66.510000000000005</v>
      </c>
      <c r="E220" s="3">
        <v>49.28</v>
      </c>
      <c r="F220" s="3">
        <v>13.18</v>
      </c>
      <c r="G220" s="3"/>
      <c r="H220" s="3"/>
      <c r="I220" s="3"/>
      <c r="J220" s="3"/>
      <c r="K220" s="3"/>
    </row>
    <row r="221" spans="1:11" x14ac:dyDescent="0.25">
      <c r="A221" s="3" t="s">
        <v>16</v>
      </c>
      <c r="B221" s="3" t="s">
        <v>948</v>
      </c>
      <c r="C221" s="3" t="s">
        <v>1082</v>
      </c>
      <c r="D221" s="3">
        <v>62.44</v>
      </c>
      <c r="E221" s="3">
        <v>47.04</v>
      </c>
      <c r="F221" s="3">
        <v>16.27</v>
      </c>
      <c r="G221" s="3"/>
      <c r="H221" s="3"/>
      <c r="I221" s="3"/>
      <c r="J221" s="3"/>
      <c r="K221" s="3"/>
    </row>
    <row r="222" spans="1:11" x14ac:dyDescent="0.25">
      <c r="A222" s="3" t="s">
        <v>16</v>
      </c>
      <c r="B222" s="3" t="s">
        <v>207</v>
      </c>
      <c r="C222" s="3" t="s">
        <v>208</v>
      </c>
      <c r="D222" s="3">
        <v>78.400000000000006</v>
      </c>
      <c r="E222" s="3">
        <v>49.51</v>
      </c>
      <c r="F222" s="3">
        <v>16.87</v>
      </c>
      <c r="G222" s="3"/>
      <c r="H222" s="3"/>
      <c r="I222" s="3"/>
      <c r="J222" s="3"/>
      <c r="K222" s="3"/>
    </row>
    <row r="223" spans="1:11" x14ac:dyDescent="0.25">
      <c r="A223" s="3" t="s">
        <v>16</v>
      </c>
      <c r="B223" s="3" t="s">
        <v>870</v>
      </c>
      <c r="C223" s="3" t="s">
        <v>1083</v>
      </c>
      <c r="D223" s="3">
        <v>63.2</v>
      </c>
      <c r="E223" s="3">
        <v>46.65</v>
      </c>
      <c r="F223" s="3">
        <v>21.31</v>
      </c>
      <c r="G223" s="3"/>
      <c r="H223" s="3"/>
      <c r="I223" s="3"/>
      <c r="J223" s="3"/>
      <c r="K223" s="3"/>
    </row>
    <row r="224" spans="1:11" x14ac:dyDescent="0.25">
      <c r="A224" s="3" t="s">
        <v>16</v>
      </c>
      <c r="B224" s="3" t="s">
        <v>880</v>
      </c>
      <c r="C224" s="3" t="s">
        <v>1084</v>
      </c>
      <c r="D224" s="3">
        <v>58.71</v>
      </c>
      <c r="E224" s="3">
        <v>46.6</v>
      </c>
      <c r="F224" s="3">
        <v>15.85</v>
      </c>
      <c r="G224" s="3"/>
      <c r="H224" s="3"/>
      <c r="I224" s="3"/>
      <c r="J224" s="3"/>
      <c r="K224" s="3"/>
    </row>
    <row r="225" spans="1:11" x14ac:dyDescent="0.25">
      <c r="A225" s="3" t="s">
        <v>16</v>
      </c>
      <c r="B225" s="3" t="s">
        <v>915</v>
      </c>
      <c r="C225" s="3" t="s">
        <v>1085</v>
      </c>
      <c r="D225" s="3">
        <v>65.709999999999994</v>
      </c>
      <c r="E225" s="3">
        <v>60.48</v>
      </c>
      <c r="F225" s="3">
        <v>17.420000000000002</v>
      </c>
      <c r="G225" s="3"/>
      <c r="H225" s="3"/>
      <c r="I225" s="3"/>
      <c r="J225" s="3"/>
      <c r="K225" s="3"/>
    </row>
    <row r="226" spans="1:11" x14ac:dyDescent="0.25">
      <c r="A226" s="3" t="s">
        <v>16</v>
      </c>
      <c r="B226" s="3" t="s">
        <v>624</v>
      </c>
      <c r="C226" s="3" t="s">
        <v>625</v>
      </c>
      <c r="D226" s="3">
        <v>70.430000000000007</v>
      </c>
      <c r="E226" s="3">
        <v>45.56</v>
      </c>
      <c r="F226" s="3">
        <v>13.72</v>
      </c>
      <c r="G226" s="3"/>
      <c r="H226" s="3"/>
      <c r="I226" s="3"/>
      <c r="J226" s="3"/>
      <c r="K226" s="3"/>
    </row>
    <row r="227" spans="1:11" x14ac:dyDescent="0.25">
      <c r="A227" s="3" t="s">
        <v>16</v>
      </c>
      <c r="B227" s="3" t="s">
        <v>914</v>
      </c>
      <c r="C227" s="3" t="s">
        <v>1086</v>
      </c>
      <c r="D227" s="3">
        <v>71.099999999999994</v>
      </c>
      <c r="E227" s="3">
        <v>48.73</v>
      </c>
      <c r="F227" s="3">
        <v>17.41</v>
      </c>
      <c r="G227" s="3"/>
      <c r="H227" s="3"/>
      <c r="I227" s="3"/>
      <c r="J227" s="3"/>
      <c r="K227" s="3"/>
    </row>
    <row r="228" spans="1:11" x14ac:dyDescent="0.25">
      <c r="A228" s="3" t="s">
        <v>16</v>
      </c>
      <c r="B228" s="3" t="s">
        <v>685</v>
      </c>
      <c r="C228" s="3" t="s">
        <v>686</v>
      </c>
      <c r="D228" s="3">
        <v>74.739999999999995</v>
      </c>
      <c r="E228" s="3">
        <v>45.17</v>
      </c>
      <c r="F228" s="3">
        <v>13.85</v>
      </c>
      <c r="G228" s="3"/>
      <c r="H228" s="3"/>
      <c r="I228" s="3"/>
      <c r="J228" s="3"/>
      <c r="K228" s="3"/>
    </row>
    <row r="229" spans="1:11" x14ac:dyDescent="0.25">
      <c r="A229" s="3" t="s">
        <v>16</v>
      </c>
      <c r="B229" s="3" t="s">
        <v>952</v>
      </c>
      <c r="C229" s="3" t="s">
        <v>1087</v>
      </c>
      <c r="D229" s="3">
        <v>59.89</v>
      </c>
      <c r="E229" s="3">
        <v>48.44</v>
      </c>
      <c r="F229" s="3">
        <v>21.33</v>
      </c>
      <c r="G229" s="3"/>
      <c r="H229" s="3"/>
      <c r="I229" s="3"/>
      <c r="J229" s="3"/>
      <c r="K229" s="3"/>
    </row>
    <row r="230" spans="1:11" x14ac:dyDescent="0.25">
      <c r="A230" s="3" t="s">
        <v>16</v>
      </c>
      <c r="B230" s="3" t="s">
        <v>733</v>
      </c>
      <c r="C230" s="3" t="s">
        <v>734</v>
      </c>
      <c r="D230" s="3">
        <v>66.930000000000007</v>
      </c>
      <c r="E230" s="3">
        <v>47.62</v>
      </c>
      <c r="F230" s="3">
        <v>20.37</v>
      </c>
      <c r="G230" s="3"/>
      <c r="H230" s="3"/>
      <c r="I230" s="3"/>
      <c r="J230" s="3"/>
      <c r="K230" s="3"/>
    </row>
    <row r="231" spans="1:11" x14ac:dyDescent="0.25">
      <c r="A231" s="3" t="s">
        <v>16</v>
      </c>
      <c r="B231" s="3" t="s">
        <v>879</v>
      </c>
      <c r="C231" s="3" t="s">
        <v>1088</v>
      </c>
      <c r="D231" s="3">
        <v>72.790000000000006</v>
      </c>
      <c r="E231" s="3">
        <v>55.14</v>
      </c>
      <c r="F231" s="3">
        <v>18.93</v>
      </c>
      <c r="G231" s="3"/>
      <c r="H231" s="3"/>
      <c r="I231" s="3"/>
      <c r="J231" s="3"/>
      <c r="K231" s="3"/>
    </row>
    <row r="232" spans="1:11" x14ac:dyDescent="0.25">
      <c r="A232" s="3" t="s">
        <v>16</v>
      </c>
      <c r="B232" s="3" t="s">
        <v>916</v>
      </c>
      <c r="C232" s="3" t="s">
        <v>1089</v>
      </c>
      <c r="D232" s="3">
        <v>86</v>
      </c>
      <c r="E232" s="3">
        <v>45.53</v>
      </c>
      <c r="F232" s="3">
        <v>14.65</v>
      </c>
      <c r="G232" s="3"/>
      <c r="H232" s="3"/>
      <c r="I232" s="3"/>
      <c r="J232" s="3"/>
      <c r="K232" s="3"/>
    </row>
    <row r="233" spans="1:11" x14ac:dyDescent="0.25">
      <c r="A233" s="3" t="s">
        <v>16</v>
      </c>
      <c r="B233" s="3" t="s">
        <v>517</v>
      </c>
      <c r="C233" s="3" t="s">
        <v>518</v>
      </c>
      <c r="D233" s="3">
        <v>70.03</v>
      </c>
      <c r="E233" s="3">
        <v>45.38</v>
      </c>
      <c r="F233" s="3">
        <v>15.47</v>
      </c>
      <c r="G233" s="3"/>
      <c r="H233" s="3"/>
      <c r="I233" s="3"/>
      <c r="J233" s="3"/>
      <c r="K233" s="3"/>
    </row>
    <row r="234" spans="1:11" x14ac:dyDescent="0.25">
      <c r="A234" s="3" t="s">
        <v>16</v>
      </c>
      <c r="B234" s="3" t="s">
        <v>923</v>
      </c>
      <c r="C234" s="3" t="s">
        <v>1090</v>
      </c>
      <c r="D234" s="3">
        <v>67.14</v>
      </c>
      <c r="E234" s="3">
        <v>50.4</v>
      </c>
      <c r="F234" s="3">
        <v>21.52</v>
      </c>
      <c r="G234" s="3"/>
      <c r="H234" s="3"/>
      <c r="I234" s="3"/>
      <c r="J234" s="3"/>
      <c r="K234" s="3"/>
    </row>
    <row r="235" spans="1:11" x14ac:dyDescent="0.25">
      <c r="A235" s="3" t="s">
        <v>16</v>
      </c>
      <c r="B235" s="3" t="s">
        <v>120</v>
      </c>
      <c r="C235" s="3" t="s">
        <v>121</v>
      </c>
      <c r="D235" s="3">
        <v>65.94</v>
      </c>
      <c r="E235" s="3">
        <v>54.06</v>
      </c>
      <c r="F235" s="3">
        <v>21.23</v>
      </c>
      <c r="G235" s="3"/>
      <c r="H235" s="3"/>
      <c r="I235" s="3"/>
      <c r="J235" s="3"/>
      <c r="K235" s="3"/>
    </row>
    <row r="236" spans="1:11" x14ac:dyDescent="0.25">
      <c r="A236" s="3" t="s">
        <v>16</v>
      </c>
      <c r="B236" s="3" t="s">
        <v>677</v>
      </c>
      <c r="C236" s="3" t="s">
        <v>678</v>
      </c>
      <c r="D236" s="3">
        <v>73.81</v>
      </c>
      <c r="E236" s="3">
        <v>48.78</v>
      </c>
      <c r="F236" s="3">
        <v>18.920000000000002</v>
      </c>
      <c r="G236" s="3"/>
      <c r="H236" s="3"/>
      <c r="I236" s="3"/>
      <c r="J236" s="3"/>
      <c r="K236" s="3"/>
    </row>
    <row r="237" spans="1:11" x14ac:dyDescent="0.25">
      <c r="A237" s="3" t="s">
        <v>16</v>
      </c>
      <c r="B237" t="s">
        <v>17</v>
      </c>
      <c r="C237" s="3" t="s">
        <v>18</v>
      </c>
      <c r="D237">
        <v>73</v>
      </c>
      <c r="E237">
        <v>37.32</v>
      </c>
      <c r="F237">
        <v>12.43</v>
      </c>
    </row>
    <row r="238" spans="1:11" x14ac:dyDescent="0.25">
      <c r="A238" s="17" t="s">
        <v>16</v>
      </c>
      <c r="B238" s="18" t="s">
        <v>1008</v>
      </c>
      <c r="C238" s="17" t="s">
        <v>1091</v>
      </c>
      <c r="D238" s="18">
        <v>75.06</v>
      </c>
      <c r="E238" s="18">
        <v>49.54</v>
      </c>
      <c r="F238" s="18">
        <v>20.51</v>
      </c>
      <c r="G238" s="18" t="s">
        <v>1092</v>
      </c>
    </row>
    <row r="239" spans="1:11" x14ac:dyDescent="0.25">
      <c r="A239" s="3" t="s">
        <v>16</v>
      </c>
      <c r="B239" t="s">
        <v>735</v>
      </c>
      <c r="C239" s="3" t="s">
        <v>736</v>
      </c>
      <c r="D239">
        <v>69.760000000000005</v>
      </c>
      <c r="E239">
        <v>50.61</v>
      </c>
      <c r="F239">
        <v>13.99</v>
      </c>
    </row>
    <row r="240" spans="1:11" x14ac:dyDescent="0.25">
      <c r="A240" s="3" t="s">
        <v>16</v>
      </c>
      <c r="B240" t="s">
        <v>874</v>
      </c>
      <c r="C240" s="3" t="s">
        <v>1093</v>
      </c>
      <c r="D240">
        <v>65.209999999999994</v>
      </c>
      <c r="E240">
        <v>56.84</v>
      </c>
      <c r="F240">
        <v>16.27</v>
      </c>
    </row>
    <row r="241" spans="1:6" x14ac:dyDescent="0.25">
      <c r="A241" s="3" t="s">
        <v>16</v>
      </c>
      <c r="B241" t="s">
        <v>876</v>
      </c>
      <c r="C241" s="3" t="s">
        <v>1094</v>
      </c>
      <c r="D241">
        <v>68.81</v>
      </c>
      <c r="E241">
        <v>48.12</v>
      </c>
      <c r="F241">
        <v>17.559999999999999</v>
      </c>
    </row>
    <row r="242" spans="1:6" x14ac:dyDescent="0.25">
      <c r="A242" s="3" t="s">
        <v>16</v>
      </c>
      <c r="B242" t="s">
        <v>953</v>
      </c>
      <c r="C242" s="3" t="s">
        <v>1095</v>
      </c>
      <c r="D242">
        <v>62</v>
      </c>
      <c r="E242">
        <v>38.14</v>
      </c>
      <c r="F242">
        <v>16.510000000000002</v>
      </c>
    </row>
    <row r="243" spans="1:6" x14ac:dyDescent="0.25">
      <c r="A243" s="3" t="s">
        <v>16</v>
      </c>
      <c r="B243" t="s">
        <v>110</v>
      </c>
      <c r="C243" s="3" t="s">
        <v>111</v>
      </c>
      <c r="D243">
        <v>73.260000000000005</v>
      </c>
      <c r="E243">
        <v>50.23</v>
      </c>
      <c r="F243">
        <v>15.63</v>
      </c>
    </row>
    <row r="244" spans="1:6" x14ac:dyDescent="0.25">
      <c r="A244" s="3" t="s">
        <v>16</v>
      </c>
      <c r="B244" t="s">
        <v>955</v>
      </c>
      <c r="C244" s="3" t="s">
        <v>1096</v>
      </c>
      <c r="D244">
        <v>63.78</v>
      </c>
      <c r="E244">
        <v>49.78</v>
      </c>
      <c r="F244">
        <v>18.7</v>
      </c>
    </row>
    <row r="245" spans="1:6" x14ac:dyDescent="0.25">
      <c r="A245" s="3" t="s">
        <v>16</v>
      </c>
      <c r="B245" t="s">
        <v>864</v>
      </c>
      <c r="C245" s="3" t="s">
        <v>1097</v>
      </c>
      <c r="D245">
        <v>69.260000000000005</v>
      </c>
      <c r="E245">
        <v>49.41</v>
      </c>
      <c r="F245">
        <v>21.33</v>
      </c>
    </row>
    <row r="246" spans="1:6" x14ac:dyDescent="0.25">
      <c r="A246" t="s">
        <v>72</v>
      </c>
      <c r="B246" t="s">
        <v>955</v>
      </c>
      <c r="C246" s="3" t="s">
        <v>1098</v>
      </c>
      <c r="D246">
        <v>76.66</v>
      </c>
      <c r="E246">
        <v>80.23</v>
      </c>
      <c r="F246">
        <v>18.309999999999999</v>
      </c>
    </row>
    <row r="247" spans="1:6" x14ac:dyDescent="0.25">
      <c r="A247" t="s">
        <v>72</v>
      </c>
      <c r="B247" t="s">
        <v>864</v>
      </c>
      <c r="C247" s="3" t="s">
        <v>1099</v>
      </c>
      <c r="D247">
        <v>74.42</v>
      </c>
      <c r="E247">
        <v>75.650000000000006</v>
      </c>
      <c r="F247">
        <v>22.77</v>
      </c>
    </row>
    <row r="248" spans="1:6" x14ac:dyDescent="0.25">
      <c r="A248" t="s">
        <v>72</v>
      </c>
      <c r="B248" t="s">
        <v>565</v>
      </c>
      <c r="C248" s="3" t="s">
        <v>1100</v>
      </c>
      <c r="D248">
        <v>72</v>
      </c>
      <c r="E248">
        <v>75.5</v>
      </c>
      <c r="F248">
        <v>21</v>
      </c>
    </row>
    <row r="249" spans="1:6" x14ac:dyDescent="0.25">
      <c r="A249" t="s">
        <v>72</v>
      </c>
      <c r="B249" t="s">
        <v>711</v>
      </c>
      <c r="C249" s="3" t="s">
        <v>1101</v>
      </c>
      <c r="D249">
        <v>73.5</v>
      </c>
      <c r="E249">
        <v>78</v>
      </c>
      <c r="F249">
        <v>23</v>
      </c>
    </row>
    <row r="250" spans="1:6" x14ac:dyDescent="0.25">
      <c r="A250" t="s">
        <v>72</v>
      </c>
      <c r="B250" t="s">
        <v>288</v>
      </c>
      <c r="C250" s="3" t="s">
        <v>289</v>
      </c>
      <c r="D250">
        <v>68.5</v>
      </c>
      <c r="E250">
        <v>69.5</v>
      </c>
      <c r="F250">
        <v>21.5</v>
      </c>
    </row>
    <row r="251" spans="1:6" x14ac:dyDescent="0.25">
      <c r="A251" t="s">
        <v>72</v>
      </c>
      <c r="B251" t="s">
        <v>691</v>
      </c>
      <c r="C251" s="3" t="s">
        <v>1102</v>
      </c>
      <c r="D251">
        <v>70</v>
      </c>
      <c r="E251">
        <v>75</v>
      </c>
      <c r="F251">
        <v>17</v>
      </c>
    </row>
    <row r="252" spans="1:6" x14ac:dyDescent="0.25">
      <c r="A252" t="s">
        <v>72</v>
      </c>
      <c r="B252" t="s">
        <v>1103</v>
      </c>
      <c r="C252" s="3" t="s">
        <v>1104</v>
      </c>
      <c r="D252">
        <v>76</v>
      </c>
      <c r="E252">
        <v>75.5</v>
      </c>
      <c r="F252">
        <v>18</v>
      </c>
    </row>
    <row r="253" spans="1:6" x14ac:dyDescent="0.25">
      <c r="A253" t="s">
        <v>72</v>
      </c>
      <c r="B253" t="s">
        <v>938</v>
      </c>
      <c r="C253" s="3" t="s">
        <v>1105</v>
      </c>
      <c r="D253">
        <v>73</v>
      </c>
      <c r="E253">
        <v>77</v>
      </c>
      <c r="F253">
        <v>20</v>
      </c>
    </row>
    <row r="254" spans="1:6" x14ac:dyDescent="0.25">
      <c r="A254" t="s">
        <v>72</v>
      </c>
      <c r="B254" t="s">
        <v>1106</v>
      </c>
      <c r="C254" s="3" t="s">
        <v>1107</v>
      </c>
      <c r="D254">
        <v>75</v>
      </c>
      <c r="E254">
        <v>80</v>
      </c>
      <c r="F254">
        <v>20</v>
      </c>
    </row>
    <row r="255" spans="1:6" x14ac:dyDescent="0.25">
      <c r="A255" t="s">
        <v>72</v>
      </c>
      <c r="B255" t="s">
        <v>1108</v>
      </c>
      <c r="C255" s="3" t="s">
        <v>1109</v>
      </c>
      <c r="D255">
        <v>78</v>
      </c>
      <c r="E255">
        <v>78</v>
      </c>
      <c r="F255">
        <v>20</v>
      </c>
    </row>
    <row r="256" spans="1:6" x14ac:dyDescent="0.25">
      <c r="A256" t="s">
        <v>72</v>
      </c>
      <c r="B256" t="s">
        <v>991</v>
      </c>
      <c r="C256" s="3" t="s">
        <v>1110</v>
      </c>
      <c r="D256">
        <v>72.5</v>
      </c>
      <c r="E256">
        <v>76</v>
      </c>
      <c r="F256">
        <v>17</v>
      </c>
    </row>
    <row r="257" spans="1:7" x14ac:dyDescent="0.25">
      <c r="A257" t="s">
        <v>72</v>
      </c>
      <c r="B257" t="s">
        <v>404</v>
      </c>
      <c r="C257" s="3" t="s">
        <v>405</v>
      </c>
      <c r="D257">
        <v>70.5</v>
      </c>
      <c r="E257">
        <v>68.5</v>
      </c>
      <c r="F257">
        <v>16</v>
      </c>
    </row>
    <row r="258" spans="1:7" x14ac:dyDescent="0.25">
      <c r="A258" t="s">
        <v>72</v>
      </c>
      <c r="B258" t="s">
        <v>904</v>
      </c>
      <c r="C258" s="3" t="s">
        <v>1111</v>
      </c>
      <c r="D258">
        <v>71</v>
      </c>
      <c r="E258">
        <v>74</v>
      </c>
      <c r="F258">
        <v>17.5</v>
      </c>
    </row>
    <row r="259" spans="1:7" x14ac:dyDescent="0.25">
      <c r="A259" t="s">
        <v>72</v>
      </c>
      <c r="B259" t="s">
        <v>233</v>
      </c>
      <c r="C259" s="3" t="s">
        <v>234</v>
      </c>
      <c r="D259">
        <v>72</v>
      </c>
      <c r="E259">
        <v>71</v>
      </c>
      <c r="F259">
        <v>18</v>
      </c>
    </row>
    <row r="260" spans="1:7" x14ac:dyDescent="0.25">
      <c r="A260" t="s">
        <v>72</v>
      </c>
      <c r="B260" t="s">
        <v>793</v>
      </c>
      <c r="C260" s="3" t="s">
        <v>1112</v>
      </c>
      <c r="D260">
        <v>67</v>
      </c>
      <c r="E260">
        <v>70</v>
      </c>
      <c r="F260">
        <v>19</v>
      </c>
    </row>
    <row r="261" spans="1:7" x14ac:dyDescent="0.25">
      <c r="A261" s="18" t="s">
        <v>72</v>
      </c>
      <c r="B261" s="18" t="s">
        <v>1113</v>
      </c>
      <c r="C261" s="17" t="s">
        <v>1114</v>
      </c>
      <c r="D261" s="18">
        <v>69</v>
      </c>
      <c r="E261" s="18">
        <v>74.5</v>
      </c>
      <c r="F261" s="18">
        <v>19</v>
      </c>
      <c r="G261" s="18" t="s">
        <v>1000</v>
      </c>
    </row>
    <row r="262" spans="1:7" x14ac:dyDescent="0.25">
      <c r="A262" t="s">
        <v>72</v>
      </c>
      <c r="B262" t="s">
        <v>1115</v>
      </c>
      <c r="C262" s="3" t="s">
        <v>1116</v>
      </c>
      <c r="D262">
        <v>68</v>
      </c>
      <c r="E262">
        <v>69</v>
      </c>
      <c r="F262">
        <v>19</v>
      </c>
    </row>
    <row r="263" spans="1:7" x14ac:dyDescent="0.25">
      <c r="A263" t="s">
        <v>72</v>
      </c>
      <c r="B263" t="s">
        <v>828</v>
      </c>
      <c r="C263" s="3" t="s">
        <v>1117</v>
      </c>
      <c r="D263">
        <v>67</v>
      </c>
      <c r="E263">
        <v>71</v>
      </c>
      <c r="F263">
        <v>17</v>
      </c>
    </row>
    <row r="264" spans="1:7" x14ac:dyDescent="0.25">
      <c r="A264" t="s">
        <v>72</v>
      </c>
      <c r="B264" t="s">
        <v>560</v>
      </c>
      <c r="C264" s="3" t="s">
        <v>1118</v>
      </c>
      <c r="D264">
        <v>71</v>
      </c>
      <c r="E264">
        <v>76</v>
      </c>
      <c r="F264">
        <v>20</v>
      </c>
    </row>
    <row r="265" spans="1:7" x14ac:dyDescent="0.25">
      <c r="A265" t="s">
        <v>72</v>
      </c>
      <c r="B265" t="s">
        <v>710</v>
      </c>
      <c r="C265" s="3" t="s">
        <v>1119</v>
      </c>
      <c r="D265">
        <v>80</v>
      </c>
      <c r="E265">
        <v>81</v>
      </c>
      <c r="F265">
        <v>20</v>
      </c>
    </row>
    <row r="266" spans="1:7" x14ac:dyDescent="0.25">
      <c r="A266" t="s">
        <v>72</v>
      </c>
      <c r="B266" t="s">
        <v>324</v>
      </c>
      <c r="C266" s="3" t="s">
        <v>325</v>
      </c>
      <c r="D266">
        <v>68</v>
      </c>
      <c r="E266">
        <v>70</v>
      </c>
      <c r="F266">
        <v>18</v>
      </c>
    </row>
    <row r="267" spans="1:7" x14ac:dyDescent="0.25">
      <c r="A267" t="s">
        <v>72</v>
      </c>
      <c r="B267" t="s">
        <v>1120</v>
      </c>
      <c r="C267" s="3" t="s">
        <v>1121</v>
      </c>
      <c r="D267">
        <v>58.5</v>
      </c>
      <c r="E267">
        <v>74.5</v>
      </c>
      <c r="F267">
        <v>20</v>
      </c>
    </row>
    <row r="268" spans="1:7" x14ac:dyDescent="0.25">
      <c r="A268" t="s">
        <v>72</v>
      </c>
      <c r="B268" t="s">
        <v>859</v>
      </c>
      <c r="C268" s="3" t="s">
        <v>1122</v>
      </c>
      <c r="D268">
        <v>74</v>
      </c>
      <c r="E268">
        <v>78</v>
      </c>
      <c r="F268">
        <v>20</v>
      </c>
    </row>
    <row r="269" spans="1:7" x14ac:dyDescent="0.25">
      <c r="A269" t="s">
        <v>72</v>
      </c>
      <c r="B269" t="s">
        <v>962</v>
      </c>
      <c r="C269" s="3" t="s">
        <v>1123</v>
      </c>
      <c r="D269">
        <v>71.5</v>
      </c>
      <c r="E269">
        <v>72.5</v>
      </c>
      <c r="F269">
        <v>18</v>
      </c>
    </row>
    <row r="270" spans="1:7" x14ac:dyDescent="0.25">
      <c r="A270" t="s">
        <v>72</v>
      </c>
      <c r="B270" t="s">
        <v>328</v>
      </c>
      <c r="C270" s="3" t="s">
        <v>329</v>
      </c>
      <c r="D270">
        <v>78</v>
      </c>
      <c r="E270">
        <v>81</v>
      </c>
      <c r="F270">
        <v>21</v>
      </c>
    </row>
    <row r="271" spans="1:7" x14ac:dyDescent="0.25">
      <c r="A271" t="s">
        <v>72</v>
      </c>
      <c r="B271" t="s">
        <v>1124</v>
      </c>
      <c r="C271" s="3" t="s">
        <v>1125</v>
      </c>
      <c r="D271">
        <v>73</v>
      </c>
      <c r="E271">
        <v>76.5</v>
      </c>
      <c r="F271">
        <v>19</v>
      </c>
    </row>
    <row r="272" spans="1:7" x14ac:dyDescent="0.25">
      <c r="A272" t="s">
        <v>72</v>
      </c>
      <c r="B272" t="s">
        <v>700</v>
      </c>
      <c r="C272" s="3" t="s">
        <v>1126</v>
      </c>
      <c r="D272">
        <v>70.5</v>
      </c>
      <c r="E272">
        <v>78.5</v>
      </c>
      <c r="F272">
        <v>19</v>
      </c>
    </row>
    <row r="273" spans="1:6" x14ac:dyDescent="0.25">
      <c r="A273" t="s">
        <v>72</v>
      </c>
      <c r="B273" t="s">
        <v>906</v>
      </c>
      <c r="C273" s="3" t="s">
        <v>1127</v>
      </c>
      <c r="D273">
        <v>78.5</v>
      </c>
      <c r="E273">
        <v>83.5</v>
      </c>
      <c r="F273">
        <v>20</v>
      </c>
    </row>
    <row r="274" spans="1:6" x14ac:dyDescent="0.25">
      <c r="A274" t="s">
        <v>72</v>
      </c>
      <c r="B274" t="s">
        <v>150</v>
      </c>
      <c r="C274" s="3" t="s">
        <v>151</v>
      </c>
      <c r="D274">
        <v>68.5</v>
      </c>
      <c r="E274">
        <v>73.5</v>
      </c>
      <c r="F274">
        <v>19</v>
      </c>
    </row>
    <row r="275" spans="1:6" x14ac:dyDescent="0.25">
      <c r="A275" t="s">
        <v>72</v>
      </c>
      <c r="B275" t="s">
        <v>507</v>
      </c>
      <c r="C275" s="3" t="s">
        <v>508</v>
      </c>
      <c r="D275">
        <v>76.5</v>
      </c>
      <c r="E275">
        <v>77</v>
      </c>
      <c r="F275">
        <v>18</v>
      </c>
    </row>
    <row r="276" spans="1:6" x14ac:dyDescent="0.25">
      <c r="A276" t="s">
        <v>72</v>
      </c>
      <c r="B276" t="s">
        <v>73</v>
      </c>
      <c r="C276" s="3" t="s">
        <v>74</v>
      </c>
      <c r="D276">
        <v>69</v>
      </c>
      <c r="E276">
        <v>71.5</v>
      </c>
      <c r="F276">
        <v>18</v>
      </c>
    </row>
    <row r="277" spans="1:6" x14ac:dyDescent="0.25">
      <c r="A277" t="s">
        <v>72</v>
      </c>
      <c r="B277" t="s">
        <v>988</v>
      </c>
      <c r="C277" s="3" t="s">
        <v>1128</v>
      </c>
      <c r="D277">
        <v>71</v>
      </c>
      <c r="E277">
        <v>76</v>
      </c>
      <c r="F277">
        <v>19.5</v>
      </c>
    </row>
    <row r="278" spans="1:6" x14ac:dyDescent="0.25">
      <c r="A278" t="s">
        <v>72</v>
      </c>
      <c r="B278" t="s">
        <v>961</v>
      </c>
      <c r="C278" s="3" t="s">
        <v>1129</v>
      </c>
      <c r="D278">
        <v>75.5</v>
      </c>
      <c r="E278">
        <v>81</v>
      </c>
      <c r="F278">
        <v>23</v>
      </c>
    </row>
    <row r="279" spans="1:6" x14ac:dyDescent="0.25">
      <c r="A279" t="s">
        <v>72</v>
      </c>
      <c r="B279" t="s">
        <v>231</v>
      </c>
      <c r="C279" s="3" t="s">
        <v>232</v>
      </c>
      <c r="D279">
        <v>76.5</v>
      </c>
      <c r="E279">
        <v>80</v>
      </c>
      <c r="F279">
        <v>22</v>
      </c>
    </row>
    <row r="280" spans="1:6" x14ac:dyDescent="0.25">
      <c r="A280" t="s">
        <v>72</v>
      </c>
      <c r="B280" t="s">
        <v>901</v>
      </c>
      <c r="C280" s="3" t="s">
        <v>1130</v>
      </c>
      <c r="D280">
        <v>74.5</v>
      </c>
      <c r="E280">
        <v>77</v>
      </c>
      <c r="F280">
        <v>19.5</v>
      </c>
    </row>
    <row r="281" spans="1:6" x14ac:dyDescent="0.25">
      <c r="A281" t="s">
        <v>72</v>
      </c>
      <c r="B281" t="s">
        <v>285</v>
      </c>
      <c r="C281" s="3" t="s">
        <v>286</v>
      </c>
      <c r="D281">
        <v>73.5</v>
      </c>
      <c r="E281">
        <v>78</v>
      </c>
      <c r="F281">
        <v>15</v>
      </c>
    </row>
    <row r="282" spans="1:6" x14ac:dyDescent="0.25">
      <c r="A282" t="s">
        <v>72</v>
      </c>
      <c r="B282" t="s">
        <v>224</v>
      </c>
      <c r="C282" s="3" t="s">
        <v>225</v>
      </c>
      <c r="D282">
        <v>76.5</v>
      </c>
      <c r="E282">
        <v>74</v>
      </c>
      <c r="F282">
        <v>20.5</v>
      </c>
    </row>
    <row r="283" spans="1:6" x14ac:dyDescent="0.25">
      <c r="A283" t="s">
        <v>72</v>
      </c>
      <c r="B283" t="s">
        <v>566</v>
      </c>
      <c r="C283" s="3" t="s">
        <v>1131</v>
      </c>
      <c r="D283">
        <v>71</v>
      </c>
      <c r="E283">
        <v>77</v>
      </c>
      <c r="F283">
        <v>19</v>
      </c>
    </row>
    <row r="284" spans="1:6" x14ac:dyDescent="0.25">
      <c r="A284" t="s">
        <v>72</v>
      </c>
      <c r="B284" t="s">
        <v>981</v>
      </c>
      <c r="C284" s="3" t="s">
        <v>1132</v>
      </c>
      <c r="D284">
        <v>71</v>
      </c>
      <c r="E284">
        <v>77</v>
      </c>
      <c r="F284">
        <v>17</v>
      </c>
    </row>
    <row r="285" spans="1:6" x14ac:dyDescent="0.25">
      <c r="A285" t="s">
        <v>72</v>
      </c>
      <c r="B285" t="s">
        <v>802</v>
      </c>
      <c r="C285" s="3" t="s">
        <v>1133</v>
      </c>
      <c r="D285">
        <v>71</v>
      </c>
      <c r="E285">
        <v>72</v>
      </c>
      <c r="F285">
        <v>17</v>
      </c>
    </row>
    <row r="286" spans="1:6" x14ac:dyDescent="0.25">
      <c r="A286" t="s">
        <v>72</v>
      </c>
      <c r="B286" t="s">
        <v>406</v>
      </c>
      <c r="C286" s="3" t="s">
        <v>407</v>
      </c>
      <c r="D286">
        <v>75</v>
      </c>
      <c r="E286">
        <v>76.5</v>
      </c>
      <c r="F286">
        <v>20</v>
      </c>
    </row>
    <row r="287" spans="1:6" x14ac:dyDescent="0.25">
      <c r="A287" t="s">
        <v>72</v>
      </c>
      <c r="B287" t="s">
        <v>933</v>
      </c>
      <c r="C287" s="3" t="s">
        <v>1134</v>
      </c>
      <c r="D287">
        <v>72</v>
      </c>
      <c r="E287">
        <v>73</v>
      </c>
      <c r="F287">
        <v>18</v>
      </c>
    </row>
    <row r="288" spans="1:6" x14ac:dyDescent="0.25">
      <c r="A288" t="s">
        <v>72</v>
      </c>
      <c r="B288" t="s">
        <v>1135</v>
      </c>
      <c r="C288" s="3" t="s">
        <v>1136</v>
      </c>
      <c r="D288">
        <v>68</v>
      </c>
      <c r="E288">
        <v>74</v>
      </c>
      <c r="F288">
        <v>21</v>
      </c>
    </row>
    <row r="289" spans="1:6" x14ac:dyDescent="0.25">
      <c r="A289" t="s">
        <v>72</v>
      </c>
      <c r="B289" t="s">
        <v>604</v>
      </c>
      <c r="C289" s="3" t="s">
        <v>1137</v>
      </c>
      <c r="D289">
        <v>74</v>
      </c>
      <c r="E289">
        <v>79</v>
      </c>
      <c r="F289">
        <v>20</v>
      </c>
    </row>
    <row r="290" spans="1:6" x14ac:dyDescent="0.25">
      <c r="A290" t="s">
        <v>72</v>
      </c>
      <c r="B290" t="s">
        <v>344</v>
      </c>
      <c r="C290" s="3" t="s">
        <v>345</v>
      </c>
      <c r="D290">
        <v>77</v>
      </c>
      <c r="E290">
        <v>81</v>
      </c>
      <c r="F290">
        <v>22</v>
      </c>
    </row>
    <row r="291" spans="1:6" x14ac:dyDescent="0.25">
      <c r="A291" t="s">
        <v>72</v>
      </c>
      <c r="B291" t="s">
        <v>934</v>
      </c>
      <c r="C291" s="3" t="s">
        <v>1138</v>
      </c>
      <c r="D291">
        <v>69.5</v>
      </c>
      <c r="E291">
        <v>73</v>
      </c>
      <c r="F291">
        <v>18</v>
      </c>
    </row>
    <row r="292" spans="1:6" x14ac:dyDescent="0.25">
      <c r="A292" t="s">
        <v>72</v>
      </c>
      <c r="B292" t="s">
        <v>966</v>
      </c>
      <c r="C292" s="3" t="s">
        <v>1139</v>
      </c>
      <c r="D292">
        <v>76</v>
      </c>
      <c r="E292">
        <v>78</v>
      </c>
      <c r="F292">
        <v>19</v>
      </c>
    </row>
    <row r="293" spans="1:6" x14ac:dyDescent="0.25">
      <c r="A293" t="s">
        <v>72</v>
      </c>
      <c r="B293" t="s">
        <v>294</v>
      </c>
      <c r="C293" s="3" t="s">
        <v>295</v>
      </c>
      <c r="D293">
        <v>71.5</v>
      </c>
      <c r="E293">
        <v>76</v>
      </c>
      <c r="F293">
        <v>21</v>
      </c>
    </row>
    <row r="294" spans="1:6" x14ac:dyDescent="0.25">
      <c r="A294" t="s">
        <v>72</v>
      </c>
      <c r="B294" t="s">
        <v>984</v>
      </c>
      <c r="C294" s="3" t="s">
        <v>1140</v>
      </c>
      <c r="D294">
        <v>75</v>
      </c>
      <c r="E294">
        <v>77.5</v>
      </c>
      <c r="F294">
        <v>19</v>
      </c>
    </row>
    <row r="295" spans="1:6" x14ac:dyDescent="0.25">
      <c r="A295" t="s">
        <v>72</v>
      </c>
      <c r="B295" t="s">
        <v>511</v>
      </c>
      <c r="C295" s="3" t="s">
        <v>512</v>
      </c>
      <c r="D295">
        <v>71</v>
      </c>
      <c r="E295">
        <v>73</v>
      </c>
      <c r="F295">
        <v>18.5</v>
      </c>
    </row>
    <row r="296" spans="1:6" x14ac:dyDescent="0.25">
      <c r="A296" t="s">
        <v>72</v>
      </c>
      <c r="B296" t="s">
        <v>885</v>
      </c>
      <c r="C296" s="3" t="s">
        <v>1141</v>
      </c>
      <c r="D296">
        <v>69</v>
      </c>
      <c r="E296">
        <v>73</v>
      </c>
      <c r="F296">
        <v>18</v>
      </c>
    </row>
    <row r="297" spans="1:6" x14ac:dyDescent="0.25">
      <c r="A297" t="s">
        <v>72</v>
      </c>
      <c r="B297" t="s">
        <v>1142</v>
      </c>
      <c r="C297" s="3" t="s">
        <v>1143</v>
      </c>
      <c r="D297">
        <v>68</v>
      </c>
      <c r="E297">
        <v>68</v>
      </c>
      <c r="F297">
        <v>16</v>
      </c>
    </row>
    <row r="298" spans="1:6" x14ac:dyDescent="0.25">
      <c r="A298" t="s">
        <v>72</v>
      </c>
      <c r="B298" t="s">
        <v>78</v>
      </c>
      <c r="C298" s="3" t="s">
        <v>79</v>
      </c>
      <c r="D298">
        <v>71.5</v>
      </c>
      <c r="E298">
        <v>75.5</v>
      </c>
      <c r="F298">
        <v>20</v>
      </c>
    </row>
    <row r="299" spans="1:6" x14ac:dyDescent="0.25">
      <c r="A299" t="s">
        <v>72</v>
      </c>
      <c r="B299" t="s">
        <v>274</v>
      </c>
      <c r="C299" s="3" t="s">
        <v>275</v>
      </c>
      <c r="D299">
        <v>76</v>
      </c>
      <c r="E299">
        <v>82.5</v>
      </c>
      <c r="F299">
        <v>21</v>
      </c>
    </row>
    <row r="300" spans="1:6" x14ac:dyDescent="0.25">
      <c r="A300" t="s">
        <v>72</v>
      </c>
      <c r="B300" t="s">
        <v>985</v>
      </c>
      <c r="C300" s="3" t="s">
        <v>1144</v>
      </c>
      <c r="D300">
        <v>67</v>
      </c>
      <c r="E300">
        <v>74</v>
      </c>
      <c r="F300">
        <v>18</v>
      </c>
    </row>
    <row r="301" spans="1:6" x14ac:dyDescent="0.25">
      <c r="A301" t="s">
        <v>72</v>
      </c>
      <c r="B301" t="s">
        <v>797</v>
      </c>
      <c r="C301" s="3" t="s">
        <v>1145</v>
      </c>
      <c r="D301">
        <v>75</v>
      </c>
      <c r="E301">
        <v>77</v>
      </c>
      <c r="F301">
        <v>21</v>
      </c>
    </row>
    <row r="302" spans="1:6" x14ac:dyDescent="0.25">
      <c r="A302" t="s">
        <v>72</v>
      </c>
      <c r="B302" t="s">
        <v>704</v>
      </c>
      <c r="C302" s="3" t="s">
        <v>1146</v>
      </c>
      <c r="D302">
        <v>68</v>
      </c>
      <c r="E302">
        <v>77</v>
      </c>
      <c r="F302">
        <v>22</v>
      </c>
    </row>
    <row r="303" spans="1:6" x14ac:dyDescent="0.25">
      <c r="A303" t="s">
        <v>72</v>
      </c>
      <c r="B303" t="s">
        <v>699</v>
      </c>
      <c r="C303" s="3" t="s">
        <v>1147</v>
      </c>
      <c r="D303">
        <v>71</v>
      </c>
      <c r="E303">
        <v>74</v>
      </c>
      <c r="F303">
        <v>20</v>
      </c>
    </row>
    <row r="304" spans="1:6" x14ac:dyDescent="0.25">
      <c r="A304" t="s">
        <v>72</v>
      </c>
      <c r="B304" t="s">
        <v>326</v>
      </c>
      <c r="C304" s="3" t="s">
        <v>327</v>
      </c>
      <c r="D304">
        <v>75</v>
      </c>
      <c r="E304">
        <v>80</v>
      </c>
      <c r="F304">
        <v>22</v>
      </c>
    </row>
    <row r="305" spans="1:7" x14ac:dyDescent="0.25">
      <c r="A305" t="s">
        <v>72</v>
      </c>
      <c r="B305" t="s">
        <v>417</v>
      </c>
      <c r="C305" s="3" t="s">
        <v>418</v>
      </c>
      <c r="D305">
        <v>69</v>
      </c>
      <c r="E305">
        <v>77</v>
      </c>
      <c r="F305">
        <v>21</v>
      </c>
    </row>
    <row r="306" spans="1:7" x14ac:dyDescent="0.25">
      <c r="A306" t="s">
        <v>72</v>
      </c>
      <c r="B306" t="s">
        <v>283</v>
      </c>
      <c r="C306" s="3" t="s">
        <v>284</v>
      </c>
      <c r="D306">
        <v>75.5</v>
      </c>
      <c r="E306">
        <v>76</v>
      </c>
      <c r="F306">
        <v>17</v>
      </c>
    </row>
    <row r="307" spans="1:7" x14ac:dyDescent="0.25">
      <c r="A307" t="s">
        <v>72</v>
      </c>
      <c r="B307" t="s">
        <v>968</v>
      </c>
      <c r="C307" s="3" t="s">
        <v>1148</v>
      </c>
      <c r="D307">
        <v>68.5</v>
      </c>
      <c r="E307">
        <v>80</v>
      </c>
      <c r="F307">
        <v>21</v>
      </c>
    </row>
    <row r="308" spans="1:7" x14ac:dyDescent="0.25">
      <c r="A308" t="s">
        <v>72</v>
      </c>
      <c r="B308" t="s">
        <v>1149</v>
      </c>
      <c r="C308" s="3" t="s">
        <v>1150</v>
      </c>
      <c r="D308">
        <v>79</v>
      </c>
      <c r="E308">
        <v>83</v>
      </c>
      <c r="F308">
        <v>17</v>
      </c>
    </row>
    <row r="309" spans="1:7" x14ac:dyDescent="0.25">
      <c r="A309" t="s">
        <v>72</v>
      </c>
      <c r="B309" t="s">
        <v>701</v>
      </c>
      <c r="C309" s="3" t="s">
        <v>1151</v>
      </c>
      <c r="D309">
        <v>75</v>
      </c>
      <c r="E309">
        <v>80</v>
      </c>
      <c r="F309">
        <v>21</v>
      </c>
    </row>
    <row r="310" spans="1:7" x14ac:dyDescent="0.25">
      <c r="A310" t="s">
        <v>72</v>
      </c>
      <c r="B310" t="s">
        <v>279</v>
      </c>
      <c r="C310" s="3" t="s">
        <v>280</v>
      </c>
      <c r="D310">
        <v>79</v>
      </c>
      <c r="E310">
        <v>79</v>
      </c>
      <c r="F310">
        <v>19</v>
      </c>
    </row>
    <row r="311" spans="1:7" x14ac:dyDescent="0.25">
      <c r="A311" t="s">
        <v>72</v>
      </c>
      <c r="B311" t="s">
        <v>972</v>
      </c>
      <c r="C311" s="3" t="s">
        <v>1152</v>
      </c>
      <c r="D311">
        <v>70</v>
      </c>
      <c r="E311">
        <v>72</v>
      </c>
      <c r="F311">
        <v>17</v>
      </c>
    </row>
    <row r="312" spans="1:7" x14ac:dyDescent="0.25">
      <c r="A312" t="s">
        <v>72</v>
      </c>
      <c r="B312" t="s">
        <v>334</v>
      </c>
      <c r="C312" s="3" t="s">
        <v>335</v>
      </c>
      <c r="D312">
        <v>71</v>
      </c>
      <c r="E312">
        <v>76.5</v>
      </c>
      <c r="F312">
        <v>20</v>
      </c>
    </row>
    <row r="313" spans="1:7" x14ac:dyDescent="0.25">
      <c r="A313" t="s">
        <v>72</v>
      </c>
      <c r="B313" t="s">
        <v>1153</v>
      </c>
      <c r="C313" s="3" t="s">
        <v>1154</v>
      </c>
      <c r="D313">
        <v>67</v>
      </c>
      <c r="E313">
        <v>69</v>
      </c>
      <c r="F313">
        <v>15</v>
      </c>
      <c r="G313" t="s">
        <v>1000</v>
      </c>
    </row>
    <row r="314" spans="1:7" x14ac:dyDescent="0.25">
      <c r="A314" t="s">
        <v>72</v>
      </c>
      <c r="B314" t="s">
        <v>347</v>
      </c>
      <c r="C314" s="3" t="s">
        <v>348</v>
      </c>
      <c r="D314">
        <v>71</v>
      </c>
      <c r="E314">
        <v>77</v>
      </c>
      <c r="F314">
        <v>19</v>
      </c>
    </row>
    <row r="315" spans="1:7" x14ac:dyDescent="0.25">
      <c r="A315" t="s">
        <v>72</v>
      </c>
      <c r="B315" t="s">
        <v>82</v>
      </c>
      <c r="C315" s="3" t="s">
        <v>83</v>
      </c>
      <c r="D315">
        <v>77</v>
      </c>
      <c r="E315">
        <v>80</v>
      </c>
      <c r="F315">
        <v>20</v>
      </c>
    </row>
    <row r="316" spans="1:7" x14ac:dyDescent="0.25">
      <c r="A316" t="s">
        <v>72</v>
      </c>
      <c r="B316" t="s">
        <v>830</v>
      </c>
      <c r="C316" s="3" t="s">
        <v>1155</v>
      </c>
      <c r="D316">
        <v>71</v>
      </c>
      <c r="E316">
        <v>75</v>
      </c>
      <c r="F316">
        <v>20</v>
      </c>
    </row>
    <row r="317" spans="1:7" x14ac:dyDescent="0.25">
      <c r="A317" t="s">
        <v>72</v>
      </c>
      <c r="B317" t="s">
        <v>1156</v>
      </c>
      <c r="C317" s="3" t="s">
        <v>1157</v>
      </c>
      <c r="D317">
        <v>69</v>
      </c>
      <c r="E317">
        <v>66</v>
      </c>
      <c r="F317">
        <v>15</v>
      </c>
      <c r="G317" t="s">
        <v>1000</v>
      </c>
    </row>
    <row r="318" spans="1:7" x14ac:dyDescent="0.25">
      <c r="A318" t="s">
        <v>72</v>
      </c>
      <c r="B318" t="s">
        <v>80</v>
      </c>
      <c r="C318" s="3" t="s">
        <v>81</v>
      </c>
      <c r="D318">
        <v>66</v>
      </c>
      <c r="E318">
        <v>70</v>
      </c>
      <c r="F318">
        <v>17</v>
      </c>
    </row>
    <row r="319" spans="1:7" x14ac:dyDescent="0.25">
      <c r="A319" t="s">
        <v>72</v>
      </c>
      <c r="B319" t="s">
        <v>827</v>
      </c>
      <c r="C319" s="3" t="s">
        <v>1158</v>
      </c>
      <c r="D319">
        <v>72</v>
      </c>
      <c r="E319">
        <v>75</v>
      </c>
      <c r="F319">
        <v>20</v>
      </c>
    </row>
    <row r="320" spans="1:7" x14ac:dyDescent="0.25">
      <c r="A320" t="s">
        <v>72</v>
      </c>
      <c r="B320" t="s">
        <v>1159</v>
      </c>
      <c r="C320" s="3" t="s">
        <v>1160</v>
      </c>
      <c r="D320">
        <v>70</v>
      </c>
      <c r="E320">
        <v>69</v>
      </c>
      <c r="F320">
        <v>15</v>
      </c>
    </row>
    <row r="321" spans="1:7" x14ac:dyDescent="0.25">
      <c r="A321" t="s">
        <v>72</v>
      </c>
      <c r="B321" t="s">
        <v>1161</v>
      </c>
      <c r="C321" s="3" t="s">
        <v>1162</v>
      </c>
      <c r="D321">
        <v>69</v>
      </c>
      <c r="E321">
        <v>68</v>
      </c>
      <c r="F321">
        <v>18</v>
      </c>
    </row>
    <row r="322" spans="1:7" x14ac:dyDescent="0.25">
      <c r="A322" t="s">
        <v>72</v>
      </c>
      <c r="B322" t="s">
        <v>697</v>
      </c>
      <c r="C322" s="3" t="s">
        <v>1163</v>
      </c>
      <c r="D322">
        <v>68</v>
      </c>
      <c r="E322">
        <v>72</v>
      </c>
      <c r="F322">
        <v>16</v>
      </c>
    </row>
    <row r="323" spans="1:7" x14ac:dyDescent="0.25">
      <c r="A323" t="s">
        <v>72</v>
      </c>
      <c r="B323" t="s">
        <v>971</v>
      </c>
      <c r="C323" s="3" t="s">
        <v>1164</v>
      </c>
      <c r="D323">
        <v>74</v>
      </c>
      <c r="E323">
        <v>76</v>
      </c>
      <c r="F323">
        <v>16</v>
      </c>
    </row>
    <row r="324" spans="1:7" x14ac:dyDescent="0.25">
      <c r="A324" t="s">
        <v>72</v>
      </c>
      <c r="B324" t="s">
        <v>1165</v>
      </c>
      <c r="C324" s="3" t="s">
        <v>1166</v>
      </c>
      <c r="D324">
        <v>68</v>
      </c>
      <c r="E324">
        <v>75</v>
      </c>
      <c r="F324">
        <v>18</v>
      </c>
    </row>
    <row r="325" spans="1:7" x14ac:dyDescent="0.25">
      <c r="A325" t="s">
        <v>72</v>
      </c>
      <c r="B325" t="s">
        <v>1167</v>
      </c>
      <c r="C325" s="3" t="s">
        <v>1168</v>
      </c>
      <c r="D325">
        <v>73</v>
      </c>
      <c r="E325">
        <v>78</v>
      </c>
      <c r="F325">
        <v>20.5</v>
      </c>
    </row>
    <row r="326" spans="1:7" x14ac:dyDescent="0.25">
      <c r="A326" t="s">
        <v>72</v>
      </c>
      <c r="B326" t="s">
        <v>497</v>
      </c>
      <c r="C326" s="3" t="s">
        <v>498</v>
      </c>
      <c r="D326">
        <v>65.5</v>
      </c>
      <c r="E326">
        <v>67</v>
      </c>
      <c r="F326">
        <v>18</v>
      </c>
    </row>
    <row r="327" spans="1:7" x14ac:dyDescent="0.25">
      <c r="A327" t="s">
        <v>72</v>
      </c>
      <c r="B327" t="s">
        <v>823</v>
      </c>
      <c r="C327" s="3" t="s">
        <v>1169</v>
      </c>
      <c r="D327">
        <v>74</v>
      </c>
      <c r="E327">
        <v>77</v>
      </c>
      <c r="F327">
        <v>17</v>
      </c>
    </row>
    <row r="328" spans="1:7" x14ac:dyDescent="0.25">
      <c r="A328" t="s">
        <v>72</v>
      </c>
      <c r="B328" t="s">
        <v>1170</v>
      </c>
      <c r="C328" s="3" t="s">
        <v>1171</v>
      </c>
      <c r="D328">
        <v>73</v>
      </c>
      <c r="E328">
        <v>75</v>
      </c>
      <c r="F328">
        <v>20</v>
      </c>
      <c r="G328" t="s">
        <v>1000</v>
      </c>
    </row>
    <row r="329" spans="1:7" x14ac:dyDescent="0.25">
      <c r="A329" t="s">
        <v>72</v>
      </c>
      <c r="B329" t="s">
        <v>1172</v>
      </c>
      <c r="C329" s="3" t="s">
        <v>1173</v>
      </c>
      <c r="D329">
        <v>77</v>
      </c>
      <c r="E329">
        <v>80</v>
      </c>
      <c r="F329">
        <v>20</v>
      </c>
    </row>
    <row r="330" spans="1:7" x14ac:dyDescent="0.25">
      <c r="A330" t="s">
        <v>72</v>
      </c>
      <c r="B330" t="s">
        <v>796</v>
      </c>
      <c r="C330" s="3" t="s">
        <v>1174</v>
      </c>
      <c r="D330">
        <v>75</v>
      </c>
      <c r="E330">
        <v>74</v>
      </c>
      <c r="F330">
        <v>17</v>
      </c>
    </row>
    <row r="331" spans="1:7" x14ac:dyDescent="0.25">
      <c r="A331" t="s">
        <v>72</v>
      </c>
      <c r="B331" t="s">
        <v>561</v>
      </c>
      <c r="C331" s="3" t="s">
        <v>1175</v>
      </c>
      <c r="D331">
        <v>72</v>
      </c>
      <c r="E331">
        <v>76</v>
      </c>
      <c r="F331">
        <v>18</v>
      </c>
    </row>
    <row r="332" spans="1:7" x14ac:dyDescent="0.25">
      <c r="A332" t="s">
        <v>72</v>
      </c>
      <c r="B332" t="s">
        <v>860</v>
      </c>
      <c r="C332" s="3" t="s">
        <v>1176</v>
      </c>
      <c r="D332">
        <v>75</v>
      </c>
      <c r="E332">
        <v>79</v>
      </c>
      <c r="F332">
        <v>20</v>
      </c>
    </row>
    <row r="333" spans="1:7" x14ac:dyDescent="0.25">
      <c r="A333" t="s">
        <v>72</v>
      </c>
      <c r="B333" t="s">
        <v>791</v>
      </c>
      <c r="C333" s="3" t="s">
        <v>1177</v>
      </c>
      <c r="D333">
        <v>67</v>
      </c>
      <c r="E333">
        <v>70</v>
      </c>
      <c r="F333">
        <v>20</v>
      </c>
    </row>
    <row r="334" spans="1:7" x14ac:dyDescent="0.25">
      <c r="A334" t="s">
        <v>72</v>
      </c>
      <c r="B334" t="s">
        <v>900</v>
      </c>
      <c r="C334" s="3" t="s">
        <v>1178</v>
      </c>
      <c r="D334">
        <v>78</v>
      </c>
      <c r="E334">
        <v>80</v>
      </c>
      <c r="F334">
        <v>21</v>
      </c>
    </row>
    <row r="335" spans="1:7" x14ac:dyDescent="0.25">
      <c r="A335" t="s">
        <v>72</v>
      </c>
      <c r="B335" t="s">
        <v>798</v>
      </c>
      <c r="C335" s="3" t="s">
        <v>1179</v>
      </c>
      <c r="D335">
        <v>70</v>
      </c>
      <c r="E335">
        <v>73</v>
      </c>
      <c r="F335">
        <v>17</v>
      </c>
    </row>
    <row r="336" spans="1:7" x14ac:dyDescent="0.25">
      <c r="A336" t="s">
        <v>72</v>
      </c>
      <c r="B336" t="s">
        <v>1180</v>
      </c>
      <c r="C336" s="3" t="s">
        <v>1181</v>
      </c>
      <c r="D336">
        <v>75</v>
      </c>
      <c r="E336">
        <v>80</v>
      </c>
      <c r="F336">
        <v>19</v>
      </c>
    </row>
    <row r="337" spans="1:6" x14ac:dyDescent="0.25">
      <c r="A337" t="s">
        <v>72</v>
      </c>
      <c r="B337" t="s">
        <v>969</v>
      </c>
      <c r="C337" s="3" t="s">
        <v>1182</v>
      </c>
      <c r="D337">
        <v>71</v>
      </c>
      <c r="E337">
        <v>75</v>
      </c>
      <c r="F337">
        <v>17</v>
      </c>
    </row>
    <row r="338" spans="1:6" x14ac:dyDescent="0.25">
      <c r="A338" t="s">
        <v>72</v>
      </c>
      <c r="B338" t="s">
        <v>888</v>
      </c>
      <c r="C338" s="3" t="s">
        <v>1183</v>
      </c>
      <c r="D338">
        <v>76</v>
      </c>
      <c r="E338">
        <v>79</v>
      </c>
      <c r="F338">
        <v>20</v>
      </c>
    </row>
    <row r="339" spans="1:6" x14ac:dyDescent="0.25">
      <c r="A339" t="s">
        <v>72</v>
      </c>
      <c r="B339" t="s">
        <v>982</v>
      </c>
      <c r="C339" s="3" t="s">
        <v>1184</v>
      </c>
      <c r="D339">
        <v>68</v>
      </c>
      <c r="E339">
        <v>75</v>
      </c>
      <c r="F339">
        <v>19</v>
      </c>
    </row>
    <row r="340" spans="1:6" x14ac:dyDescent="0.25">
      <c r="A340" t="s">
        <v>72</v>
      </c>
      <c r="B340" t="s">
        <v>402</v>
      </c>
      <c r="C340" s="3" t="s">
        <v>403</v>
      </c>
      <c r="D340">
        <v>74</v>
      </c>
      <c r="E340">
        <v>74</v>
      </c>
      <c r="F340">
        <v>19</v>
      </c>
    </row>
    <row r="341" spans="1:6" x14ac:dyDescent="0.25">
      <c r="A341" t="s">
        <v>72</v>
      </c>
      <c r="B341" t="s">
        <v>397</v>
      </c>
      <c r="C341" s="3" t="s">
        <v>398</v>
      </c>
      <c r="D341">
        <v>74</v>
      </c>
      <c r="E341">
        <v>77</v>
      </c>
      <c r="F341">
        <v>19</v>
      </c>
    </row>
    <row r="342" spans="1:6" x14ac:dyDescent="0.25">
      <c r="A342" t="s">
        <v>72</v>
      </c>
      <c r="B342" t="s">
        <v>1185</v>
      </c>
      <c r="C342" s="3" t="s">
        <v>1186</v>
      </c>
      <c r="D342">
        <v>69</v>
      </c>
      <c r="E342">
        <v>72</v>
      </c>
      <c r="F342">
        <v>18</v>
      </c>
    </row>
    <row r="343" spans="1:6" ht="15" customHeight="1" x14ac:dyDescent="0.25">
      <c r="A343" t="s">
        <v>72</v>
      </c>
      <c r="B343" t="s">
        <v>960</v>
      </c>
      <c r="C343" s="3" t="s">
        <v>1187</v>
      </c>
      <c r="D343">
        <v>75</v>
      </c>
      <c r="E343">
        <v>80</v>
      </c>
      <c r="F343">
        <v>20</v>
      </c>
    </row>
    <row r="344" spans="1:6" ht="15" customHeight="1" x14ac:dyDescent="0.25">
      <c r="A344" t="s">
        <v>72</v>
      </c>
      <c r="B344" t="s">
        <v>940</v>
      </c>
      <c r="C344" s="3" t="s">
        <v>1188</v>
      </c>
      <c r="D344" s="3">
        <v>76.260000000000005</v>
      </c>
      <c r="E344" s="3">
        <v>84.47</v>
      </c>
      <c r="F344" s="3">
        <v>17.53</v>
      </c>
    </row>
    <row r="345" spans="1:6" ht="15" customHeight="1" x14ac:dyDescent="0.25">
      <c r="A345" t="s">
        <v>72</v>
      </c>
      <c r="B345" t="s">
        <v>868</v>
      </c>
      <c r="C345" s="3" t="s">
        <v>1189</v>
      </c>
      <c r="D345">
        <v>71.13</v>
      </c>
      <c r="E345" s="3">
        <v>74.25</v>
      </c>
      <c r="F345" s="3">
        <v>22.66</v>
      </c>
    </row>
    <row r="346" spans="1:6" x14ac:dyDescent="0.25">
      <c r="A346" t="s">
        <v>72</v>
      </c>
      <c r="B346" t="s">
        <v>523</v>
      </c>
      <c r="C346" s="3" t="s">
        <v>1190</v>
      </c>
      <c r="D346" s="3">
        <v>78.34</v>
      </c>
      <c r="E346" s="3">
        <v>83.46</v>
      </c>
      <c r="F346" s="3">
        <v>24.09</v>
      </c>
    </row>
    <row r="347" spans="1:6" x14ac:dyDescent="0.25">
      <c r="A347" t="s">
        <v>72</v>
      </c>
      <c r="B347" t="s">
        <v>943</v>
      </c>
      <c r="C347" s="3" t="s">
        <v>1191</v>
      </c>
      <c r="D347" s="3">
        <v>74.42</v>
      </c>
      <c r="E347" s="3">
        <v>81.36</v>
      </c>
      <c r="F347" s="3">
        <v>17.510000000000002</v>
      </c>
    </row>
    <row r="348" spans="1:6" x14ac:dyDescent="0.25">
      <c r="A348" t="s">
        <v>72</v>
      </c>
      <c r="B348" t="s">
        <v>292</v>
      </c>
      <c r="C348" s="3" t="s">
        <v>293</v>
      </c>
      <c r="D348">
        <v>67</v>
      </c>
      <c r="E348">
        <v>68</v>
      </c>
      <c r="F348">
        <v>20</v>
      </c>
    </row>
    <row r="349" spans="1:6" x14ac:dyDescent="0.25">
      <c r="A349" t="s">
        <v>72</v>
      </c>
      <c r="B349" t="s">
        <v>894</v>
      </c>
      <c r="C349" s="3" t="s">
        <v>1192</v>
      </c>
      <c r="D349">
        <v>73</v>
      </c>
      <c r="E349">
        <v>75</v>
      </c>
      <c r="F349">
        <v>18</v>
      </c>
    </row>
    <row r="350" spans="1:6" x14ac:dyDescent="0.25">
      <c r="A350" t="s">
        <v>72</v>
      </c>
      <c r="B350" t="s">
        <v>983</v>
      </c>
      <c r="C350" s="3" t="s">
        <v>1193</v>
      </c>
      <c r="D350">
        <v>79</v>
      </c>
      <c r="E350">
        <v>81</v>
      </c>
      <c r="F350">
        <v>20</v>
      </c>
    </row>
    <row r="351" spans="1:6" x14ac:dyDescent="0.25">
      <c r="A351" t="s">
        <v>72</v>
      </c>
      <c r="B351" t="s">
        <v>862</v>
      </c>
      <c r="C351" s="3" t="s">
        <v>1194</v>
      </c>
      <c r="D351">
        <v>76</v>
      </c>
      <c r="E351">
        <v>79</v>
      </c>
      <c r="F351">
        <v>22</v>
      </c>
    </row>
    <row r="352" spans="1:6" x14ac:dyDescent="0.25">
      <c r="A352" t="s">
        <v>72</v>
      </c>
      <c r="B352" s="6" t="s">
        <v>338</v>
      </c>
      <c r="C352" s="3" t="s">
        <v>339</v>
      </c>
      <c r="D352" s="6">
        <v>71</v>
      </c>
      <c r="E352" s="6">
        <v>74</v>
      </c>
      <c r="F352" s="6">
        <v>16</v>
      </c>
    </row>
    <row r="353" spans="1:6" x14ac:dyDescent="0.25">
      <c r="A353" t="s">
        <v>72</v>
      </c>
      <c r="B353" s="6" t="s">
        <v>562</v>
      </c>
      <c r="C353" s="3" t="s">
        <v>1195</v>
      </c>
      <c r="D353" s="6">
        <v>74</v>
      </c>
      <c r="E353" s="6">
        <v>77</v>
      </c>
      <c r="F353" s="6">
        <v>19</v>
      </c>
    </row>
    <row r="354" spans="1:6" x14ac:dyDescent="0.25">
      <c r="A354" t="s">
        <v>72</v>
      </c>
      <c r="B354" s="6" t="s">
        <v>399</v>
      </c>
      <c r="C354" s="3" t="s">
        <v>400</v>
      </c>
      <c r="D354" s="6">
        <v>72</v>
      </c>
      <c r="E354" s="6">
        <v>71</v>
      </c>
      <c r="F354" s="6">
        <v>15</v>
      </c>
    </row>
    <row r="355" spans="1:6" x14ac:dyDescent="0.25">
      <c r="A355" t="s">
        <v>72</v>
      </c>
      <c r="B355" s="6" t="s">
        <v>825</v>
      </c>
      <c r="C355" s="3" t="s">
        <v>1196</v>
      </c>
      <c r="D355" s="6">
        <v>76</v>
      </c>
      <c r="E355" s="6">
        <v>81</v>
      </c>
      <c r="F355" s="6">
        <v>19</v>
      </c>
    </row>
    <row r="356" spans="1:6" x14ac:dyDescent="0.25">
      <c r="A356" t="s">
        <v>72</v>
      </c>
      <c r="B356" s="6" t="s">
        <v>84</v>
      </c>
      <c r="C356" s="3" t="s">
        <v>85</v>
      </c>
      <c r="D356" s="6">
        <v>67</v>
      </c>
      <c r="E356" s="6">
        <v>70</v>
      </c>
      <c r="F356" s="6">
        <v>13</v>
      </c>
    </row>
    <row r="357" spans="1:6" x14ac:dyDescent="0.25">
      <c r="A357" t="s">
        <v>72</v>
      </c>
      <c r="B357" s="6" t="s">
        <v>413</v>
      </c>
      <c r="C357" s="3" t="s">
        <v>414</v>
      </c>
      <c r="D357" s="6">
        <v>81</v>
      </c>
      <c r="E357" s="6">
        <v>80</v>
      </c>
      <c r="F357" s="6">
        <v>19</v>
      </c>
    </row>
    <row r="358" spans="1:6" x14ac:dyDescent="0.25">
      <c r="A358" t="s">
        <v>72</v>
      </c>
      <c r="B358" s="6" t="s">
        <v>882</v>
      </c>
      <c r="C358" s="3" t="s">
        <v>1197</v>
      </c>
      <c r="D358" s="6">
        <v>73</v>
      </c>
      <c r="E358" s="6">
        <v>75</v>
      </c>
      <c r="F358" s="6">
        <v>17</v>
      </c>
    </row>
    <row r="359" spans="1:6" x14ac:dyDescent="0.25">
      <c r="A359" t="s">
        <v>72</v>
      </c>
      <c r="B359" s="6" t="s">
        <v>799</v>
      </c>
      <c r="C359" s="3" t="s">
        <v>1198</v>
      </c>
      <c r="D359" s="6">
        <v>71</v>
      </c>
      <c r="E359" s="6">
        <v>74</v>
      </c>
      <c r="F359" s="6">
        <v>17</v>
      </c>
    </row>
    <row r="360" spans="1:6" x14ac:dyDescent="0.25">
      <c r="A360" t="s">
        <v>72</v>
      </c>
      <c r="B360" s="6" t="s">
        <v>140</v>
      </c>
      <c r="C360" s="3" t="s">
        <v>141</v>
      </c>
      <c r="D360" s="6">
        <v>76</v>
      </c>
      <c r="E360" s="6">
        <v>80</v>
      </c>
      <c r="F360" s="6">
        <v>17</v>
      </c>
    </row>
    <row r="361" spans="1:6" x14ac:dyDescent="0.25">
      <c r="A361" t="s">
        <v>72</v>
      </c>
      <c r="B361" s="6" t="s">
        <v>897</v>
      </c>
      <c r="C361" s="3" t="s">
        <v>1199</v>
      </c>
      <c r="D361" s="6">
        <v>71</v>
      </c>
      <c r="E361" s="6">
        <v>74</v>
      </c>
      <c r="F361" s="6">
        <v>18</v>
      </c>
    </row>
    <row r="362" spans="1:6" x14ac:dyDescent="0.25">
      <c r="A362" t="s">
        <v>72</v>
      </c>
      <c r="B362" s="6" t="s">
        <v>142</v>
      </c>
      <c r="C362" s="3" t="s">
        <v>143</v>
      </c>
      <c r="D362" s="6">
        <v>71</v>
      </c>
      <c r="E362" s="6">
        <v>74</v>
      </c>
      <c r="F362" s="6">
        <v>16</v>
      </c>
    </row>
    <row r="363" spans="1:6" x14ac:dyDescent="0.25">
      <c r="A363" t="s">
        <v>72</v>
      </c>
      <c r="B363" s="6" t="s">
        <v>1200</v>
      </c>
      <c r="C363" s="3" t="s">
        <v>1201</v>
      </c>
      <c r="D363" s="6">
        <v>70</v>
      </c>
      <c r="E363" s="6">
        <v>70</v>
      </c>
      <c r="F363" s="6">
        <v>17</v>
      </c>
    </row>
    <row r="364" spans="1:6" x14ac:dyDescent="0.25">
      <c r="A364" t="s">
        <v>72</v>
      </c>
      <c r="B364" s="6" t="s">
        <v>491</v>
      </c>
      <c r="C364" s="3" t="s">
        <v>492</v>
      </c>
      <c r="D364" s="6">
        <v>66</v>
      </c>
      <c r="E364" s="6">
        <v>67</v>
      </c>
      <c r="F364" s="6">
        <v>18</v>
      </c>
    </row>
    <row r="365" spans="1:6" x14ac:dyDescent="0.25">
      <c r="A365" t="s">
        <v>72</v>
      </c>
      <c r="B365" s="6" t="s">
        <v>883</v>
      </c>
      <c r="C365" s="3" t="s">
        <v>1202</v>
      </c>
      <c r="D365" s="6">
        <v>70</v>
      </c>
      <c r="E365" s="6">
        <v>70</v>
      </c>
      <c r="F365" s="6">
        <v>16</v>
      </c>
    </row>
    <row r="366" spans="1:6" x14ac:dyDescent="0.25">
      <c r="A366" t="s">
        <v>72</v>
      </c>
      <c r="B366" s="6" t="s">
        <v>419</v>
      </c>
      <c r="C366" s="3" t="s">
        <v>420</v>
      </c>
      <c r="D366" s="6">
        <v>73</v>
      </c>
      <c r="E366" s="6">
        <v>75</v>
      </c>
      <c r="F366" s="6">
        <v>15</v>
      </c>
    </row>
    <row r="367" spans="1:6" x14ac:dyDescent="0.25">
      <c r="A367" t="s">
        <v>72</v>
      </c>
      <c r="B367" s="6" t="s">
        <v>235</v>
      </c>
      <c r="C367" s="3" t="s">
        <v>236</v>
      </c>
      <c r="D367" s="6">
        <v>70</v>
      </c>
      <c r="E367" s="6">
        <v>72</v>
      </c>
      <c r="F367" s="6">
        <v>16</v>
      </c>
    </row>
    <row r="368" spans="1:6" x14ac:dyDescent="0.25">
      <c r="A368" t="s">
        <v>72</v>
      </c>
      <c r="B368" s="6" t="s">
        <v>935</v>
      </c>
      <c r="C368" s="3" t="s">
        <v>1203</v>
      </c>
      <c r="D368" s="6">
        <v>76</v>
      </c>
      <c r="E368" s="6">
        <v>84</v>
      </c>
      <c r="F368" s="6">
        <v>22</v>
      </c>
    </row>
    <row r="369" spans="1:6" x14ac:dyDescent="0.25">
      <c r="A369" t="s">
        <v>72</v>
      </c>
      <c r="B369" s="6" t="s">
        <v>899</v>
      </c>
      <c r="C369" s="3" t="s">
        <v>1204</v>
      </c>
      <c r="D369" s="6">
        <v>77</v>
      </c>
      <c r="E369" s="6">
        <v>81</v>
      </c>
      <c r="F369" s="6">
        <v>18</v>
      </c>
    </row>
    <row r="370" spans="1:6" x14ac:dyDescent="0.25">
      <c r="A370" t="s">
        <v>72</v>
      </c>
      <c r="B370" s="6" t="s">
        <v>703</v>
      </c>
      <c r="C370" s="3" t="s">
        <v>1205</v>
      </c>
      <c r="D370" s="6">
        <v>70</v>
      </c>
      <c r="E370" s="6">
        <v>73</v>
      </c>
      <c r="F370" s="6">
        <v>18</v>
      </c>
    </row>
    <row r="371" spans="1:6" x14ac:dyDescent="0.25">
      <c r="A371" t="s">
        <v>72</v>
      </c>
      <c r="B371" s="6" t="s">
        <v>958</v>
      </c>
      <c r="C371" s="3" t="s">
        <v>1206</v>
      </c>
      <c r="D371" s="6">
        <v>72</v>
      </c>
      <c r="E371" s="6">
        <v>77</v>
      </c>
      <c r="F371" s="6">
        <v>20</v>
      </c>
    </row>
    <row r="372" spans="1:6" x14ac:dyDescent="0.25">
      <c r="A372" t="s">
        <v>72</v>
      </c>
      <c r="B372" s="6" t="s">
        <v>297</v>
      </c>
      <c r="C372" s="3" t="s">
        <v>298</v>
      </c>
      <c r="D372" s="6">
        <v>72</v>
      </c>
      <c r="E372" s="6">
        <v>74</v>
      </c>
      <c r="F372" s="6">
        <v>17</v>
      </c>
    </row>
    <row r="373" spans="1:6" x14ac:dyDescent="0.25">
      <c r="A373" t="s">
        <v>72</v>
      </c>
      <c r="B373" t="s">
        <v>975</v>
      </c>
      <c r="C373" s="3" t="s">
        <v>1207</v>
      </c>
      <c r="D373">
        <v>76</v>
      </c>
      <c r="E373">
        <v>77</v>
      </c>
      <c r="F373">
        <v>20</v>
      </c>
    </row>
    <row r="374" spans="1:6" x14ac:dyDescent="0.25">
      <c r="A374" t="s">
        <v>72</v>
      </c>
      <c r="B374" t="s">
        <v>980</v>
      </c>
      <c r="C374" s="3" t="s">
        <v>1208</v>
      </c>
      <c r="D374">
        <v>72</v>
      </c>
      <c r="E374">
        <v>75</v>
      </c>
      <c r="F374">
        <v>19</v>
      </c>
    </row>
    <row r="375" spans="1:6" x14ac:dyDescent="0.25">
      <c r="A375" t="s">
        <v>72</v>
      </c>
      <c r="B375" t="s">
        <v>509</v>
      </c>
      <c r="C375" s="3" t="s">
        <v>510</v>
      </c>
      <c r="D375">
        <v>74</v>
      </c>
      <c r="E375">
        <v>76</v>
      </c>
      <c r="F375">
        <v>22</v>
      </c>
    </row>
    <row r="376" spans="1:6" x14ac:dyDescent="0.25">
      <c r="A376" t="s">
        <v>72</v>
      </c>
      <c r="B376" t="s">
        <v>801</v>
      </c>
      <c r="C376" s="3" t="s">
        <v>1209</v>
      </c>
      <c r="D376">
        <v>72</v>
      </c>
      <c r="E376">
        <v>74</v>
      </c>
      <c r="F376">
        <v>21</v>
      </c>
    </row>
    <row r="377" spans="1:6" x14ac:dyDescent="0.25">
      <c r="A377" t="s">
        <v>72</v>
      </c>
      <c r="B377" t="s">
        <v>706</v>
      </c>
      <c r="C377" s="3" t="s">
        <v>1210</v>
      </c>
      <c r="D377">
        <v>73</v>
      </c>
      <c r="E377">
        <v>75</v>
      </c>
      <c r="F377">
        <v>19</v>
      </c>
    </row>
    <row r="378" spans="1:6" x14ac:dyDescent="0.25">
      <c r="A378" t="s">
        <v>72</v>
      </c>
      <c r="B378" t="s">
        <v>342</v>
      </c>
      <c r="C378" s="3" t="s">
        <v>343</v>
      </c>
      <c r="D378">
        <v>72</v>
      </c>
      <c r="E378">
        <v>78</v>
      </c>
      <c r="F378">
        <v>22</v>
      </c>
    </row>
    <row r="379" spans="1:6" x14ac:dyDescent="0.25">
      <c r="A379" t="s">
        <v>72</v>
      </c>
      <c r="B379" t="s">
        <v>501</v>
      </c>
      <c r="C379" s="3" t="s">
        <v>502</v>
      </c>
      <c r="D379">
        <v>71</v>
      </c>
      <c r="E379">
        <v>76</v>
      </c>
      <c r="F379">
        <v>23</v>
      </c>
    </row>
    <row r="380" spans="1:6" x14ac:dyDescent="0.25">
      <c r="A380" t="s">
        <v>72</v>
      </c>
      <c r="B380" t="s">
        <v>567</v>
      </c>
      <c r="C380" s="3" t="s">
        <v>1211</v>
      </c>
      <c r="D380">
        <v>78</v>
      </c>
      <c r="E380">
        <v>82</v>
      </c>
      <c r="F380">
        <v>24</v>
      </c>
    </row>
    <row r="381" spans="1:6" x14ac:dyDescent="0.25">
      <c r="A381" t="s">
        <v>72</v>
      </c>
      <c r="B381" t="s">
        <v>856</v>
      </c>
      <c r="C381" s="3" t="s">
        <v>1212</v>
      </c>
      <c r="D381">
        <v>73</v>
      </c>
      <c r="E381">
        <v>75</v>
      </c>
      <c r="F381">
        <v>19</v>
      </c>
    </row>
    <row r="382" spans="1:6" x14ac:dyDescent="0.25">
      <c r="A382" t="s">
        <v>72</v>
      </c>
      <c r="B382" t="s">
        <v>709</v>
      </c>
      <c r="C382" s="3" t="s">
        <v>1213</v>
      </c>
      <c r="D382">
        <v>75</v>
      </c>
      <c r="E382">
        <v>78</v>
      </c>
      <c r="F382">
        <v>22</v>
      </c>
    </row>
    <row r="383" spans="1:6" x14ac:dyDescent="0.25">
      <c r="A383" t="s">
        <v>72</v>
      </c>
      <c r="B383" t="s">
        <v>499</v>
      </c>
      <c r="C383" s="3" t="s">
        <v>500</v>
      </c>
      <c r="D383">
        <v>78</v>
      </c>
      <c r="E383">
        <v>84</v>
      </c>
      <c r="F383">
        <v>22</v>
      </c>
    </row>
    <row r="384" spans="1:6" x14ac:dyDescent="0.25">
      <c r="A384" t="s">
        <v>72</v>
      </c>
      <c r="B384" t="s">
        <v>340</v>
      </c>
      <c r="C384" s="3" t="s">
        <v>341</v>
      </c>
      <c r="D384">
        <v>74</v>
      </c>
      <c r="E384">
        <v>75</v>
      </c>
      <c r="F384">
        <v>22</v>
      </c>
    </row>
    <row r="385" spans="1:7" x14ac:dyDescent="0.25">
      <c r="A385" t="s">
        <v>72</v>
      </c>
      <c r="B385" t="s">
        <v>800</v>
      </c>
      <c r="C385" s="3" t="s">
        <v>1214</v>
      </c>
      <c r="D385">
        <v>66</v>
      </c>
      <c r="E385">
        <v>68</v>
      </c>
      <c r="F385">
        <v>19</v>
      </c>
    </row>
    <row r="386" spans="1:7" x14ac:dyDescent="0.25">
      <c r="A386" t="s">
        <v>72</v>
      </c>
      <c r="B386" t="s">
        <v>939</v>
      </c>
      <c r="C386" s="3" t="s">
        <v>1215</v>
      </c>
      <c r="D386">
        <v>72</v>
      </c>
      <c r="E386">
        <v>73</v>
      </c>
      <c r="F386">
        <v>18</v>
      </c>
    </row>
    <row r="387" spans="1:7" x14ac:dyDescent="0.25">
      <c r="A387" t="s">
        <v>72</v>
      </c>
      <c r="B387" t="s">
        <v>855</v>
      </c>
      <c r="C387" s="3" t="s">
        <v>1216</v>
      </c>
      <c r="D387">
        <v>78</v>
      </c>
      <c r="E387">
        <v>76</v>
      </c>
      <c r="F387">
        <v>20</v>
      </c>
    </row>
    <row r="388" spans="1:7" x14ac:dyDescent="0.25">
      <c r="A388" t="s">
        <v>72</v>
      </c>
      <c r="B388" t="s">
        <v>832</v>
      </c>
      <c r="C388" s="3" t="s">
        <v>1217</v>
      </c>
      <c r="D388">
        <v>68</v>
      </c>
      <c r="E388">
        <v>81</v>
      </c>
      <c r="F388">
        <v>22</v>
      </c>
    </row>
    <row r="389" spans="1:7" x14ac:dyDescent="0.25">
      <c r="A389" t="s">
        <v>72</v>
      </c>
      <c r="B389" t="s">
        <v>137</v>
      </c>
      <c r="C389" s="3" t="s">
        <v>138</v>
      </c>
      <c r="D389">
        <v>70</v>
      </c>
      <c r="E389">
        <v>73</v>
      </c>
      <c r="F389">
        <v>22</v>
      </c>
    </row>
    <row r="390" spans="1:7" x14ac:dyDescent="0.25">
      <c r="A390" t="s">
        <v>72</v>
      </c>
      <c r="B390" t="s">
        <v>979</v>
      </c>
      <c r="C390" s="3" t="s">
        <v>1218</v>
      </c>
      <c r="D390">
        <v>76</v>
      </c>
      <c r="E390">
        <v>78</v>
      </c>
      <c r="F390">
        <v>22</v>
      </c>
    </row>
    <row r="391" spans="1:7" x14ac:dyDescent="0.25">
      <c r="A391" t="s">
        <v>72</v>
      </c>
      <c r="B391" t="s">
        <v>1219</v>
      </c>
      <c r="C391" s="3" t="s">
        <v>1220</v>
      </c>
      <c r="D391">
        <v>79</v>
      </c>
      <c r="E391">
        <v>75</v>
      </c>
      <c r="F391">
        <v>20</v>
      </c>
      <c r="G391" t="s">
        <v>1000</v>
      </c>
    </row>
    <row r="392" spans="1:7" x14ac:dyDescent="0.25">
      <c r="A392" t="s">
        <v>72</v>
      </c>
      <c r="B392" t="s">
        <v>237</v>
      </c>
      <c r="C392" s="3" t="s">
        <v>238</v>
      </c>
      <c r="D392">
        <v>70</v>
      </c>
      <c r="E392">
        <v>71</v>
      </c>
      <c r="F392">
        <v>22</v>
      </c>
    </row>
    <row r="393" spans="1:7" x14ac:dyDescent="0.25">
      <c r="A393" t="s">
        <v>72</v>
      </c>
      <c r="B393" t="s">
        <v>415</v>
      </c>
      <c r="C393" s="3" t="s">
        <v>416</v>
      </c>
      <c r="D393">
        <v>74</v>
      </c>
      <c r="E393">
        <v>73</v>
      </c>
      <c r="F393">
        <v>20</v>
      </c>
    </row>
    <row r="394" spans="1:7" x14ac:dyDescent="0.25">
      <c r="A394" t="s">
        <v>72</v>
      </c>
      <c r="B394" t="s">
        <v>698</v>
      </c>
      <c r="C394" s="3" t="s">
        <v>1221</v>
      </c>
      <c r="D394">
        <v>68</v>
      </c>
      <c r="E394">
        <v>69</v>
      </c>
      <c r="F394">
        <v>20</v>
      </c>
    </row>
    <row r="395" spans="1:7" x14ac:dyDescent="0.25">
      <c r="A395" t="s">
        <v>72</v>
      </c>
      <c r="B395" t="s">
        <v>936</v>
      </c>
      <c r="C395" s="3" t="s">
        <v>1222</v>
      </c>
      <c r="D395">
        <v>70</v>
      </c>
      <c r="E395">
        <v>74</v>
      </c>
      <c r="F395">
        <v>20</v>
      </c>
    </row>
    <row r="396" spans="1:7" x14ac:dyDescent="0.25">
      <c r="A396" t="s">
        <v>72</v>
      </c>
      <c r="B396" s="6" t="s">
        <v>829</v>
      </c>
      <c r="C396" s="3" t="s">
        <v>1223</v>
      </c>
      <c r="D396" s="6">
        <v>69</v>
      </c>
      <c r="E396" s="6">
        <v>72</v>
      </c>
      <c r="F396" s="6">
        <v>19.7</v>
      </c>
    </row>
    <row r="397" spans="1:7" x14ac:dyDescent="0.25">
      <c r="A397" t="s">
        <v>72</v>
      </c>
      <c r="B397" s="6" t="s">
        <v>959</v>
      </c>
      <c r="C397" s="3" t="s">
        <v>1224</v>
      </c>
      <c r="D397" s="6">
        <v>78</v>
      </c>
      <c r="E397" s="6">
        <v>80.5</v>
      </c>
      <c r="F397" s="6">
        <v>22</v>
      </c>
    </row>
    <row r="398" spans="1:7" x14ac:dyDescent="0.25">
      <c r="A398" t="s">
        <v>72</v>
      </c>
      <c r="B398" s="6" t="s">
        <v>495</v>
      </c>
      <c r="C398" s="3" t="s">
        <v>496</v>
      </c>
      <c r="D398" s="6">
        <v>75.5</v>
      </c>
      <c r="E398" s="6">
        <v>73</v>
      </c>
      <c r="F398" s="6">
        <v>20</v>
      </c>
    </row>
    <row r="399" spans="1:7" x14ac:dyDescent="0.25">
      <c r="A399" t="s">
        <v>72</v>
      </c>
      <c r="B399" t="s">
        <v>1225</v>
      </c>
      <c r="C399" s="3" t="s">
        <v>1226</v>
      </c>
      <c r="D399">
        <v>70</v>
      </c>
      <c r="E399">
        <v>74</v>
      </c>
      <c r="F399">
        <v>20</v>
      </c>
    </row>
    <row r="400" spans="1:7" x14ac:dyDescent="0.25">
      <c r="A400" t="s">
        <v>72</v>
      </c>
      <c r="B400" s="6" t="s">
        <v>61</v>
      </c>
      <c r="C400" s="3" t="s">
        <v>228</v>
      </c>
      <c r="D400" s="6">
        <v>71.02</v>
      </c>
      <c r="E400" s="6">
        <v>75.8</v>
      </c>
      <c r="F400" s="6">
        <v>19.43</v>
      </c>
      <c r="G400" t="s">
        <v>1227</v>
      </c>
    </row>
    <row r="401" spans="1:6" x14ac:dyDescent="0.25">
      <c r="A401" t="s">
        <v>72</v>
      </c>
      <c r="B401" s="6" t="s">
        <v>568</v>
      </c>
      <c r="C401" s="3" t="s">
        <v>1228</v>
      </c>
      <c r="D401" s="6">
        <v>78.92</v>
      </c>
      <c r="E401" s="6">
        <v>82.43</v>
      </c>
      <c r="F401" s="6">
        <v>22.73</v>
      </c>
    </row>
    <row r="402" spans="1:6" x14ac:dyDescent="0.25">
      <c r="A402" t="s">
        <v>72</v>
      </c>
      <c r="B402" s="6" t="s">
        <v>973</v>
      </c>
      <c r="C402" s="3" t="s">
        <v>1229</v>
      </c>
      <c r="D402" s="6">
        <v>76.97</v>
      </c>
      <c r="E402" s="6">
        <v>80.12</v>
      </c>
      <c r="F402" s="6">
        <v>22.36</v>
      </c>
    </row>
    <row r="403" spans="1:6" x14ac:dyDescent="0.25">
      <c r="A403" t="s">
        <v>72</v>
      </c>
      <c r="B403" s="6" t="s">
        <v>254</v>
      </c>
      <c r="C403" s="3" t="s">
        <v>1230</v>
      </c>
      <c r="D403" s="6">
        <v>78.489999999999995</v>
      </c>
      <c r="E403" s="6">
        <v>83.55</v>
      </c>
      <c r="F403" s="6">
        <v>21.27</v>
      </c>
    </row>
    <row r="404" spans="1:6" x14ac:dyDescent="0.25">
      <c r="A404" t="s">
        <v>72</v>
      </c>
      <c r="B404" s="6" t="s">
        <v>884</v>
      </c>
      <c r="C404" s="3" t="s">
        <v>1231</v>
      </c>
      <c r="D404" s="6">
        <v>75.08</v>
      </c>
      <c r="E404" s="6">
        <v>78.260000000000005</v>
      </c>
      <c r="F404" s="6">
        <v>19.350000000000001</v>
      </c>
    </row>
    <row r="405" spans="1:6" x14ac:dyDescent="0.25">
      <c r="A405" t="s">
        <v>72</v>
      </c>
      <c r="B405" s="6" t="s">
        <v>708</v>
      </c>
      <c r="C405" s="3" t="s">
        <v>1232</v>
      </c>
      <c r="D405" s="6">
        <v>68.34</v>
      </c>
      <c r="E405" s="6">
        <v>73.459999999999994</v>
      </c>
      <c r="F405" s="6">
        <v>24.09</v>
      </c>
    </row>
    <row r="406" spans="1:6" x14ac:dyDescent="0.25">
      <c r="A406" t="s">
        <v>72</v>
      </c>
      <c r="B406" s="6" t="s">
        <v>580</v>
      </c>
      <c r="C406" s="3" t="s">
        <v>1233</v>
      </c>
      <c r="D406" s="6">
        <v>77.39</v>
      </c>
      <c r="E406" s="6">
        <v>81.28</v>
      </c>
      <c r="F406" s="6">
        <v>23.37</v>
      </c>
    </row>
    <row r="407" spans="1:6" x14ac:dyDescent="0.25">
      <c r="A407" t="s">
        <v>72</v>
      </c>
      <c r="B407" s="6" t="s">
        <v>408</v>
      </c>
      <c r="C407" s="3" t="s">
        <v>409</v>
      </c>
      <c r="D407" s="6">
        <v>72.58</v>
      </c>
      <c r="E407" s="6">
        <v>69.55</v>
      </c>
      <c r="F407" s="6">
        <v>21.37</v>
      </c>
    </row>
    <row r="408" spans="1:6" x14ac:dyDescent="0.25">
      <c r="A408" t="s">
        <v>72</v>
      </c>
      <c r="B408" s="6" t="s">
        <v>1234</v>
      </c>
      <c r="C408" s="3" t="s">
        <v>242</v>
      </c>
      <c r="D408" s="6">
        <v>80.75</v>
      </c>
      <c r="E408" s="6">
        <v>81.260000000000005</v>
      </c>
      <c r="F408" s="6">
        <v>20.59</v>
      </c>
    </row>
    <row r="409" spans="1:6" x14ac:dyDescent="0.25">
      <c r="A409" t="s">
        <v>72</v>
      </c>
      <c r="B409" s="6" t="s">
        <v>436</v>
      </c>
      <c r="C409" s="3" t="s">
        <v>1235</v>
      </c>
      <c r="D409" s="6">
        <v>75.290000000000006</v>
      </c>
      <c r="E409" s="6">
        <v>79.06</v>
      </c>
      <c r="F409" s="6">
        <v>21.17</v>
      </c>
    </row>
    <row r="410" spans="1:6" x14ac:dyDescent="0.25">
      <c r="A410" t="s">
        <v>72</v>
      </c>
      <c r="B410" s="6" t="s">
        <v>277</v>
      </c>
      <c r="C410" s="3" t="s">
        <v>278</v>
      </c>
      <c r="D410" s="6">
        <v>74.73</v>
      </c>
      <c r="E410" s="6">
        <v>76.36</v>
      </c>
      <c r="F410" s="6">
        <v>20.87</v>
      </c>
    </row>
    <row r="411" spans="1:6" x14ac:dyDescent="0.25">
      <c r="A411" t="s">
        <v>72</v>
      </c>
      <c r="B411" s="6" t="s">
        <v>475</v>
      </c>
      <c r="C411" s="3" t="s">
        <v>1236</v>
      </c>
      <c r="D411" s="6">
        <v>70.66</v>
      </c>
      <c r="E411" s="6">
        <v>77.69</v>
      </c>
      <c r="F411" s="6">
        <v>19.11</v>
      </c>
    </row>
    <row r="412" spans="1:6" x14ac:dyDescent="0.25">
      <c r="A412" t="s">
        <v>72</v>
      </c>
      <c r="B412" s="6" t="s">
        <v>131</v>
      </c>
      <c r="C412" s="3" t="s">
        <v>132</v>
      </c>
      <c r="D412" s="6">
        <v>76.95</v>
      </c>
      <c r="E412" s="6">
        <v>79.83</v>
      </c>
      <c r="F412" s="6">
        <v>21.01</v>
      </c>
    </row>
    <row r="413" spans="1:6" x14ac:dyDescent="0.25">
      <c r="A413" t="s">
        <v>72</v>
      </c>
      <c r="B413" s="6" t="s">
        <v>809</v>
      </c>
      <c r="C413" s="3" t="s">
        <v>1237</v>
      </c>
      <c r="D413" s="6">
        <v>71.86</v>
      </c>
      <c r="E413" s="6">
        <v>75.09</v>
      </c>
      <c r="F413" s="6">
        <v>18.489999999999998</v>
      </c>
    </row>
    <row r="414" spans="1:6" x14ac:dyDescent="0.25">
      <c r="A414" t="s">
        <v>72</v>
      </c>
      <c r="B414" s="6" t="s">
        <v>505</v>
      </c>
      <c r="C414" s="3" t="s">
        <v>506</v>
      </c>
      <c r="D414" s="6">
        <v>67.58</v>
      </c>
      <c r="E414" s="6">
        <v>75.39</v>
      </c>
      <c r="F414" s="6">
        <v>19.91</v>
      </c>
    </row>
    <row r="415" spans="1:6" x14ac:dyDescent="0.25">
      <c r="A415" t="s">
        <v>72</v>
      </c>
      <c r="B415" s="6" t="s">
        <v>482</v>
      </c>
      <c r="C415" s="3" t="s">
        <v>1238</v>
      </c>
      <c r="D415" s="6">
        <v>69.77</v>
      </c>
      <c r="E415" s="6">
        <v>75.87</v>
      </c>
      <c r="F415" s="6">
        <v>17.940000000000001</v>
      </c>
    </row>
    <row r="416" spans="1:6" x14ac:dyDescent="0.25">
      <c r="A416" t="s">
        <v>72</v>
      </c>
      <c r="B416" s="6" t="s">
        <v>185</v>
      </c>
      <c r="C416" s="3" t="s">
        <v>1239</v>
      </c>
      <c r="D416" s="6">
        <v>71.41</v>
      </c>
      <c r="E416" s="6">
        <v>70.849999999999994</v>
      </c>
      <c r="F416" s="6">
        <v>18.5</v>
      </c>
    </row>
    <row r="417" spans="1:6" x14ac:dyDescent="0.25">
      <c r="A417" t="s">
        <v>72</v>
      </c>
      <c r="B417" s="6" t="s">
        <v>863</v>
      </c>
      <c r="C417" s="3" t="s">
        <v>1240</v>
      </c>
      <c r="D417" s="6">
        <v>69.28</v>
      </c>
      <c r="E417" s="6">
        <v>76.709999999999994</v>
      </c>
      <c r="F417" s="6">
        <v>22.07</v>
      </c>
    </row>
    <row r="418" spans="1:6" x14ac:dyDescent="0.25">
      <c r="A418" t="s">
        <v>72</v>
      </c>
      <c r="B418" s="6" t="s">
        <v>908</v>
      </c>
      <c r="C418" s="3" t="s">
        <v>1241</v>
      </c>
      <c r="D418" s="6">
        <v>72.489999999999995</v>
      </c>
      <c r="E418" s="6">
        <v>78.56</v>
      </c>
      <c r="F418" s="6">
        <v>20.81</v>
      </c>
    </row>
    <row r="419" spans="1:6" x14ac:dyDescent="0.25">
      <c r="A419" t="s">
        <v>72</v>
      </c>
      <c r="B419" s="6" t="s">
        <v>643</v>
      </c>
      <c r="C419" s="3" t="s">
        <v>1242</v>
      </c>
      <c r="D419" s="6">
        <v>74.73</v>
      </c>
      <c r="E419" s="6">
        <v>79.62</v>
      </c>
      <c r="F419" s="6">
        <v>19.899999999999999</v>
      </c>
    </row>
    <row r="420" spans="1:6" x14ac:dyDescent="0.25">
      <c r="A420" t="s">
        <v>72</v>
      </c>
      <c r="B420" s="6" t="s">
        <v>163</v>
      </c>
      <c r="C420" s="3" t="s">
        <v>1243</v>
      </c>
      <c r="D420" s="6">
        <v>65.37</v>
      </c>
      <c r="E420" s="6">
        <v>69.959999999999994</v>
      </c>
      <c r="F420" s="6">
        <v>20.46</v>
      </c>
    </row>
    <row r="421" spans="1:6" x14ac:dyDescent="0.25">
      <c r="A421" t="s">
        <v>72</v>
      </c>
      <c r="B421" s="6" t="s">
        <v>578</v>
      </c>
      <c r="C421" s="3" t="s">
        <v>1244</v>
      </c>
      <c r="D421" s="6">
        <v>72.010000000000005</v>
      </c>
      <c r="E421" s="6">
        <v>76.33</v>
      </c>
      <c r="F421" s="6">
        <v>20.309999999999999</v>
      </c>
    </row>
    <row r="422" spans="1:6" x14ac:dyDescent="0.25">
      <c r="A422" t="s">
        <v>72</v>
      </c>
      <c r="B422" s="6" t="s">
        <v>833</v>
      </c>
      <c r="C422" s="3" t="s">
        <v>1245</v>
      </c>
      <c r="D422" s="6">
        <v>79.67</v>
      </c>
      <c r="E422" s="6">
        <v>81.430000000000007</v>
      </c>
      <c r="F422" s="6">
        <v>19.75</v>
      </c>
    </row>
    <row r="423" spans="1:6" x14ac:dyDescent="0.25">
      <c r="A423" t="s">
        <v>72</v>
      </c>
      <c r="B423" s="6" t="s">
        <v>410</v>
      </c>
      <c r="C423" s="3" t="s">
        <v>411</v>
      </c>
      <c r="D423" s="6">
        <v>68.3</v>
      </c>
      <c r="E423" s="6">
        <v>71.94</v>
      </c>
      <c r="F423" s="6">
        <v>20.23</v>
      </c>
    </row>
    <row r="424" spans="1:6" x14ac:dyDescent="0.25">
      <c r="A424" t="s">
        <v>72</v>
      </c>
      <c r="B424" s="6" t="s">
        <v>493</v>
      </c>
      <c r="C424" s="3" t="s">
        <v>494</v>
      </c>
      <c r="D424" s="6">
        <v>71.41</v>
      </c>
      <c r="E424" s="6">
        <v>72.89</v>
      </c>
      <c r="F424" s="6">
        <v>19.04</v>
      </c>
    </row>
    <row r="425" spans="1:6" x14ac:dyDescent="0.25">
      <c r="A425" t="s">
        <v>72</v>
      </c>
      <c r="B425" s="6" t="s">
        <v>243</v>
      </c>
      <c r="C425" s="3" t="s">
        <v>244</v>
      </c>
      <c r="D425" s="6">
        <v>71.959999999999994</v>
      </c>
      <c r="E425" s="6">
        <v>75.64</v>
      </c>
      <c r="F425" s="6">
        <v>19.489999999999998</v>
      </c>
    </row>
    <row r="426" spans="1:6" x14ac:dyDescent="0.25">
      <c r="A426" t="s">
        <v>72</v>
      </c>
      <c r="B426" s="6" t="s">
        <v>632</v>
      </c>
      <c r="C426" s="3" t="s">
        <v>1246</v>
      </c>
      <c r="D426" s="6">
        <v>72.06</v>
      </c>
      <c r="E426" s="6">
        <v>75.62</v>
      </c>
      <c r="F426" s="6">
        <v>18.22</v>
      </c>
    </row>
    <row r="427" spans="1:6" x14ac:dyDescent="0.25">
      <c r="A427" t="s">
        <v>72</v>
      </c>
      <c r="B427" s="6" t="s">
        <v>942</v>
      </c>
      <c r="C427" s="3" t="s">
        <v>1247</v>
      </c>
      <c r="D427" s="6">
        <v>74.61</v>
      </c>
      <c r="E427" s="6">
        <v>79.31</v>
      </c>
      <c r="F427" s="6">
        <v>20.09</v>
      </c>
    </row>
    <row r="428" spans="1:6" x14ac:dyDescent="0.25">
      <c r="A428" t="s">
        <v>72</v>
      </c>
      <c r="B428" s="6" t="s">
        <v>47</v>
      </c>
      <c r="C428" s="3" t="s">
        <v>139</v>
      </c>
      <c r="D428" s="6">
        <v>79.58</v>
      </c>
      <c r="E428" s="6">
        <v>83.78</v>
      </c>
      <c r="F428" s="6">
        <v>21.54</v>
      </c>
    </row>
    <row r="429" spans="1:6" x14ac:dyDescent="0.25">
      <c r="A429" t="s">
        <v>72</v>
      </c>
      <c r="B429" s="6" t="s">
        <v>571</v>
      </c>
      <c r="C429" s="3" t="s">
        <v>1248</v>
      </c>
      <c r="D429" s="6">
        <v>69.31</v>
      </c>
      <c r="E429" s="6">
        <v>69.23</v>
      </c>
      <c r="F429" s="6">
        <v>18.45</v>
      </c>
    </row>
    <row r="430" spans="1:6" x14ac:dyDescent="0.25">
      <c r="A430" t="s">
        <v>72</v>
      </c>
      <c r="B430" s="6" t="s">
        <v>480</v>
      </c>
      <c r="C430" s="3" t="s">
        <v>1249</v>
      </c>
      <c r="D430" s="6">
        <v>72.13</v>
      </c>
      <c r="E430" s="6">
        <v>71.16</v>
      </c>
      <c r="F430" s="6">
        <v>18.600000000000001</v>
      </c>
    </row>
    <row r="431" spans="1:6" x14ac:dyDescent="0.25">
      <c r="A431" t="s">
        <v>72</v>
      </c>
      <c r="B431" s="6" t="s">
        <v>281</v>
      </c>
      <c r="C431" s="3" t="s">
        <v>282</v>
      </c>
      <c r="D431" s="6">
        <v>69.680000000000007</v>
      </c>
      <c r="E431" s="6">
        <v>72.510000000000005</v>
      </c>
      <c r="F431" s="6">
        <v>18.8</v>
      </c>
    </row>
    <row r="432" spans="1:6" x14ac:dyDescent="0.25">
      <c r="A432" t="s">
        <v>72</v>
      </c>
      <c r="B432" s="6" t="s">
        <v>910</v>
      </c>
      <c r="C432" s="3" t="s">
        <v>1250</v>
      </c>
      <c r="D432" s="6">
        <v>67.56</v>
      </c>
      <c r="E432" s="6">
        <v>68.849999999999994</v>
      </c>
      <c r="F432" s="6">
        <v>18.66</v>
      </c>
    </row>
    <row r="433" spans="1:7" x14ac:dyDescent="0.25">
      <c r="A433" t="s">
        <v>72</v>
      </c>
      <c r="B433" s="6" t="s">
        <v>258</v>
      </c>
      <c r="C433" s="3" t="s">
        <v>1251</v>
      </c>
      <c r="D433" s="6">
        <v>74.19</v>
      </c>
      <c r="E433" s="6">
        <v>81.44</v>
      </c>
      <c r="F433" s="6">
        <v>21.15</v>
      </c>
    </row>
    <row r="434" spans="1:7" x14ac:dyDescent="0.25">
      <c r="A434" t="s">
        <v>72</v>
      </c>
      <c r="B434" s="6" t="s">
        <v>266</v>
      </c>
      <c r="C434" s="3" t="s">
        <v>1252</v>
      </c>
      <c r="D434" s="6">
        <v>67.290000000000006</v>
      </c>
      <c r="E434" s="6">
        <v>74.010000000000005</v>
      </c>
      <c r="F434" s="6">
        <v>20.89</v>
      </c>
    </row>
    <row r="435" spans="1:7" x14ac:dyDescent="0.25">
      <c r="A435" t="s">
        <v>72</v>
      </c>
      <c r="B435" s="6" t="s">
        <v>86</v>
      </c>
      <c r="C435" s="3" t="s">
        <v>87</v>
      </c>
      <c r="D435" s="6">
        <v>69.62</v>
      </c>
      <c r="E435" s="6">
        <v>70.989999999999995</v>
      </c>
      <c r="F435" s="6">
        <v>17.559999999999999</v>
      </c>
    </row>
    <row r="436" spans="1:7" x14ac:dyDescent="0.25">
      <c r="A436" t="s">
        <v>72</v>
      </c>
      <c r="B436" s="6" t="s">
        <v>646</v>
      </c>
      <c r="C436" s="3" t="s">
        <v>1253</v>
      </c>
      <c r="D436" s="6">
        <v>77.010000000000005</v>
      </c>
      <c r="E436" s="6">
        <v>83.7</v>
      </c>
      <c r="F436" s="6">
        <v>20.78</v>
      </c>
    </row>
    <row r="437" spans="1:7" x14ac:dyDescent="0.25">
      <c r="A437" t="s">
        <v>72</v>
      </c>
      <c r="B437" s="6" t="s">
        <v>865</v>
      </c>
      <c r="C437" s="3" t="s">
        <v>1254</v>
      </c>
      <c r="D437" s="6">
        <v>74.05</v>
      </c>
      <c r="E437" s="6">
        <v>76.5</v>
      </c>
      <c r="F437" s="6">
        <v>20.57</v>
      </c>
    </row>
    <row r="438" spans="1:7" x14ac:dyDescent="0.25">
      <c r="A438" t="s">
        <v>72</v>
      </c>
      <c r="B438" s="6" t="s">
        <v>558</v>
      </c>
      <c r="C438" s="3" t="s">
        <v>1255</v>
      </c>
      <c r="D438" s="6">
        <v>78.7</v>
      </c>
      <c r="E438" s="6">
        <v>80.680000000000007</v>
      </c>
      <c r="F438" s="6">
        <v>20.100000000000001</v>
      </c>
    </row>
    <row r="439" spans="1:7" x14ac:dyDescent="0.25">
      <c r="A439" t="s">
        <v>72</v>
      </c>
      <c r="B439" s="6" t="s">
        <v>564</v>
      </c>
      <c r="C439" s="3" t="s">
        <v>1256</v>
      </c>
      <c r="D439" s="6">
        <v>73.84</v>
      </c>
      <c r="E439" s="6">
        <v>73.260000000000005</v>
      </c>
      <c r="F439" s="6">
        <v>18.27</v>
      </c>
    </row>
    <row r="440" spans="1:7" x14ac:dyDescent="0.25">
      <c r="A440" t="s">
        <v>72</v>
      </c>
      <c r="B440" s="6" t="s">
        <v>336</v>
      </c>
      <c r="C440" s="3" t="s">
        <v>337</v>
      </c>
      <c r="D440" s="6">
        <v>76.2</v>
      </c>
      <c r="E440" s="6">
        <v>76.22</v>
      </c>
      <c r="F440" s="6">
        <v>18.059999999999999</v>
      </c>
    </row>
    <row r="441" spans="1:7" x14ac:dyDescent="0.25">
      <c r="A441" t="s">
        <v>72</v>
      </c>
      <c r="B441" s="6" t="s">
        <v>895</v>
      </c>
      <c r="C441" s="3" t="s">
        <v>1257</v>
      </c>
      <c r="D441" s="6">
        <v>75.98</v>
      </c>
      <c r="E441" s="6">
        <v>80.040000000000006</v>
      </c>
      <c r="F441" s="6">
        <v>20.190000000000001</v>
      </c>
    </row>
    <row r="442" spans="1:7" x14ac:dyDescent="0.25">
      <c r="A442" t="s">
        <v>72</v>
      </c>
      <c r="B442" s="6" t="s">
        <v>272</v>
      </c>
      <c r="C442" s="3" t="s">
        <v>273</v>
      </c>
      <c r="D442" s="6">
        <v>76.17</v>
      </c>
      <c r="E442" s="6">
        <v>78.81</v>
      </c>
      <c r="F442" s="6">
        <v>18.239999999999998</v>
      </c>
    </row>
    <row r="443" spans="1:7" x14ac:dyDescent="0.25">
      <c r="A443" t="s">
        <v>72</v>
      </c>
      <c r="B443" s="6" t="s">
        <v>974</v>
      </c>
      <c r="C443" s="3" t="s">
        <v>1258</v>
      </c>
      <c r="D443" s="6">
        <v>71.28</v>
      </c>
      <c r="E443" s="6">
        <v>68.67</v>
      </c>
      <c r="F443" s="6">
        <v>18</v>
      </c>
    </row>
    <row r="444" spans="1:7" x14ac:dyDescent="0.25">
      <c r="A444" t="s">
        <v>72</v>
      </c>
      <c r="B444" s="6" t="s">
        <v>1259</v>
      </c>
      <c r="C444" s="3" t="s">
        <v>1260</v>
      </c>
      <c r="D444" s="6">
        <v>78</v>
      </c>
      <c r="E444" s="6">
        <v>82</v>
      </c>
      <c r="F444" s="6">
        <v>20</v>
      </c>
      <c r="G444" t="s">
        <v>1092</v>
      </c>
    </row>
    <row r="445" spans="1:7" x14ac:dyDescent="0.25">
      <c r="A445" t="s">
        <v>72</v>
      </c>
      <c r="B445" s="6" t="s">
        <v>794</v>
      </c>
      <c r="C445" s="3" t="s">
        <v>1261</v>
      </c>
      <c r="D445" s="6">
        <v>72</v>
      </c>
      <c r="E445" s="6">
        <v>71</v>
      </c>
      <c r="F445" s="6">
        <v>18</v>
      </c>
    </row>
    <row r="446" spans="1:7" x14ac:dyDescent="0.25">
      <c r="A446" t="s">
        <v>72</v>
      </c>
      <c r="B446" s="6" t="s">
        <v>707</v>
      </c>
      <c r="C446" s="3" t="s">
        <v>489</v>
      </c>
      <c r="D446" s="6">
        <v>78</v>
      </c>
      <c r="E446" s="6">
        <v>79</v>
      </c>
      <c r="F446" s="6">
        <v>19</v>
      </c>
    </row>
    <row r="447" spans="1:7" x14ac:dyDescent="0.25">
      <c r="A447" t="s">
        <v>72</v>
      </c>
      <c r="B447" s="6" t="s">
        <v>795</v>
      </c>
      <c r="C447" s="3" t="s">
        <v>1262</v>
      </c>
      <c r="D447" s="6">
        <v>77.67</v>
      </c>
      <c r="E447" s="6">
        <v>83.89</v>
      </c>
      <c r="F447" s="6">
        <v>22.37</v>
      </c>
    </row>
    <row r="448" spans="1:7" x14ac:dyDescent="0.25">
      <c r="A448" t="s">
        <v>72</v>
      </c>
      <c r="B448" s="6" t="s">
        <v>88</v>
      </c>
      <c r="C448" s="3" t="s">
        <v>89</v>
      </c>
      <c r="D448" s="6">
        <v>76</v>
      </c>
      <c r="E448" s="6">
        <v>74</v>
      </c>
      <c r="F448" s="6">
        <v>16.54</v>
      </c>
    </row>
    <row r="449" spans="1:7" x14ac:dyDescent="0.25">
      <c r="A449" t="s">
        <v>72</v>
      </c>
      <c r="B449" s="6" t="s">
        <v>63</v>
      </c>
      <c r="C449" s="3" t="s">
        <v>1263</v>
      </c>
      <c r="D449" s="6">
        <v>69</v>
      </c>
      <c r="E449" s="6">
        <v>73</v>
      </c>
      <c r="F449" s="6">
        <v>19</v>
      </c>
    </row>
    <row r="450" spans="1:7" x14ac:dyDescent="0.25">
      <c r="A450" t="s">
        <v>72</v>
      </c>
      <c r="B450" s="6" t="s">
        <v>377</v>
      </c>
      <c r="C450" s="3" t="s">
        <v>1264</v>
      </c>
      <c r="D450" s="6">
        <v>77</v>
      </c>
      <c r="E450" s="6">
        <v>81</v>
      </c>
      <c r="F450" s="6">
        <v>21</v>
      </c>
    </row>
    <row r="451" spans="1:7" x14ac:dyDescent="0.25">
      <c r="A451" t="s">
        <v>72</v>
      </c>
      <c r="B451" s="6" t="s">
        <v>395</v>
      </c>
      <c r="C451" s="3" t="s">
        <v>396</v>
      </c>
      <c r="D451" s="6">
        <v>79</v>
      </c>
      <c r="E451" s="6">
        <v>80</v>
      </c>
      <c r="F451" s="6">
        <v>18</v>
      </c>
    </row>
    <row r="452" spans="1:7" x14ac:dyDescent="0.25">
      <c r="A452" t="s">
        <v>72</v>
      </c>
      <c r="B452" s="6" t="s">
        <v>937</v>
      </c>
      <c r="C452" s="3" t="s">
        <v>1265</v>
      </c>
      <c r="D452" s="6">
        <v>71</v>
      </c>
      <c r="E452" s="6">
        <v>75</v>
      </c>
      <c r="F452" s="6">
        <v>20</v>
      </c>
    </row>
    <row r="453" spans="1:7" x14ac:dyDescent="0.25">
      <c r="A453" t="s">
        <v>72</v>
      </c>
      <c r="B453" s="6" t="s">
        <v>1266</v>
      </c>
      <c r="C453" s="3" t="s">
        <v>1267</v>
      </c>
      <c r="D453" s="6">
        <v>71</v>
      </c>
      <c r="E453" s="6">
        <v>74</v>
      </c>
      <c r="F453" s="6">
        <v>18</v>
      </c>
      <c r="G453" t="s">
        <v>1092</v>
      </c>
    </row>
    <row r="454" spans="1:7" x14ac:dyDescent="0.25">
      <c r="A454" t="s">
        <v>72</v>
      </c>
      <c r="B454" s="6" t="s">
        <v>992</v>
      </c>
      <c r="C454" s="3" t="s">
        <v>1268</v>
      </c>
      <c r="D454" s="6">
        <v>72</v>
      </c>
      <c r="E454" s="6">
        <v>80</v>
      </c>
      <c r="F454" s="6">
        <v>21</v>
      </c>
    </row>
    <row r="455" spans="1:7" x14ac:dyDescent="0.25">
      <c r="A455" t="s">
        <v>72</v>
      </c>
      <c r="B455" s="6" t="s">
        <v>1269</v>
      </c>
      <c r="C455" s="3" t="s">
        <v>1270</v>
      </c>
      <c r="D455" s="6">
        <v>71</v>
      </c>
      <c r="E455" s="6">
        <v>75</v>
      </c>
      <c r="F455" s="6">
        <v>19</v>
      </c>
    </row>
    <row r="456" spans="1:7" x14ac:dyDescent="0.25">
      <c r="A456" t="s">
        <v>72</v>
      </c>
      <c r="B456" s="6" t="s">
        <v>702</v>
      </c>
      <c r="C456" s="3" t="s">
        <v>1271</v>
      </c>
      <c r="D456" s="6">
        <v>70</v>
      </c>
      <c r="E456" s="6">
        <v>74</v>
      </c>
      <c r="F456" s="6">
        <v>19</v>
      </c>
    </row>
    <row r="457" spans="1:7" x14ac:dyDescent="0.25">
      <c r="A457" t="s">
        <v>72</v>
      </c>
      <c r="B457" s="6" t="s">
        <v>135</v>
      </c>
      <c r="C457" s="3" t="s">
        <v>136</v>
      </c>
      <c r="D457" s="6">
        <v>71</v>
      </c>
      <c r="E457" s="6">
        <v>76</v>
      </c>
      <c r="F457" s="6">
        <v>18</v>
      </c>
    </row>
    <row r="458" spans="1:7" x14ac:dyDescent="0.25">
      <c r="A458" t="s">
        <v>72</v>
      </c>
      <c r="B458" s="6" t="s">
        <v>1272</v>
      </c>
      <c r="C458" s="3" t="s">
        <v>1273</v>
      </c>
      <c r="D458" s="6">
        <v>71</v>
      </c>
      <c r="E458" s="6">
        <v>69</v>
      </c>
      <c r="F458" s="6">
        <v>17</v>
      </c>
    </row>
    <row r="459" spans="1:7" x14ac:dyDescent="0.25">
      <c r="A459" t="s">
        <v>72</v>
      </c>
      <c r="B459" s="6" t="s">
        <v>229</v>
      </c>
      <c r="C459" s="3" t="s">
        <v>230</v>
      </c>
      <c r="D459" s="6">
        <v>67</v>
      </c>
      <c r="E459" s="6">
        <v>74</v>
      </c>
      <c r="F459" s="6">
        <v>19</v>
      </c>
    </row>
    <row r="460" spans="1:7" x14ac:dyDescent="0.25">
      <c r="A460" t="s">
        <v>72</v>
      </c>
      <c r="B460" s="6" t="s">
        <v>1274</v>
      </c>
      <c r="C460" s="3" t="s">
        <v>1275</v>
      </c>
      <c r="D460" s="6">
        <v>71</v>
      </c>
      <c r="E460" s="6">
        <v>74</v>
      </c>
      <c r="F460" s="6">
        <v>20</v>
      </c>
    </row>
    <row r="461" spans="1:7" x14ac:dyDescent="0.25">
      <c r="A461" t="s">
        <v>72</v>
      </c>
      <c r="B461" s="6" t="s">
        <v>881</v>
      </c>
      <c r="C461" s="3" t="s">
        <v>1276</v>
      </c>
      <c r="D461" s="6">
        <v>71</v>
      </c>
      <c r="E461" s="6">
        <v>73</v>
      </c>
      <c r="F461" s="6">
        <v>19</v>
      </c>
    </row>
    <row r="462" spans="1:7" x14ac:dyDescent="0.25">
      <c r="A462" t="s">
        <v>72</v>
      </c>
      <c r="B462" s="6" t="s">
        <v>887</v>
      </c>
      <c r="C462" s="3" t="s">
        <v>1277</v>
      </c>
      <c r="D462" s="6">
        <v>74</v>
      </c>
      <c r="E462" s="6">
        <v>76</v>
      </c>
      <c r="F462" s="6">
        <v>19</v>
      </c>
    </row>
    <row r="463" spans="1:7" x14ac:dyDescent="0.25">
      <c r="A463" t="s">
        <v>72</v>
      </c>
      <c r="B463" s="6" t="s">
        <v>1278</v>
      </c>
      <c r="C463" s="3" t="s">
        <v>1279</v>
      </c>
      <c r="D463" s="6">
        <v>72</v>
      </c>
      <c r="E463" s="6">
        <v>74</v>
      </c>
      <c r="F463" s="6">
        <v>19</v>
      </c>
      <c r="G463" t="s">
        <v>1092</v>
      </c>
    </row>
    <row r="464" spans="1:7" x14ac:dyDescent="0.25">
      <c r="A464" t="s">
        <v>72</v>
      </c>
      <c r="B464" s="6" t="s">
        <v>854</v>
      </c>
      <c r="C464" s="3" t="s">
        <v>1280</v>
      </c>
      <c r="D464" s="6">
        <v>71</v>
      </c>
      <c r="E464" s="6">
        <v>76</v>
      </c>
      <c r="F464" s="6">
        <v>17</v>
      </c>
    </row>
    <row r="465" spans="1:6" x14ac:dyDescent="0.25">
      <c r="A465" t="s">
        <v>72</v>
      </c>
      <c r="B465" s="6" t="s">
        <v>898</v>
      </c>
      <c r="C465" s="3" t="s">
        <v>1281</v>
      </c>
      <c r="D465" s="6">
        <v>70</v>
      </c>
      <c r="E465" s="6">
        <v>71</v>
      </c>
      <c r="F465" s="6">
        <v>18</v>
      </c>
    </row>
    <row r="466" spans="1:6" x14ac:dyDescent="0.25">
      <c r="A466" t="s">
        <v>72</v>
      </c>
      <c r="B466" s="6" t="s">
        <v>705</v>
      </c>
      <c r="C466" s="3" t="s">
        <v>1282</v>
      </c>
      <c r="D466" s="6">
        <v>73</v>
      </c>
      <c r="E466" s="6">
        <v>72</v>
      </c>
      <c r="F466" s="6">
        <v>19</v>
      </c>
    </row>
    <row r="467" spans="1:6" x14ac:dyDescent="0.25">
      <c r="A467" t="s">
        <v>72</v>
      </c>
      <c r="B467" s="6" t="s">
        <v>133</v>
      </c>
      <c r="C467" s="3" t="s">
        <v>134</v>
      </c>
      <c r="D467" s="6">
        <v>70</v>
      </c>
      <c r="E467" s="6">
        <v>70</v>
      </c>
      <c r="F467" s="6">
        <v>20</v>
      </c>
    </row>
    <row r="468" spans="1:6" x14ac:dyDescent="0.25">
      <c r="A468" t="s">
        <v>72</v>
      </c>
      <c r="B468" s="6" t="s">
        <v>75</v>
      </c>
      <c r="C468" s="3" t="s">
        <v>76</v>
      </c>
      <c r="D468" s="6">
        <v>71</v>
      </c>
      <c r="E468" s="6">
        <v>73</v>
      </c>
      <c r="F468" s="6">
        <v>20</v>
      </c>
    </row>
    <row r="469" spans="1:6" x14ac:dyDescent="0.25">
      <c r="A469" t="s">
        <v>72</v>
      </c>
      <c r="B469" s="6" t="s">
        <v>245</v>
      </c>
      <c r="C469" s="3" t="s">
        <v>246</v>
      </c>
      <c r="D469" s="6">
        <v>73</v>
      </c>
      <c r="E469" s="6">
        <v>75</v>
      </c>
      <c r="F469" s="6">
        <v>20</v>
      </c>
    </row>
    <row r="470" spans="1:6" x14ac:dyDescent="0.25">
      <c r="A470" t="s">
        <v>72</v>
      </c>
      <c r="B470" s="6" t="s">
        <v>290</v>
      </c>
      <c r="C470" s="3" t="s">
        <v>291</v>
      </c>
      <c r="D470" s="6">
        <v>75</v>
      </c>
      <c r="E470" s="6">
        <v>76</v>
      </c>
      <c r="F470" s="6">
        <v>20</v>
      </c>
    </row>
    <row r="471" spans="1:6" x14ac:dyDescent="0.25">
      <c r="A471" t="s">
        <v>72</v>
      </c>
      <c r="B471" s="6" t="s">
        <v>954</v>
      </c>
      <c r="C471" s="3" t="s">
        <v>1283</v>
      </c>
      <c r="D471" s="6">
        <v>63</v>
      </c>
      <c r="E471" s="6">
        <v>71</v>
      </c>
      <c r="F471" s="6">
        <v>18</v>
      </c>
    </row>
    <row r="472" spans="1:6" x14ac:dyDescent="0.25">
      <c r="A472" t="s">
        <v>72</v>
      </c>
      <c r="B472" s="6" t="s">
        <v>1284</v>
      </c>
      <c r="C472" s="3" t="s">
        <v>1285</v>
      </c>
      <c r="D472" s="6">
        <v>72</v>
      </c>
      <c r="E472" s="6">
        <v>76</v>
      </c>
      <c r="F472" s="6">
        <v>18</v>
      </c>
    </row>
    <row r="473" spans="1:6" x14ac:dyDescent="0.25">
      <c r="A473" t="s">
        <v>72</v>
      </c>
      <c r="B473" s="6" t="s">
        <v>129</v>
      </c>
      <c r="C473" s="3" t="s">
        <v>130</v>
      </c>
      <c r="D473" s="6">
        <v>68</v>
      </c>
      <c r="E473" s="6">
        <v>72</v>
      </c>
      <c r="F473" s="6">
        <v>20</v>
      </c>
    </row>
    <row r="474" spans="1:6" x14ac:dyDescent="0.25">
      <c r="A474" t="s">
        <v>72</v>
      </c>
      <c r="B474" s="6" t="s">
        <v>957</v>
      </c>
      <c r="C474" s="3" t="s">
        <v>1286</v>
      </c>
      <c r="D474" s="6">
        <v>73</v>
      </c>
      <c r="E474" s="6">
        <v>73</v>
      </c>
      <c r="F474" s="6">
        <v>18</v>
      </c>
    </row>
    <row r="475" spans="1:6" x14ac:dyDescent="0.25">
      <c r="A475" t="s">
        <v>72</v>
      </c>
      <c r="B475" s="6" t="s">
        <v>1287</v>
      </c>
      <c r="C475" s="3" t="s">
        <v>1288</v>
      </c>
      <c r="D475" s="6">
        <v>72</v>
      </c>
      <c r="E475" s="6">
        <v>75</v>
      </c>
      <c r="F475" s="6">
        <v>19</v>
      </c>
    </row>
    <row r="476" spans="1:6" x14ac:dyDescent="0.25">
      <c r="A476" t="s">
        <v>72</v>
      </c>
      <c r="B476" s="6" t="s">
        <v>226</v>
      </c>
      <c r="C476" s="3" t="s">
        <v>227</v>
      </c>
      <c r="D476" s="6">
        <v>76</v>
      </c>
      <c r="E476" s="6">
        <v>76</v>
      </c>
      <c r="F476" s="6">
        <v>18</v>
      </c>
    </row>
    <row r="477" spans="1:6" x14ac:dyDescent="0.25">
      <c r="A477" t="s">
        <v>72</v>
      </c>
      <c r="B477" s="6" t="s">
        <v>970</v>
      </c>
      <c r="C477" s="3" t="s">
        <v>1289</v>
      </c>
      <c r="D477" s="6">
        <v>77</v>
      </c>
      <c r="E477" s="6">
        <v>81</v>
      </c>
      <c r="F477" s="6">
        <v>21</v>
      </c>
    </row>
    <row r="478" spans="1:6" x14ac:dyDescent="0.25">
      <c r="A478" t="s">
        <v>72</v>
      </c>
      <c r="B478" s="6" t="s">
        <v>559</v>
      </c>
      <c r="C478" s="3" t="s">
        <v>1290</v>
      </c>
      <c r="D478" s="6">
        <v>73</v>
      </c>
      <c r="E478" s="6">
        <v>78</v>
      </c>
      <c r="F478" s="6">
        <v>20</v>
      </c>
    </row>
    <row r="479" spans="1:6" x14ac:dyDescent="0.25">
      <c r="A479" t="s">
        <v>72</v>
      </c>
      <c r="B479" s="6" t="s">
        <v>889</v>
      </c>
      <c r="C479" s="3" t="s">
        <v>1291</v>
      </c>
      <c r="D479" s="6">
        <v>79</v>
      </c>
      <c r="E479" s="6">
        <v>81</v>
      </c>
      <c r="F479" s="6">
        <v>21</v>
      </c>
    </row>
    <row r="480" spans="1:6" x14ac:dyDescent="0.25">
      <c r="A480" t="s">
        <v>72</v>
      </c>
      <c r="B480" s="6" t="s">
        <v>821</v>
      </c>
      <c r="C480" s="3" t="s">
        <v>1292</v>
      </c>
      <c r="D480" s="6">
        <v>69</v>
      </c>
      <c r="E480" s="6">
        <v>73</v>
      </c>
      <c r="F480" s="6">
        <v>18</v>
      </c>
    </row>
    <row r="481" spans="1:7" x14ac:dyDescent="0.25">
      <c r="A481" t="s">
        <v>72</v>
      </c>
      <c r="B481" s="6" t="s">
        <v>902</v>
      </c>
      <c r="C481" s="3" t="s">
        <v>1293</v>
      </c>
      <c r="D481" s="6">
        <v>66</v>
      </c>
      <c r="E481" s="6">
        <v>69</v>
      </c>
      <c r="F481" s="6">
        <v>16</v>
      </c>
    </row>
    <row r="482" spans="1:7" x14ac:dyDescent="0.25">
      <c r="A482" t="s">
        <v>72</v>
      </c>
      <c r="B482" s="6" t="s">
        <v>963</v>
      </c>
      <c r="C482" s="3" t="s">
        <v>1294</v>
      </c>
      <c r="D482" s="6">
        <v>74</v>
      </c>
      <c r="E482" s="6">
        <v>77</v>
      </c>
      <c r="F482" s="6">
        <v>18</v>
      </c>
    </row>
    <row r="483" spans="1:7" x14ac:dyDescent="0.25">
      <c r="A483" t="s">
        <v>72</v>
      </c>
      <c r="B483" s="6" t="s">
        <v>503</v>
      </c>
      <c r="C483" s="3" t="s">
        <v>504</v>
      </c>
      <c r="D483" s="6">
        <v>70</v>
      </c>
      <c r="E483" s="6">
        <v>77</v>
      </c>
      <c r="F483" s="6">
        <v>20</v>
      </c>
    </row>
    <row r="484" spans="1:7" x14ac:dyDescent="0.25">
      <c r="A484" t="s">
        <v>72</v>
      </c>
      <c r="B484" s="6" t="s">
        <v>834</v>
      </c>
      <c r="C484" s="3" t="s">
        <v>1295</v>
      </c>
      <c r="D484" s="6">
        <v>69</v>
      </c>
      <c r="E484" s="6">
        <v>74</v>
      </c>
      <c r="F484" s="6">
        <v>19</v>
      </c>
    </row>
    <row r="485" spans="1:7" x14ac:dyDescent="0.25">
      <c r="A485" t="s">
        <v>72</v>
      </c>
      <c r="B485" s="6" t="s">
        <v>831</v>
      </c>
      <c r="C485" s="3" t="s">
        <v>1296</v>
      </c>
      <c r="D485" s="6">
        <v>75</v>
      </c>
      <c r="E485" s="6">
        <v>80</v>
      </c>
      <c r="F485" s="6">
        <v>22</v>
      </c>
    </row>
    <row r="486" spans="1:7" x14ac:dyDescent="0.25">
      <c r="A486" t="s">
        <v>72</v>
      </c>
      <c r="B486" s="6" t="s">
        <v>824</v>
      </c>
      <c r="C486" s="3" t="s">
        <v>1297</v>
      </c>
      <c r="D486" s="6">
        <v>76</v>
      </c>
      <c r="E486" s="6">
        <v>77</v>
      </c>
      <c r="F486" s="6">
        <v>19</v>
      </c>
    </row>
    <row r="487" spans="1:7" x14ac:dyDescent="0.25">
      <c r="A487" t="s">
        <v>72</v>
      </c>
      <c r="B487" s="6" t="s">
        <v>857</v>
      </c>
      <c r="C487" s="3" t="s">
        <v>1298</v>
      </c>
      <c r="D487" s="6">
        <v>73</v>
      </c>
      <c r="E487" s="6">
        <v>72</v>
      </c>
      <c r="F487" s="6">
        <v>17</v>
      </c>
    </row>
    <row r="488" spans="1:7" x14ac:dyDescent="0.25">
      <c r="A488" t="s">
        <v>72</v>
      </c>
      <c r="B488" s="6" t="s">
        <v>896</v>
      </c>
      <c r="C488" s="3" t="s">
        <v>1299</v>
      </c>
      <c r="D488" s="6">
        <v>79</v>
      </c>
      <c r="E488" s="6">
        <v>78</v>
      </c>
      <c r="F488" s="6">
        <v>18</v>
      </c>
    </row>
    <row r="489" spans="1:7" x14ac:dyDescent="0.25">
      <c r="A489" t="s">
        <v>72</v>
      </c>
      <c r="B489" s="6" t="s">
        <v>330</v>
      </c>
      <c r="C489" s="3" t="s">
        <v>331</v>
      </c>
      <c r="D489" s="6">
        <v>76</v>
      </c>
      <c r="E489" s="6">
        <v>86</v>
      </c>
      <c r="F489" s="6">
        <v>21</v>
      </c>
    </row>
    <row r="490" spans="1:7" x14ac:dyDescent="0.25">
      <c r="A490" t="s">
        <v>72</v>
      </c>
      <c r="B490" s="6" t="s">
        <v>990</v>
      </c>
      <c r="C490" s="3" t="s">
        <v>1300</v>
      </c>
      <c r="D490" s="6">
        <v>73</v>
      </c>
      <c r="E490" s="6">
        <v>77</v>
      </c>
      <c r="F490" s="6">
        <v>20</v>
      </c>
    </row>
    <row r="491" spans="1:7" x14ac:dyDescent="0.25">
      <c r="A491" t="s">
        <v>72</v>
      </c>
      <c r="B491" s="6" t="s">
        <v>967</v>
      </c>
      <c r="C491" s="3" t="s">
        <v>1301</v>
      </c>
      <c r="D491" s="6">
        <v>74</v>
      </c>
      <c r="E491" s="6">
        <v>77</v>
      </c>
      <c r="F491" s="6">
        <v>19</v>
      </c>
    </row>
    <row r="492" spans="1:7" x14ac:dyDescent="0.25">
      <c r="A492" t="s">
        <v>72</v>
      </c>
      <c r="B492" s="6" t="s">
        <v>886</v>
      </c>
      <c r="C492" s="3" t="s">
        <v>1302</v>
      </c>
      <c r="D492" s="6">
        <v>70</v>
      </c>
      <c r="E492" s="6">
        <v>75</v>
      </c>
      <c r="F492" s="6">
        <v>19</v>
      </c>
    </row>
    <row r="493" spans="1:7" x14ac:dyDescent="0.25">
      <c r="A493" t="s">
        <v>72</v>
      </c>
      <c r="B493" s="6" t="s">
        <v>1303</v>
      </c>
      <c r="C493" s="3" t="s">
        <v>1304</v>
      </c>
      <c r="D493" s="6">
        <v>74</v>
      </c>
      <c r="E493" s="6">
        <v>78</v>
      </c>
      <c r="F493" s="6">
        <v>18</v>
      </c>
      <c r="G493" t="s">
        <v>1000</v>
      </c>
    </row>
    <row r="494" spans="1:7" x14ac:dyDescent="0.25">
      <c r="A494" t="s">
        <v>72</v>
      </c>
      <c r="B494" s="6" t="s">
        <v>563</v>
      </c>
      <c r="C494" s="3" t="s">
        <v>1305</v>
      </c>
      <c r="D494" s="6">
        <v>68</v>
      </c>
      <c r="E494" s="6">
        <v>72</v>
      </c>
      <c r="F494" s="6">
        <v>18</v>
      </c>
    </row>
    <row r="495" spans="1:7" x14ac:dyDescent="0.25">
      <c r="A495" t="s">
        <v>72</v>
      </c>
      <c r="B495" s="6" t="s">
        <v>239</v>
      </c>
      <c r="C495" s="3" t="s">
        <v>240</v>
      </c>
      <c r="D495" s="6">
        <v>77</v>
      </c>
      <c r="E495" s="6">
        <v>82</v>
      </c>
      <c r="F495" s="6">
        <v>20</v>
      </c>
    </row>
    <row r="496" spans="1:7" x14ac:dyDescent="0.25">
      <c r="A496" t="s">
        <v>72</v>
      </c>
      <c r="B496" s="6" t="s">
        <v>332</v>
      </c>
      <c r="C496" s="3" t="s">
        <v>333</v>
      </c>
      <c r="D496" s="6">
        <v>68</v>
      </c>
      <c r="E496" s="6">
        <v>72</v>
      </c>
      <c r="F496" s="6">
        <v>12</v>
      </c>
    </row>
    <row r="497" spans="1:8" x14ac:dyDescent="0.25">
      <c r="A497" t="s">
        <v>72</v>
      </c>
      <c r="B497" s="6" t="s">
        <v>152</v>
      </c>
      <c r="C497" s="3" t="s">
        <v>153</v>
      </c>
      <c r="D497" s="6">
        <v>70</v>
      </c>
      <c r="E497" s="6">
        <v>70</v>
      </c>
      <c r="F497" s="6">
        <v>17</v>
      </c>
    </row>
    <row r="498" spans="1:8" x14ac:dyDescent="0.25">
      <c r="A498" t="s">
        <v>72</v>
      </c>
      <c r="B498" s="6" t="s">
        <v>689</v>
      </c>
      <c r="C498" s="3" t="s">
        <v>1306</v>
      </c>
      <c r="D498" s="6">
        <v>73.099999999999994</v>
      </c>
      <c r="E498" s="6">
        <v>77.099999999999994</v>
      </c>
      <c r="F498" s="6">
        <v>19.2</v>
      </c>
      <c r="G498" s="6">
        <v>54.52</v>
      </c>
    </row>
    <row r="499" spans="1:8" x14ac:dyDescent="0.25">
      <c r="A499" t="s">
        <v>72</v>
      </c>
      <c r="B499" s="6" t="s">
        <v>147</v>
      </c>
      <c r="C499" s="3" t="s">
        <v>148</v>
      </c>
      <c r="D499" s="6">
        <v>75.099999999999994</v>
      </c>
      <c r="E499" s="6">
        <v>80.5</v>
      </c>
      <c r="F499" s="6">
        <v>19</v>
      </c>
      <c r="G499" s="6">
        <v>62.81</v>
      </c>
    </row>
    <row r="500" spans="1:8" x14ac:dyDescent="0.25">
      <c r="A500" t="s">
        <v>72</v>
      </c>
      <c r="B500" s="6" t="s">
        <v>1307</v>
      </c>
      <c r="C500" s="3" t="s">
        <v>1308</v>
      </c>
      <c r="D500" s="6">
        <v>76.400000000000006</v>
      </c>
      <c r="E500" s="6">
        <v>80.5</v>
      </c>
      <c r="F500" s="6">
        <v>20.6</v>
      </c>
      <c r="G500" s="6">
        <v>65.87</v>
      </c>
      <c r="H500" t="s">
        <v>1092</v>
      </c>
    </row>
    <row r="501" spans="1:8" x14ac:dyDescent="0.25">
      <c r="A501" t="s">
        <v>72</v>
      </c>
      <c r="B501" s="6" t="s">
        <v>693</v>
      </c>
      <c r="C501" s="3" t="s">
        <v>1309</v>
      </c>
      <c r="D501" s="6">
        <v>69.099999999999994</v>
      </c>
      <c r="E501" s="6">
        <v>70.7</v>
      </c>
      <c r="F501" s="6">
        <v>17.100000000000001</v>
      </c>
      <c r="G501" s="6">
        <v>45.12</v>
      </c>
    </row>
    <row r="502" spans="1:8" x14ac:dyDescent="0.25">
      <c r="A502" t="s">
        <v>72</v>
      </c>
      <c r="B502" s="6" t="s">
        <v>695</v>
      </c>
      <c r="C502" s="3" t="s">
        <v>1310</v>
      </c>
      <c r="D502" s="6">
        <v>64.099999999999994</v>
      </c>
      <c r="E502" s="6">
        <v>66.900000000000006</v>
      </c>
      <c r="F502" s="6">
        <v>18</v>
      </c>
      <c r="G502" s="6">
        <v>39.32</v>
      </c>
    </row>
    <row r="503" spans="1:8" x14ac:dyDescent="0.25">
      <c r="A503" s="3" t="s">
        <v>72</v>
      </c>
      <c r="B503" s="6" t="s">
        <v>488</v>
      </c>
      <c r="C503" s="3" t="s">
        <v>1311</v>
      </c>
      <c r="D503" s="6">
        <v>76.3</v>
      </c>
      <c r="E503" s="6">
        <v>78.099999999999994</v>
      </c>
      <c r="F503" s="6">
        <v>20.3</v>
      </c>
      <c r="G503" s="6">
        <v>55.79</v>
      </c>
    </row>
    <row r="504" spans="1:8" x14ac:dyDescent="0.25">
      <c r="A504" s="3" t="s">
        <v>72</v>
      </c>
      <c r="B504" s="6" t="s">
        <v>986</v>
      </c>
      <c r="C504" s="3" t="s">
        <v>1312</v>
      </c>
      <c r="D504" s="6">
        <v>77.099999999999994</v>
      </c>
      <c r="E504" s="6">
        <v>78.3</v>
      </c>
      <c r="F504" s="6">
        <v>20.399999999999999</v>
      </c>
      <c r="G504" s="6">
        <v>57.62</v>
      </c>
    </row>
    <row r="505" spans="1:8" x14ac:dyDescent="0.25">
      <c r="A505" s="3" t="s">
        <v>72</v>
      </c>
      <c r="B505" s="6" t="s">
        <v>1313</v>
      </c>
      <c r="C505" s="3" t="s">
        <v>1314</v>
      </c>
      <c r="D505">
        <v>72</v>
      </c>
      <c r="E505" s="6">
        <v>78.400000000000006</v>
      </c>
      <c r="F505" s="6">
        <v>19.5</v>
      </c>
      <c r="G505" s="6">
        <v>52.22</v>
      </c>
      <c r="H505" t="s">
        <v>1092</v>
      </c>
    </row>
    <row r="506" spans="1:8" x14ac:dyDescent="0.25">
      <c r="A506" s="3" t="s">
        <v>72</v>
      </c>
      <c r="B506" s="6" t="s">
        <v>1315</v>
      </c>
      <c r="C506" s="3" t="s">
        <v>1316</v>
      </c>
      <c r="D506" s="6">
        <v>70.2</v>
      </c>
      <c r="E506" s="6">
        <v>72.099999999999994</v>
      </c>
      <c r="F506" s="6">
        <v>16.7</v>
      </c>
      <c r="G506" s="6">
        <v>43.15</v>
      </c>
    </row>
    <row r="507" spans="1:8" x14ac:dyDescent="0.25">
      <c r="A507" s="3" t="s">
        <v>72</v>
      </c>
      <c r="B507" s="6" t="s">
        <v>144</v>
      </c>
      <c r="C507" s="3" t="s">
        <v>145</v>
      </c>
      <c r="D507" s="6">
        <v>76.8</v>
      </c>
      <c r="E507" s="6">
        <v>80.7</v>
      </c>
      <c r="F507" s="6">
        <v>19.600000000000001</v>
      </c>
      <c r="G507" s="6">
        <v>59.5</v>
      </c>
    </row>
    <row r="508" spans="1:8" x14ac:dyDescent="0.25">
      <c r="A508" s="3" t="s">
        <v>72</v>
      </c>
      <c r="B508" s="6" t="s">
        <v>1317</v>
      </c>
      <c r="C508" s="3" t="s">
        <v>1318</v>
      </c>
      <c r="D508" s="6">
        <v>73.2</v>
      </c>
      <c r="E508" s="6">
        <v>75.5</v>
      </c>
      <c r="F508" s="6">
        <v>19.8</v>
      </c>
      <c r="G508" s="6">
        <v>54.2</v>
      </c>
    </row>
    <row r="509" spans="1:8" x14ac:dyDescent="0.25">
      <c r="A509" s="3" t="s">
        <v>72</v>
      </c>
      <c r="B509" s="6" t="s">
        <v>1319</v>
      </c>
      <c r="C509" s="3" t="s">
        <v>1320</v>
      </c>
      <c r="D509">
        <v>77.099999999999994</v>
      </c>
      <c r="E509" s="6">
        <v>79.099999999999994</v>
      </c>
      <c r="F509" s="6">
        <v>20</v>
      </c>
      <c r="G509" s="6">
        <v>57.5</v>
      </c>
    </row>
    <row r="510" spans="1:8" x14ac:dyDescent="0.25">
      <c r="A510" s="3" t="s">
        <v>72</v>
      </c>
      <c r="B510" s="6" t="s">
        <v>1321</v>
      </c>
      <c r="C510" s="3" t="s">
        <v>1322</v>
      </c>
      <c r="D510" s="6">
        <v>75.5</v>
      </c>
      <c r="E510" s="6">
        <v>78.5</v>
      </c>
      <c r="F510" s="6">
        <v>20.5</v>
      </c>
      <c r="G510" s="6">
        <v>61.79</v>
      </c>
    </row>
    <row r="511" spans="1:8" x14ac:dyDescent="0.25">
      <c r="A511" s="3" t="s">
        <v>72</v>
      </c>
      <c r="B511" s="6" t="s">
        <v>789</v>
      </c>
      <c r="C511" s="3" t="s">
        <v>1323</v>
      </c>
      <c r="D511" s="6">
        <v>80.2</v>
      </c>
      <c r="E511" s="6">
        <v>80.599999999999994</v>
      </c>
      <c r="F511" s="6">
        <v>18.5</v>
      </c>
      <c r="G511" s="6">
        <v>63.87</v>
      </c>
    </row>
    <row r="512" spans="1:8" x14ac:dyDescent="0.25">
      <c r="A512" s="3" t="s">
        <v>72</v>
      </c>
      <c r="B512" s="6" t="s">
        <v>1324</v>
      </c>
      <c r="C512" s="3" t="s">
        <v>1325</v>
      </c>
      <c r="D512" s="6">
        <v>66.2</v>
      </c>
      <c r="E512" s="6">
        <v>68.099999999999994</v>
      </c>
      <c r="F512" s="6">
        <v>17.5</v>
      </c>
      <c r="G512" s="6">
        <v>38.200000000000003</v>
      </c>
      <c r="H512" t="s">
        <v>1092</v>
      </c>
    </row>
    <row r="513" spans="1:7" x14ac:dyDescent="0.25">
      <c r="A513" s="3" t="s">
        <v>72</v>
      </c>
      <c r="B513" s="6"/>
      <c r="C513" s="3"/>
      <c r="D513" s="6"/>
      <c r="E513" s="6"/>
      <c r="F513" s="6"/>
      <c r="G513" s="6"/>
    </row>
    <row r="514" spans="1:7" x14ac:dyDescent="0.25">
      <c r="A514" s="3" t="s">
        <v>72</v>
      </c>
      <c r="B514" s="6"/>
      <c r="C514" s="3"/>
      <c r="D514" s="6"/>
      <c r="E514" s="6"/>
      <c r="F514" s="6"/>
      <c r="G514" s="6"/>
    </row>
    <row r="515" spans="1:7" x14ac:dyDescent="0.25">
      <c r="A515" s="3" t="s">
        <v>72</v>
      </c>
      <c r="B515" s="6"/>
      <c r="C515" s="3"/>
      <c r="D515" s="6"/>
      <c r="E515" s="6"/>
      <c r="F515" s="6"/>
      <c r="G515" s="6"/>
    </row>
    <row r="516" spans="1:7" x14ac:dyDescent="0.25">
      <c r="A516" s="3" t="s">
        <v>72</v>
      </c>
      <c r="B516" s="6"/>
      <c r="C516" s="3"/>
      <c r="D516" s="6"/>
      <c r="E516" s="6"/>
      <c r="F516" s="6"/>
      <c r="G516" s="6"/>
    </row>
    <row r="517" spans="1:7" x14ac:dyDescent="0.25">
      <c r="A517" s="3" t="s">
        <v>72</v>
      </c>
      <c r="B517" s="6"/>
      <c r="C517" s="3"/>
      <c r="D517" s="6"/>
      <c r="E517" s="6"/>
      <c r="F517" s="6"/>
      <c r="G517" s="6"/>
    </row>
    <row r="518" spans="1:7" x14ac:dyDescent="0.25">
      <c r="A518" s="3" t="s">
        <v>72</v>
      </c>
      <c r="B518" s="6"/>
      <c r="C518" s="3"/>
      <c r="D518" s="6"/>
      <c r="E518" s="6"/>
      <c r="F518" s="6"/>
      <c r="G518" s="6"/>
    </row>
    <row r="519" spans="1:7" x14ac:dyDescent="0.25">
      <c r="A519" s="3" t="s">
        <v>72</v>
      </c>
      <c r="B519" s="6"/>
      <c r="C519" s="3"/>
      <c r="D519" s="6"/>
      <c r="E519" s="6"/>
      <c r="F519" s="6"/>
      <c r="G519" s="6"/>
    </row>
    <row r="520" spans="1:7" x14ac:dyDescent="0.25">
      <c r="A520" s="3" t="s">
        <v>72</v>
      </c>
      <c r="B520" s="6"/>
      <c r="C520" s="3"/>
      <c r="D520" s="6"/>
      <c r="E520" s="6"/>
      <c r="F520" s="6"/>
      <c r="G520" s="6"/>
    </row>
    <row r="521" spans="1:7" x14ac:dyDescent="0.25">
      <c r="A521" s="3" t="s">
        <v>46</v>
      </c>
      <c r="B521" s="6" t="s">
        <v>63</v>
      </c>
      <c r="C521" t="s">
        <v>64</v>
      </c>
      <c r="D521" s="6">
        <v>62.3</v>
      </c>
      <c r="E521" s="6">
        <v>34.5</v>
      </c>
      <c r="F521" s="6">
        <v>21.4</v>
      </c>
      <c r="G521" s="6">
        <v>23.08</v>
      </c>
    </row>
    <row r="522" spans="1:7" x14ac:dyDescent="0.25">
      <c r="A522" s="3" t="s">
        <v>46</v>
      </c>
      <c r="B522" s="6" t="s">
        <v>377</v>
      </c>
      <c r="C522" t="s">
        <v>378</v>
      </c>
      <c r="D522" s="6">
        <v>62</v>
      </c>
      <c r="E522" s="6">
        <v>31</v>
      </c>
      <c r="F522" s="6">
        <v>23.8</v>
      </c>
      <c r="G522" s="6">
        <v>24.78</v>
      </c>
    </row>
    <row r="523" spans="1:7" x14ac:dyDescent="0.25">
      <c r="A523" s="3" t="s">
        <v>46</v>
      </c>
      <c r="B523" s="6" t="s">
        <v>926</v>
      </c>
      <c r="C523" s="3" t="s">
        <v>1326</v>
      </c>
      <c r="D523" s="6">
        <v>79.790000000000006</v>
      </c>
      <c r="E523" s="6">
        <v>39.26</v>
      </c>
      <c r="F523" s="6">
        <v>29.34</v>
      </c>
    </row>
    <row r="524" spans="1:7" x14ac:dyDescent="0.25">
      <c r="A524" s="3" t="s">
        <v>46</v>
      </c>
      <c r="B524" s="6" t="s">
        <v>928</v>
      </c>
      <c r="C524" s="3" t="s">
        <v>1327</v>
      </c>
      <c r="D524" s="6">
        <v>73.86</v>
      </c>
      <c r="E524" s="6">
        <v>39.58</v>
      </c>
      <c r="F524" s="6">
        <v>28.29</v>
      </c>
    </row>
    <row r="525" spans="1:7" x14ac:dyDescent="0.25">
      <c r="A525" s="3" t="s">
        <v>46</v>
      </c>
      <c r="B525" s="6" t="s">
        <v>527</v>
      </c>
      <c r="C525" s="3" t="s">
        <v>714</v>
      </c>
      <c r="D525" s="6">
        <v>82.12</v>
      </c>
      <c r="E525" s="6">
        <v>42.35</v>
      </c>
      <c r="F525" s="6">
        <v>30.29</v>
      </c>
    </row>
    <row r="526" spans="1:7" x14ac:dyDescent="0.25">
      <c r="A526" s="3" t="s">
        <v>46</v>
      </c>
      <c r="B526" s="6" t="s">
        <v>587</v>
      </c>
      <c r="C526" s="3" t="s">
        <v>588</v>
      </c>
      <c r="D526" s="6">
        <v>73.86</v>
      </c>
      <c r="E526" s="6">
        <v>37.020000000000003</v>
      </c>
      <c r="F526" s="6">
        <v>24.96</v>
      </c>
    </row>
    <row r="527" spans="1:7" x14ac:dyDescent="0.25">
      <c r="A527" s="3" t="s">
        <v>46</v>
      </c>
      <c r="B527" s="6" t="s">
        <v>965</v>
      </c>
      <c r="C527" s="3" t="s">
        <v>1328</v>
      </c>
      <c r="D527" s="6">
        <v>80.12</v>
      </c>
      <c r="E527" s="6">
        <v>40.85</v>
      </c>
      <c r="F527" s="6">
        <v>33.479999999999997</v>
      </c>
    </row>
    <row r="528" spans="1:7" x14ac:dyDescent="0.25">
      <c r="A528" s="3" t="s">
        <v>46</v>
      </c>
      <c r="B528" s="6" t="s">
        <v>427</v>
      </c>
      <c r="C528" s="3" t="s">
        <v>428</v>
      </c>
      <c r="D528" s="6">
        <v>68.959999999999994</v>
      </c>
      <c r="E528" s="6">
        <v>38.64</v>
      </c>
      <c r="F528" s="6">
        <v>27.79</v>
      </c>
    </row>
    <row r="529" spans="1:6" x14ac:dyDescent="0.25">
      <c r="A529" s="3" t="s">
        <v>46</v>
      </c>
      <c r="B529" s="6" t="s">
        <v>447</v>
      </c>
      <c r="C529" s="3" t="s">
        <v>1329</v>
      </c>
      <c r="D529" s="6">
        <v>80.77</v>
      </c>
      <c r="E529" s="6">
        <v>45.3</v>
      </c>
      <c r="F529" s="6">
        <v>29.45</v>
      </c>
    </row>
    <row r="530" spans="1:6" x14ac:dyDescent="0.25">
      <c r="A530" s="3" t="s">
        <v>46</v>
      </c>
      <c r="B530" s="6" t="s">
        <v>917</v>
      </c>
      <c r="C530" s="3" t="s">
        <v>658</v>
      </c>
      <c r="D530" s="6">
        <v>72.73</v>
      </c>
      <c r="E530" s="6">
        <v>39.020000000000003</v>
      </c>
      <c r="F530" s="6">
        <v>25.51</v>
      </c>
    </row>
    <row r="531" spans="1:6" x14ac:dyDescent="0.25">
      <c r="A531" s="3" t="s">
        <v>46</v>
      </c>
      <c r="B531" s="6" t="s">
        <v>515</v>
      </c>
      <c r="C531" s="3" t="s">
        <v>1330</v>
      </c>
      <c r="D531" s="6">
        <v>70.680000000000007</v>
      </c>
      <c r="E531" s="6">
        <v>40.700000000000003</v>
      </c>
      <c r="F531" s="6">
        <v>24.44</v>
      </c>
    </row>
    <row r="532" spans="1:6" x14ac:dyDescent="0.25">
      <c r="A532" s="3" t="s">
        <v>46</v>
      </c>
      <c r="B532" s="6" t="s">
        <v>978</v>
      </c>
      <c r="C532" s="3" t="s">
        <v>776</v>
      </c>
      <c r="D532" s="6">
        <v>72.13</v>
      </c>
      <c r="E532" s="6">
        <v>38.270000000000003</v>
      </c>
      <c r="F532" s="6">
        <v>29.51</v>
      </c>
    </row>
    <row r="533" spans="1:6" x14ac:dyDescent="0.25">
      <c r="A533" s="3" t="s">
        <v>46</v>
      </c>
      <c r="B533" s="6" t="s">
        <v>536</v>
      </c>
      <c r="C533" s="3" t="s">
        <v>631</v>
      </c>
      <c r="D533" s="6">
        <v>66</v>
      </c>
      <c r="E533" s="6">
        <v>33</v>
      </c>
      <c r="F533" s="6">
        <v>24</v>
      </c>
    </row>
    <row r="534" spans="1:6" x14ac:dyDescent="0.25">
      <c r="A534" s="3" t="s">
        <v>46</v>
      </c>
      <c r="B534" s="6" t="s">
        <v>421</v>
      </c>
      <c r="C534" s="3" t="s">
        <v>422</v>
      </c>
      <c r="D534" s="6">
        <v>74.37</v>
      </c>
      <c r="E534" s="6">
        <v>40.6</v>
      </c>
      <c r="F534" s="6">
        <v>26.45</v>
      </c>
    </row>
    <row r="535" spans="1:6" x14ac:dyDescent="0.25">
      <c r="A535" s="3" t="s">
        <v>46</v>
      </c>
      <c r="B535" s="6" t="s">
        <v>353</v>
      </c>
      <c r="C535" s="3" t="s">
        <v>431</v>
      </c>
      <c r="D535" s="6">
        <v>70.040000000000006</v>
      </c>
      <c r="E535" s="6">
        <v>34.75</v>
      </c>
      <c r="F535" s="6">
        <v>28.91</v>
      </c>
    </row>
    <row r="536" spans="1:6" x14ac:dyDescent="0.25">
      <c r="A536" s="3" t="s">
        <v>46</v>
      </c>
      <c r="B536" s="6" t="s">
        <v>760</v>
      </c>
      <c r="C536" s="3" t="s">
        <v>1331</v>
      </c>
      <c r="D536" s="6">
        <v>80.900000000000006</v>
      </c>
      <c r="E536" s="6">
        <v>39.43</v>
      </c>
      <c r="F536" s="6">
        <v>33.18</v>
      </c>
    </row>
    <row r="537" spans="1:6" x14ac:dyDescent="0.25">
      <c r="A537" s="3" t="s">
        <v>46</v>
      </c>
      <c r="B537" s="6" t="s">
        <v>525</v>
      </c>
      <c r="C537" s="3" t="s">
        <v>777</v>
      </c>
      <c r="D537" s="6">
        <v>83.64</v>
      </c>
      <c r="E537" s="6">
        <v>39.229999999999997</v>
      </c>
      <c r="F537" s="6">
        <v>32.979999999999997</v>
      </c>
    </row>
    <row r="538" spans="1:6" x14ac:dyDescent="0.25">
      <c r="A538" s="3" t="s">
        <v>46</v>
      </c>
      <c r="B538" s="6" t="s">
        <v>838</v>
      </c>
      <c r="C538" s="3" t="s">
        <v>1332</v>
      </c>
      <c r="D538" s="6">
        <v>61.77</v>
      </c>
      <c r="E538" s="6">
        <v>36.42</v>
      </c>
      <c r="F538" s="6">
        <v>22.85</v>
      </c>
    </row>
    <row r="539" spans="1:6" x14ac:dyDescent="0.25">
      <c r="A539" s="3" t="s">
        <v>46</v>
      </c>
      <c r="B539" s="6" t="s">
        <v>877</v>
      </c>
      <c r="C539" s="3" t="s">
        <v>1333</v>
      </c>
      <c r="D539" s="6">
        <v>71.650000000000006</v>
      </c>
      <c r="E539" s="6">
        <v>41.09</v>
      </c>
      <c r="F539" s="6">
        <v>30.04</v>
      </c>
    </row>
    <row r="540" spans="1:6" x14ac:dyDescent="0.25">
      <c r="A540" s="3" t="s">
        <v>46</v>
      </c>
      <c r="B540" s="6" t="s">
        <v>927</v>
      </c>
      <c r="C540" s="3" t="s">
        <v>1334</v>
      </c>
      <c r="D540" s="6">
        <v>86.3</v>
      </c>
      <c r="E540" s="6">
        <v>45.36</v>
      </c>
      <c r="F540" s="6">
        <v>30.39</v>
      </c>
    </row>
    <row r="541" spans="1:6" x14ac:dyDescent="0.25">
      <c r="A541" s="3" t="s">
        <v>46</v>
      </c>
      <c r="B541" s="6" t="s">
        <v>890</v>
      </c>
      <c r="C541" s="3" t="s">
        <v>1335</v>
      </c>
      <c r="D541" s="6">
        <v>67.02</v>
      </c>
      <c r="E541" s="6">
        <v>36.32</v>
      </c>
      <c r="F541" s="6">
        <v>24.72</v>
      </c>
    </row>
    <row r="542" spans="1:6" x14ac:dyDescent="0.25">
      <c r="A542" s="3" t="s">
        <v>46</v>
      </c>
      <c r="B542" s="6" t="s">
        <v>720</v>
      </c>
      <c r="C542" s="3" t="s">
        <v>721</v>
      </c>
      <c r="D542" s="6">
        <v>73.41</v>
      </c>
      <c r="E542" s="6">
        <v>38.25</v>
      </c>
      <c r="F542" s="6">
        <v>28.91</v>
      </c>
    </row>
    <row r="543" spans="1:6" x14ac:dyDescent="0.25">
      <c r="A543" s="3" t="s">
        <v>46</v>
      </c>
      <c r="B543" s="6" t="s">
        <v>361</v>
      </c>
      <c r="C543" s="3" t="s">
        <v>1336</v>
      </c>
      <c r="D543" s="6">
        <v>70.69</v>
      </c>
      <c r="E543" s="6">
        <v>38</v>
      </c>
      <c r="F543" s="6">
        <v>29.23</v>
      </c>
    </row>
    <row r="544" spans="1:6" x14ac:dyDescent="0.25">
      <c r="A544" s="3" t="s">
        <v>46</v>
      </c>
      <c r="B544" s="6" t="s">
        <v>869</v>
      </c>
      <c r="C544" s="3" t="s">
        <v>1337</v>
      </c>
      <c r="D544" s="6">
        <v>71.849999999999994</v>
      </c>
      <c r="E544" s="6">
        <v>39.22</v>
      </c>
      <c r="F544" s="6">
        <v>28.36</v>
      </c>
    </row>
    <row r="545" spans="1:6" x14ac:dyDescent="0.25">
      <c r="A545" s="3" t="s">
        <v>46</v>
      </c>
      <c r="B545" s="6" t="s">
        <v>949</v>
      </c>
      <c r="C545" s="3" t="s">
        <v>1338</v>
      </c>
      <c r="D545" s="6">
        <v>74.09</v>
      </c>
      <c r="E545" s="6">
        <v>36.81</v>
      </c>
      <c r="F545" s="6">
        <v>28.26</v>
      </c>
    </row>
    <row r="546" spans="1:6" x14ac:dyDescent="0.25">
      <c r="A546" s="3" t="s">
        <v>46</v>
      </c>
      <c r="B546" s="6" t="s">
        <v>372</v>
      </c>
      <c r="C546" s="3" t="s">
        <v>575</v>
      </c>
      <c r="D546" s="6">
        <v>80.44</v>
      </c>
      <c r="E546" s="6">
        <v>40.79</v>
      </c>
      <c r="F546" s="6">
        <v>29.71</v>
      </c>
    </row>
    <row r="547" spans="1:6" x14ac:dyDescent="0.25">
      <c r="A547" s="3" t="s">
        <v>46</v>
      </c>
      <c r="B547" s="6" t="s">
        <v>473</v>
      </c>
      <c r="C547" s="3" t="s">
        <v>474</v>
      </c>
      <c r="D547" s="6">
        <v>80.790000000000006</v>
      </c>
      <c r="E547" s="6">
        <v>43.22</v>
      </c>
      <c r="F547" s="6">
        <v>31.27</v>
      </c>
    </row>
    <row r="548" spans="1:6" x14ac:dyDescent="0.25">
      <c r="A548" s="3" t="s">
        <v>46</v>
      </c>
      <c r="B548" s="6" t="s">
        <v>484</v>
      </c>
      <c r="C548" s="3" t="s">
        <v>485</v>
      </c>
      <c r="D548" s="6">
        <v>79.89</v>
      </c>
      <c r="E548" s="6">
        <v>45.71</v>
      </c>
      <c r="F548" s="6">
        <v>32.479999999999997</v>
      </c>
    </row>
    <row r="549" spans="1:6" x14ac:dyDescent="0.25">
      <c r="A549" s="3" t="s">
        <v>46</v>
      </c>
      <c r="B549" s="6" t="s">
        <v>305</v>
      </c>
      <c r="C549" s="3" t="s">
        <v>466</v>
      </c>
      <c r="D549" s="6">
        <v>80.28</v>
      </c>
      <c r="E549" s="6">
        <v>40.86</v>
      </c>
      <c r="F549" s="6">
        <v>32.79</v>
      </c>
    </row>
    <row r="550" spans="1:6" x14ac:dyDescent="0.25">
      <c r="A550" s="3" t="s">
        <v>46</v>
      </c>
      <c r="B550" s="6" t="s">
        <v>53</v>
      </c>
      <c r="C550" s="3" t="s">
        <v>54</v>
      </c>
      <c r="D550" s="6">
        <v>74.19</v>
      </c>
      <c r="E550" s="6">
        <v>38.65</v>
      </c>
      <c r="F550" s="6">
        <v>27.59</v>
      </c>
    </row>
    <row r="551" spans="1:6" x14ac:dyDescent="0.25">
      <c r="A551" s="3" t="s">
        <v>46</v>
      </c>
      <c r="B551" s="6" t="s">
        <v>781</v>
      </c>
      <c r="C551" s="3" t="s">
        <v>782</v>
      </c>
      <c r="D551" s="6">
        <v>80.86</v>
      </c>
      <c r="E551" s="6">
        <v>40.35</v>
      </c>
      <c r="F551" s="6">
        <v>30.51</v>
      </c>
    </row>
    <row r="552" spans="1:6" x14ac:dyDescent="0.25">
      <c r="A552" s="3" t="s">
        <v>46</v>
      </c>
      <c r="B552" s="6" t="s">
        <v>432</v>
      </c>
      <c r="C552" s="3" t="s">
        <v>433</v>
      </c>
      <c r="D552" s="6">
        <v>73.81</v>
      </c>
      <c r="E552" s="6">
        <v>43.88</v>
      </c>
      <c r="F552" s="6">
        <v>25.61</v>
      </c>
    </row>
    <row r="553" spans="1:6" x14ac:dyDescent="0.25">
      <c r="A553" s="3" t="s">
        <v>46</v>
      </c>
      <c r="B553" s="6" t="s">
        <v>872</v>
      </c>
      <c r="C553" s="3" t="s">
        <v>1339</v>
      </c>
      <c r="D553" s="6">
        <v>64.45</v>
      </c>
      <c r="E553" s="6">
        <v>32.71</v>
      </c>
      <c r="F553" s="6">
        <v>31.76</v>
      </c>
    </row>
    <row r="554" spans="1:6" x14ac:dyDescent="0.25">
      <c r="A554" s="3" t="s">
        <v>46</v>
      </c>
      <c r="B554" s="6" t="s">
        <v>945</v>
      </c>
      <c r="C554" s="3" t="s">
        <v>1340</v>
      </c>
      <c r="D554" s="6">
        <v>75.08</v>
      </c>
      <c r="E554" s="6">
        <v>46</v>
      </c>
      <c r="F554" s="6">
        <v>29.77</v>
      </c>
    </row>
    <row r="555" spans="1:6" x14ac:dyDescent="0.25">
      <c r="A555" s="3" t="s">
        <v>46</v>
      </c>
      <c r="B555" s="6" t="s">
        <v>727</v>
      </c>
      <c r="C555" s="3" t="s">
        <v>728</v>
      </c>
      <c r="D555" s="6">
        <v>83.59</v>
      </c>
      <c r="E555" s="6">
        <v>46.44</v>
      </c>
      <c r="F555" s="6">
        <v>33.61</v>
      </c>
    </row>
    <row r="556" spans="1:6" x14ac:dyDescent="0.25">
      <c r="A556" s="3" t="s">
        <v>46</v>
      </c>
      <c r="B556" s="6" t="s">
        <v>867</v>
      </c>
      <c r="C556" s="3" t="s">
        <v>1341</v>
      </c>
      <c r="D556" s="6">
        <v>71</v>
      </c>
      <c r="E556" s="6">
        <v>40.21</v>
      </c>
      <c r="F556" s="6">
        <v>24.98</v>
      </c>
    </row>
    <row r="557" spans="1:6" x14ac:dyDescent="0.25">
      <c r="A557" s="3" t="s">
        <v>46</v>
      </c>
      <c r="B557" s="6" t="s">
        <v>469</v>
      </c>
      <c r="C557" s="3" t="s">
        <v>470</v>
      </c>
      <c r="D557" s="6">
        <v>77.19</v>
      </c>
      <c r="E557" s="6">
        <v>41.49</v>
      </c>
      <c r="F557" s="6">
        <v>31.63</v>
      </c>
    </row>
    <row r="558" spans="1:6" x14ac:dyDescent="0.25">
      <c r="A558" s="3" t="s">
        <v>46</v>
      </c>
      <c r="B558" s="6" t="s">
        <v>531</v>
      </c>
      <c r="C558" s="3" t="s">
        <v>1342</v>
      </c>
      <c r="D558" s="6">
        <v>72</v>
      </c>
      <c r="E558" s="6">
        <v>38</v>
      </c>
      <c r="F558" s="6">
        <v>24</v>
      </c>
    </row>
    <row r="559" spans="1:6" x14ac:dyDescent="0.25">
      <c r="A559" s="3" t="s">
        <v>46</v>
      </c>
      <c r="B559" s="6" t="s">
        <v>451</v>
      </c>
      <c r="C559" s="3" t="s">
        <v>1343</v>
      </c>
      <c r="D559" s="6">
        <v>69.77</v>
      </c>
      <c r="E559" s="6">
        <v>42.73</v>
      </c>
      <c r="F559" s="6">
        <v>27.27</v>
      </c>
    </row>
    <row r="560" spans="1:6" x14ac:dyDescent="0.25">
      <c r="A560" s="3" t="s">
        <v>46</v>
      </c>
      <c r="B560" s="6" t="s">
        <v>626</v>
      </c>
      <c r="C560" s="3" t="s">
        <v>1344</v>
      </c>
      <c r="D560" s="6">
        <v>66.510000000000005</v>
      </c>
      <c r="E560" s="6">
        <v>35.04</v>
      </c>
      <c r="F560" s="6">
        <v>25.94</v>
      </c>
    </row>
    <row r="561" spans="1:6" x14ac:dyDescent="0.25">
      <c r="A561" s="3" t="s">
        <v>46</v>
      </c>
      <c r="B561" s="6" t="s">
        <v>314</v>
      </c>
      <c r="C561" s="3" t="s">
        <v>774</v>
      </c>
      <c r="D561" s="6">
        <v>78</v>
      </c>
      <c r="E561" s="6">
        <v>38</v>
      </c>
      <c r="F561" s="6">
        <v>28.41</v>
      </c>
    </row>
    <row r="562" spans="1:6" x14ac:dyDescent="0.25">
      <c r="A562" s="3" t="s">
        <v>46</v>
      </c>
      <c r="B562" s="6" t="s">
        <v>638</v>
      </c>
      <c r="C562" s="3" t="s">
        <v>639</v>
      </c>
      <c r="D562" s="6">
        <v>79.599999999999994</v>
      </c>
      <c r="E562" s="6">
        <v>45.04</v>
      </c>
      <c r="F562" s="6">
        <v>29.52</v>
      </c>
    </row>
    <row r="563" spans="1:6" x14ac:dyDescent="0.25">
      <c r="A563" s="3" t="s">
        <v>46</v>
      </c>
      <c r="B563" s="6" t="s">
        <v>429</v>
      </c>
      <c r="C563" s="3" t="s">
        <v>430</v>
      </c>
      <c r="D563" s="6">
        <v>78.22</v>
      </c>
      <c r="E563" s="6">
        <v>41.51</v>
      </c>
      <c r="F563" s="6">
        <v>27.87</v>
      </c>
    </row>
    <row r="564" spans="1:6" x14ac:dyDescent="0.25">
      <c r="A564" s="3" t="s">
        <v>46</v>
      </c>
      <c r="B564" s="6" t="s">
        <v>25</v>
      </c>
      <c r="C564" s="3" t="s">
        <v>392</v>
      </c>
      <c r="D564" s="6">
        <v>64.66</v>
      </c>
      <c r="E564" s="6">
        <v>36.630000000000003</v>
      </c>
      <c r="F564" s="6">
        <v>25.91</v>
      </c>
    </row>
    <row r="565" spans="1:6" x14ac:dyDescent="0.25">
      <c r="A565" s="3" t="s">
        <v>46</v>
      </c>
      <c r="B565" s="6" t="s">
        <v>449</v>
      </c>
      <c r="C565" s="3" t="s">
        <v>1345</v>
      </c>
      <c r="D565" s="6">
        <v>72.5</v>
      </c>
      <c r="E565" s="6">
        <v>39.99</v>
      </c>
      <c r="F565" s="6">
        <v>26.72</v>
      </c>
    </row>
    <row r="566" spans="1:6" x14ac:dyDescent="0.25">
      <c r="A566" s="3" t="s">
        <v>46</v>
      </c>
      <c r="B566" s="6" t="s">
        <v>542</v>
      </c>
      <c r="C566" s="3" t="s">
        <v>1346</v>
      </c>
      <c r="D566" s="6">
        <v>72.91</v>
      </c>
      <c r="E566" s="6">
        <v>39.729999999999997</v>
      </c>
      <c r="F566" s="6">
        <v>26.31</v>
      </c>
    </row>
    <row r="567" spans="1:6" x14ac:dyDescent="0.25">
      <c r="A567" s="3" t="s">
        <v>46</v>
      </c>
      <c r="B567" s="6" t="s">
        <v>652</v>
      </c>
      <c r="C567" s="3" t="s">
        <v>653</v>
      </c>
      <c r="D567" s="6">
        <v>66.88</v>
      </c>
      <c r="E567" s="6">
        <v>39.020000000000003</v>
      </c>
      <c r="F567" s="6">
        <v>23.81</v>
      </c>
    </row>
    <row r="568" spans="1:6" x14ac:dyDescent="0.25">
      <c r="A568" s="3" t="s">
        <v>46</v>
      </c>
      <c r="B568" s="6" t="s">
        <v>811</v>
      </c>
      <c r="C568" s="3" t="s">
        <v>812</v>
      </c>
      <c r="D568" s="6">
        <v>73.67</v>
      </c>
      <c r="E568" s="6">
        <v>41.67</v>
      </c>
      <c r="F568" s="6">
        <v>27.76</v>
      </c>
    </row>
    <row r="569" spans="1:6" x14ac:dyDescent="0.25">
      <c r="A569" s="3" t="s">
        <v>46</v>
      </c>
      <c r="B569" s="6" t="s">
        <v>814</v>
      </c>
      <c r="C569" s="3" t="s">
        <v>815</v>
      </c>
      <c r="D569" s="6">
        <v>73.709999999999994</v>
      </c>
      <c r="E569" s="6">
        <v>38.79</v>
      </c>
      <c r="F569" s="6">
        <v>26.22</v>
      </c>
    </row>
    <row r="570" spans="1:6" x14ac:dyDescent="0.25">
      <c r="A570" s="3" t="s">
        <v>46</v>
      </c>
      <c r="B570" s="6" t="s">
        <v>921</v>
      </c>
      <c r="C570" s="3" t="s">
        <v>1347</v>
      </c>
      <c r="D570" s="6">
        <v>79.739999999999995</v>
      </c>
      <c r="E570" s="6">
        <v>40.96</v>
      </c>
      <c r="F570" s="6">
        <v>28.79</v>
      </c>
    </row>
    <row r="571" spans="1:6" x14ac:dyDescent="0.25">
      <c r="A571" s="3" t="s">
        <v>46</v>
      </c>
      <c r="B571" s="6" t="s">
        <v>37</v>
      </c>
      <c r="C571" s="3" t="s">
        <v>391</v>
      </c>
      <c r="D571" s="6">
        <v>72.88</v>
      </c>
      <c r="E571" s="6">
        <v>43</v>
      </c>
      <c r="F571" s="6">
        <v>24.5</v>
      </c>
    </row>
    <row r="572" spans="1:6" x14ac:dyDescent="0.25">
      <c r="A572" s="3" t="s">
        <v>46</v>
      </c>
      <c r="B572" s="6" t="s">
        <v>322</v>
      </c>
      <c r="C572" s="3" t="s">
        <v>813</v>
      </c>
      <c r="D572" s="6">
        <v>83.77</v>
      </c>
      <c r="E572" s="6">
        <v>45.12</v>
      </c>
      <c r="F572" s="6">
        <v>32.700000000000003</v>
      </c>
    </row>
    <row r="573" spans="1:6" x14ac:dyDescent="0.25">
      <c r="A573" s="3" t="s">
        <v>46</v>
      </c>
      <c r="B573" s="6" t="s">
        <v>816</v>
      </c>
      <c r="C573" s="3" t="s">
        <v>817</v>
      </c>
      <c r="D573" s="6">
        <v>84.12</v>
      </c>
      <c r="E573" s="6">
        <v>38.18</v>
      </c>
      <c r="F573" s="6">
        <v>34.619999999999997</v>
      </c>
    </row>
    <row r="574" spans="1:6" x14ac:dyDescent="0.25">
      <c r="A574" s="3" t="s">
        <v>46</v>
      </c>
      <c r="B574" s="6" t="s">
        <v>640</v>
      </c>
      <c r="C574" s="3" t="s">
        <v>641</v>
      </c>
      <c r="D574" s="6">
        <v>92.44</v>
      </c>
      <c r="E574" s="6">
        <v>45.97</v>
      </c>
      <c r="F574" s="6">
        <v>33.61</v>
      </c>
    </row>
    <row r="575" spans="1:6" x14ac:dyDescent="0.25">
      <c r="A575" s="3" t="s">
        <v>46</v>
      </c>
      <c r="B575" s="6" t="s">
        <v>366</v>
      </c>
      <c r="C575" s="3" t="s">
        <v>642</v>
      </c>
      <c r="D575" s="6">
        <v>68.459999999999994</v>
      </c>
      <c r="E575" s="6">
        <v>38.31</v>
      </c>
      <c r="F575" s="6">
        <v>24.27</v>
      </c>
    </row>
    <row r="576" spans="1:6" x14ac:dyDescent="0.25">
      <c r="A576" s="3" t="s">
        <v>46</v>
      </c>
      <c r="B576" s="6" t="s">
        <v>618</v>
      </c>
      <c r="C576" s="3" t="s">
        <v>1348</v>
      </c>
      <c r="D576" s="6">
        <v>85.19</v>
      </c>
      <c r="E576" s="6">
        <v>40.549999999999997</v>
      </c>
      <c r="F576" s="6">
        <v>30.93</v>
      </c>
    </row>
    <row r="577" spans="1:6" x14ac:dyDescent="0.25">
      <c r="A577" s="3" t="s">
        <v>46</v>
      </c>
      <c r="B577" s="6" t="s">
        <v>198</v>
      </c>
      <c r="C577" s="3" t="s">
        <v>199</v>
      </c>
      <c r="D577" s="6">
        <v>72.56</v>
      </c>
      <c r="E577" s="6">
        <v>33.85</v>
      </c>
      <c r="F577" s="6">
        <v>28.26</v>
      </c>
    </row>
    <row r="578" spans="1:6" x14ac:dyDescent="0.25">
      <c r="A578" s="3" t="s">
        <v>46</v>
      </c>
      <c r="B578" s="6" t="s">
        <v>355</v>
      </c>
      <c r="C578" s="3" t="s">
        <v>717</v>
      </c>
      <c r="D578" s="6">
        <v>71</v>
      </c>
      <c r="E578" s="6">
        <v>38</v>
      </c>
      <c r="F578" s="6">
        <v>24</v>
      </c>
    </row>
    <row r="579" spans="1:6" x14ac:dyDescent="0.25">
      <c r="A579" s="3" t="s">
        <v>46</v>
      </c>
      <c r="B579" s="6" t="s">
        <v>467</v>
      </c>
      <c r="C579" s="3" t="s">
        <v>468</v>
      </c>
      <c r="D579" s="6">
        <v>85</v>
      </c>
      <c r="E579" s="6">
        <v>42</v>
      </c>
      <c r="F579" s="6">
        <v>34</v>
      </c>
    </row>
    <row r="580" spans="1:6" x14ac:dyDescent="0.25">
      <c r="A580" s="3" t="s">
        <v>46</v>
      </c>
      <c r="B580" s="6" t="s">
        <v>167</v>
      </c>
      <c r="C580" s="3" t="s">
        <v>168</v>
      </c>
      <c r="D580" s="6">
        <v>76</v>
      </c>
      <c r="E580" s="6">
        <v>38</v>
      </c>
      <c r="F580" s="6">
        <v>26</v>
      </c>
    </row>
    <row r="581" spans="1:6" x14ac:dyDescent="0.25">
      <c r="A581" s="3" t="s">
        <v>46</v>
      </c>
      <c r="B581" s="6" t="s">
        <v>368</v>
      </c>
      <c r="C581" s="3" t="s">
        <v>1349</v>
      </c>
      <c r="D581" s="6">
        <v>88.95</v>
      </c>
      <c r="E581" s="6">
        <v>40.29</v>
      </c>
      <c r="F581" s="6">
        <v>34.25</v>
      </c>
    </row>
    <row r="582" spans="1:6" x14ac:dyDescent="0.25">
      <c r="A582" s="3" t="s">
        <v>46</v>
      </c>
      <c r="B582" s="6" t="s">
        <v>636</v>
      </c>
      <c r="C582" s="3" t="s">
        <v>637</v>
      </c>
      <c r="D582" s="6">
        <v>83.03</v>
      </c>
      <c r="E582" s="6">
        <v>45.64</v>
      </c>
      <c r="F582" s="6">
        <v>30.02</v>
      </c>
    </row>
    <row r="583" spans="1:6" x14ac:dyDescent="0.25">
      <c r="A583" s="3" t="s">
        <v>46</v>
      </c>
      <c r="B583" s="6" t="s">
        <v>722</v>
      </c>
      <c r="C583" s="3" t="s">
        <v>723</v>
      </c>
      <c r="D583" s="6">
        <v>64.3</v>
      </c>
      <c r="E583" s="6">
        <v>39.22</v>
      </c>
      <c r="F583" s="6">
        <v>23.43</v>
      </c>
    </row>
    <row r="584" spans="1:6" x14ac:dyDescent="0.25">
      <c r="A584" s="3" t="s">
        <v>46</v>
      </c>
      <c r="B584" s="6" t="s">
        <v>556</v>
      </c>
      <c r="C584" s="3" t="s">
        <v>1350</v>
      </c>
      <c r="D584" s="6">
        <v>64.59</v>
      </c>
      <c r="E584" s="6">
        <v>35.03</v>
      </c>
      <c r="F584" s="6">
        <v>24.73</v>
      </c>
    </row>
    <row r="585" spans="1:6" x14ac:dyDescent="0.25">
      <c r="A585" s="3" t="s">
        <v>46</v>
      </c>
      <c r="B585" s="6" t="s">
        <v>471</v>
      </c>
      <c r="C585" s="3" t="s">
        <v>472</v>
      </c>
      <c r="D585" s="6">
        <v>67.239999999999995</v>
      </c>
      <c r="E585" s="6">
        <v>38.9</v>
      </c>
      <c r="F585" s="6">
        <v>23.47</v>
      </c>
    </row>
    <row r="586" spans="1:6" x14ac:dyDescent="0.25">
      <c r="A586" s="3" t="s">
        <v>46</v>
      </c>
      <c r="B586" s="6" t="s">
        <v>620</v>
      </c>
      <c r="C586" s="3" t="s">
        <v>1351</v>
      </c>
      <c r="D586" s="6">
        <v>84</v>
      </c>
      <c r="E586" s="6">
        <v>39</v>
      </c>
      <c r="F586" s="6">
        <v>31</v>
      </c>
    </row>
    <row r="587" spans="1:6" x14ac:dyDescent="0.25">
      <c r="A587" s="3" t="s">
        <v>46</v>
      </c>
      <c r="B587" s="6" t="s">
        <v>222</v>
      </c>
      <c r="C587" s="3" t="s">
        <v>1352</v>
      </c>
      <c r="D587" s="6">
        <v>72.989999999999995</v>
      </c>
      <c r="E587" s="6">
        <v>43.04</v>
      </c>
      <c r="F587" s="6">
        <v>29.57</v>
      </c>
    </row>
    <row r="588" spans="1:6" x14ac:dyDescent="0.25">
      <c r="A588" s="3" t="s">
        <v>46</v>
      </c>
      <c r="B588" s="6" t="s">
        <v>268</v>
      </c>
      <c r="C588" s="3" t="s">
        <v>269</v>
      </c>
      <c r="D588" s="6">
        <v>84</v>
      </c>
      <c r="E588" s="6">
        <v>41.32</v>
      </c>
      <c r="F588" s="6">
        <v>32.770000000000003</v>
      </c>
    </row>
    <row r="589" spans="1:6" x14ac:dyDescent="0.25">
      <c r="A589" s="3" t="s">
        <v>46</v>
      </c>
      <c r="B589" s="6" t="s">
        <v>584</v>
      </c>
      <c r="C589" s="3" t="s">
        <v>585</v>
      </c>
      <c r="D589" s="6">
        <v>81.75</v>
      </c>
      <c r="E589" s="6">
        <v>47.33</v>
      </c>
      <c r="F589" s="6">
        <v>30.07</v>
      </c>
    </row>
    <row r="590" spans="1:6" x14ac:dyDescent="0.25">
      <c r="A590" s="3" t="s">
        <v>46</v>
      </c>
      <c r="B590" s="6" t="s">
        <v>262</v>
      </c>
      <c r="C590" s="3" t="s">
        <v>263</v>
      </c>
      <c r="D590" s="6">
        <v>70.739999999999995</v>
      </c>
      <c r="E590" s="6">
        <v>37.94</v>
      </c>
      <c r="F590" s="6">
        <v>26.72</v>
      </c>
    </row>
    <row r="591" spans="1:6" x14ac:dyDescent="0.25">
      <c r="A591" s="3" t="s">
        <v>46</v>
      </c>
      <c r="B591" s="6" t="s">
        <v>486</v>
      </c>
      <c r="C591" s="3" t="s">
        <v>487</v>
      </c>
      <c r="D591" s="6">
        <v>81.87</v>
      </c>
      <c r="E591" s="6">
        <v>44.67</v>
      </c>
      <c r="F591" s="6">
        <v>32.590000000000003</v>
      </c>
    </row>
    <row r="592" spans="1:6" x14ac:dyDescent="0.25">
      <c r="A592" s="3" t="s">
        <v>46</v>
      </c>
      <c r="B592" s="6" t="s">
        <v>893</v>
      </c>
      <c r="C592" s="3" t="s">
        <v>1353</v>
      </c>
      <c r="D592" s="6">
        <v>74.63</v>
      </c>
      <c r="E592" s="6">
        <v>38.24</v>
      </c>
      <c r="F592" s="6">
        <v>25.86</v>
      </c>
    </row>
    <row r="593" spans="1:6" x14ac:dyDescent="0.25">
      <c r="A593" s="3" t="s">
        <v>46</v>
      </c>
      <c r="B593" s="6" t="s">
        <v>892</v>
      </c>
      <c r="C593" s="3" t="s">
        <v>1354</v>
      </c>
      <c r="D593">
        <v>72</v>
      </c>
      <c r="E593">
        <v>39</v>
      </c>
      <c r="F593">
        <v>26</v>
      </c>
    </row>
    <row r="594" spans="1:6" x14ac:dyDescent="0.25">
      <c r="A594" s="3" t="s">
        <v>46</v>
      </c>
      <c r="B594" s="6" t="s">
        <v>866</v>
      </c>
      <c r="C594" s="3" t="s">
        <v>1355</v>
      </c>
      <c r="D594">
        <v>79.680000000000007</v>
      </c>
      <c r="E594">
        <v>45.4</v>
      </c>
      <c r="F594">
        <v>29.6</v>
      </c>
    </row>
    <row r="595" spans="1:6" x14ac:dyDescent="0.25">
      <c r="A595" s="3" t="s">
        <v>46</v>
      </c>
      <c r="B595" s="6" t="s">
        <v>183</v>
      </c>
      <c r="C595" s="3" t="s">
        <v>184</v>
      </c>
      <c r="D595" s="6">
        <v>62.57</v>
      </c>
      <c r="E595" s="6">
        <v>36.049999999999997</v>
      </c>
      <c r="F595" s="6">
        <v>23.88</v>
      </c>
    </row>
    <row r="596" spans="1:6" x14ac:dyDescent="0.25">
      <c r="A596" s="3" t="s">
        <v>46</v>
      </c>
      <c r="B596" s="6" t="s">
        <v>660</v>
      </c>
      <c r="C596" s="3" t="s">
        <v>661</v>
      </c>
      <c r="D596" s="6">
        <v>80.33</v>
      </c>
      <c r="E596" s="6">
        <v>38</v>
      </c>
      <c r="F596" s="6">
        <v>28.94</v>
      </c>
    </row>
    <row r="597" spans="1:6" x14ac:dyDescent="0.25">
      <c r="A597" s="3" t="s">
        <v>46</v>
      </c>
      <c r="B597" s="6" t="s">
        <v>260</v>
      </c>
      <c r="C597" s="3" t="s">
        <v>261</v>
      </c>
      <c r="D597" s="6">
        <v>69</v>
      </c>
      <c r="E597" s="6">
        <v>37.880000000000003</v>
      </c>
      <c r="F597" s="6">
        <v>24.18</v>
      </c>
    </row>
    <row r="598" spans="1:6" x14ac:dyDescent="0.25">
      <c r="A598" s="3" t="s">
        <v>46</v>
      </c>
      <c r="B598" s="6" t="s">
        <v>425</v>
      </c>
      <c r="C598" s="3" t="s">
        <v>426</v>
      </c>
      <c r="D598" s="6">
        <v>84.46</v>
      </c>
      <c r="E598" s="6">
        <v>45.67</v>
      </c>
      <c r="F598" s="6">
        <v>31.23</v>
      </c>
    </row>
    <row r="599" spans="1:6" x14ac:dyDescent="0.25">
      <c r="A599" s="3" t="s">
        <v>46</v>
      </c>
      <c r="B599" s="6" t="s">
        <v>616</v>
      </c>
      <c r="C599" s="3" t="s">
        <v>1356</v>
      </c>
      <c r="D599" s="6">
        <v>69.59</v>
      </c>
      <c r="E599" s="6">
        <v>41.15</v>
      </c>
      <c r="F599" s="6">
        <v>25.91</v>
      </c>
    </row>
    <row r="600" spans="1:6" x14ac:dyDescent="0.25">
      <c r="A600" s="3" t="s">
        <v>46</v>
      </c>
      <c r="B600" s="6" t="s">
        <v>477</v>
      </c>
      <c r="C600" s="3" t="s">
        <v>478</v>
      </c>
      <c r="D600" s="6">
        <v>84.55</v>
      </c>
      <c r="E600" s="6">
        <v>41.57</v>
      </c>
      <c r="F600" s="6">
        <v>32.33</v>
      </c>
    </row>
    <row r="601" spans="1:6" x14ac:dyDescent="0.25">
      <c r="A601" s="3" t="s">
        <v>46</v>
      </c>
      <c r="B601" s="6" t="s">
        <v>725</v>
      </c>
      <c r="C601" s="3" t="s">
        <v>726</v>
      </c>
      <c r="D601" s="6">
        <v>60.95</v>
      </c>
      <c r="E601" s="6">
        <v>35.32</v>
      </c>
      <c r="F601" s="6">
        <v>22.89</v>
      </c>
    </row>
    <row r="602" spans="1:6" x14ac:dyDescent="0.25">
      <c r="A602" s="3" t="s">
        <v>46</v>
      </c>
      <c r="B602" s="6" t="s">
        <v>649</v>
      </c>
      <c r="C602" s="3" t="s">
        <v>650</v>
      </c>
      <c r="D602" s="6">
        <v>61.69</v>
      </c>
      <c r="E602" s="6">
        <v>36.15</v>
      </c>
      <c r="F602" s="6">
        <v>20.97</v>
      </c>
    </row>
    <row r="603" spans="1:6" x14ac:dyDescent="0.25">
      <c r="A603" s="3" t="s">
        <v>46</v>
      </c>
      <c r="B603" s="6" t="s">
        <v>930</v>
      </c>
      <c r="C603" s="3" t="s">
        <v>1357</v>
      </c>
      <c r="D603" s="6">
        <v>74</v>
      </c>
      <c r="E603" s="6">
        <v>40</v>
      </c>
      <c r="F603" s="6">
        <v>29</v>
      </c>
    </row>
    <row r="604" spans="1:6" x14ac:dyDescent="0.25">
      <c r="A604" s="3" t="s">
        <v>46</v>
      </c>
      <c r="B604" s="6" t="s">
        <v>55</v>
      </c>
      <c r="C604" s="3" t="s">
        <v>56</v>
      </c>
      <c r="D604" s="6">
        <v>81</v>
      </c>
      <c r="E604" s="6">
        <v>41</v>
      </c>
      <c r="F604" s="6">
        <v>28</v>
      </c>
    </row>
    <row r="605" spans="1:6" x14ac:dyDescent="0.25">
      <c r="A605" s="3" t="s">
        <v>46</v>
      </c>
      <c r="B605" s="6" t="s">
        <v>552</v>
      </c>
      <c r="C605" s="3" t="s">
        <v>806</v>
      </c>
      <c r="D605" s="6">
        <v>75.66</v>
      </c>
      <c r="E605" s="6">
        <v>41.6</v>
      </c>
      <c r="F605" s="6">
        <v>29.11</v>
      </c>
    </row>
    <row r="606" spans="1:6" x14ac:dyDescent="0.25">
      <c r="A606" s="3" t="s">
        <v>46</v>
      </c>
      <c r="B606" s="6" t="s">
        <v>533</v>
      </c>
      <c r="C606" s="3" t="s">
        <v>724</v>
      </c>
      <c r="D606" s="6">
        <v>63.23</v>
      </c>
      <c r="E606" s="6">
        <v>34.32</v>
      </c>
      <c r="F606" s="6">
        <v>22.43</v>
      </c>
    </row>
    <row r="607" spans="1:6" x14ac:dyDescent="0.25">
      <c r="A607" s="3" t="s">
        <v>46</v>
      </c>
      <c r="B607" s="6" t="s">
        <v>715</v>
      </c>
      <c r="C607" s="3" t="s">
        <v>716</v>
      </c>
      <c r="D607" s="6">
        <v>63.98</v>
      </c>
      <c r="E607" s="6">
        <v>32.6</v>
      </c>
      <c r="F607" s="6">
        <v>23.39</v>
      </c>
    </row>
    <row r="608" spans="1:6" x14ac:dyDescent="0.25">
      <c r="A608" s="3" t="s">
        <v>46</v>
      </c>
      <c r="B608" s="6" t="s">
        <v>871</v>
      </c>
      <c r="C608" s="3" t="s">
        <v>1358</v>
      </c>
      <c r="D608">
        <v>75.77</v>
      </c>
      <c r="E608">
        <v>37.93</v>
      </c>
      <c r="F608">
        <v>28.94</v>
      </c>
    </row>
    <row r="609" spans="1:7" x14ac:dyDescent="0.25">
      <c r="A609" s="3" t="s">
        <v>46</v>
      </c>
      <c r="B609" s="6" t="s">
        <v>538</v>
      </c>
      <c r="C609" s="3" t="s">
        <v>1359</v>
      </c>
      <c r="D609" s="6">
        <v>77.239999999999995</v>
      </c>
      <c r="E609" s="6">
        <v>44.21</v>
      </c>
      <c r="F609" s="6">
        <v>27.84</v>
      </c>
    </row>
    <row r="610" spans="1:7" x14ac:dyDescent="0.25">
      <c r="A610" s="3" t="s">
        <v>46</v>
      </c>
      <c r="B610" s="6" t="s">
        <v>192</v>
      </c>
      <c r="C610" s="3" t="s">
        <v>193</v>
      </c>
      <c r="D610" s="6">
        <v>74.709999999999994</v>
      </c>
      <c r="E610" s="6">
        <v>36.57</v>
      </c>
      <c r="F610" s="6">
        <v>24.26</v>
      </c>
    </row>
    <row r="611" spans="1:7" x14ac:dyDescent="0.25">
      <c r="A611" s="3" t="s">
        <v>46</v>
      </c>
      <c r="B611" s="6" t="s">
        <v>573</v>
      </c>
      <c r="C611" s="3" t="s">
        <v>574</v>
      </c>
      <c r="D611" s="6">
        <v>65.56</v>
      </c>
      <c r="E611" s="6">
        <v>37.89</v>
      </c>
      <c r="F611" s="6">
        <v>23.88</v>
      </c>
    </row>
    <row r="612" spans="1:7" x14ac:dyDescent="0.25">
      <c r="A612" s="3" t="s">
        <v>46</v>
      </c>
      <c r="B612" s="6" t="s">
        <v>679</v>
      </c>
      <c r="C612" s="3" t="s">
        <v>1360</v>
      </c>
      <c r="D612" s="6">
        <v>64.459999999999994</v>
      </c>
      <c r="E612" s="6">
        <v>37.11</v>
      </c>
      <c r="F612" s="6">
        <v>22.9</v>
      </c>
    </row>
    <row r="613" spans="1:7" x14ac:dyDescent="0.25">
      <c r="A613" s="3" t="s">
        <v>46</v>
      </c>
      <c r="B613" s="6" t="s">
        <v>358</v>
      </c>
      <c r="C613" s="3" t="s">
        <v>820</v>
      </c>
      <c r="D613" s="6">
        <v>67.48</v>
      </c>
      <c r="E613" s="6">
        <v>40.770000000000003</v>
      </c>
      <c r="F613" s="6">
        <v>24.66</v>
      </c>
    </row>
    <row r="614" spans="1:7" x14ac:dyDescent="0.25">
      <c r="A614" s="3" t="s">
        <v>46</v>
      </c>
      <c r="B614" s="6" t="s">
        <v>194</v>
      </c>
      <c r="C614" s="3" t="s">
        <v>195</v>
      </c>
      <c r="D614" s="6">
        <v>66.650000000000006</v>
      </c>
      <c r="E614" s="6">
        <v>36.11</v>
      </c>
      <c r="F614" s="6">
        <v>23.97</v>
      </c>
    </row>
    <row r="615" spans="1:7" x14ac:dyDescent="0.25">
      <c r="A615" s="3" t="s">
        <v>46</v>
      </c>
      <c r="B615" s="6" t="s">
        <v>755</v>
      </c>
      <c r="C615" s="3" t="s">
        <v>1361</v>
      </c>
      <c r="D615" s="6">
        <v>64.430000000000007</v>
      </c>
      <c r="E615" s="6">
        <v>43.61</v>
      </c>
      <c r="F615" s="6">
        <v>23.2</v>
      </c>
    </row>
    <row r="616" spans="1:7" x14ac:dyDescent="0.25">
      <c r="A616" s="3" t="s">
        <v>46</v>
      </c>
      <c r="B616" s="6" t="s">
        <v>520</v>
      </c>
      <c r="C616" s="3" t="s">
        <v>634</v>
      </c>
      <c r="D616" s="6">
        <v>80.3</v>
      </c>
      <c r="E616" s="6">
        <v>45.61</v>
      </c>
      <c r="F616" s="6">
        <v>30.32</v>
      </c>
    </row>
    <row r="617" spans="1:7" x14ac:dyDescent="0.25">
      <c r="A617" s="3" t="s">
        <v>46</v>
      </c>
      <c r="B617" s="6" t="s">
        <v>946</v>
      </c>
      <c r="C617" s="3" t="s">
        <v>1362</v>
      </c>
      <c r="D617" s="6">
        <v>65.290000000000006</v>
      </c>
      <c r="E617" s="6">
        <v>33.729999999999997</v>
      </c>
      <c r="F617" s="6">
        <v>22.81</v>
      </c>
    </row>
    <row r="618" spans="1:7" x14ac:dyDescent="0.25">
      <c r="A618" s="3" t="s">
        <v>46</v>
      </c>
      <c r="B618" s="6" t="s">
        <v>270</v>
      </c>
      <c r="C618" s="3" t="s">
        <v>271</v>
      </c>
      <c r="D618" s="6">
        <v>84.35</v>
      </c>
      <c r="E618" s="6">
        <v>43.33</v>
      </c>
      <c r="F618" s="6">
        <v>31.2</v>
      </c>
    </row>
    <row r="619" spans="1:7" x14ac:dyDescent="0.25">
      <c r="A619" s="3" t="s">
        <v>46</v>
      </c>
      <c r="B619" s="6" t="s">
        <v>351</v>
      </c>
      <c r="C619" s="3" t="s">
        <v>385</v>
      </c>
      <c r="D619" s="6">
        <v>68.55</v>
      </c>
      <c r="E619" s="6">
        <v>36.11</v>
      </c>
      <c r="F619" s="6">
        <v>26.28</v>
      </c>
      <c r="G619" t="s">
        <v>1363</v>
      </c>
    </row>
    <row r="620" spans="1:7" x14ac:dyDescent="0.25">
      <c r="A620" s="3" t="s">
        <v>46</v>
      </c>
      <c r="B620" s="6" t="s">
        <v>873</v>
      </c>
      <c r="C620" s="3" t="s">
        <v>1364</v>
      </c>
      <c r="D620" s="6">
        <v>64.010000000000005</v>
      </c>
      <c r="E620" s="6">
        <v>30.8</v>
      </c>
      <c r="F620" s="6">
        <v>22.21</v>
      </c>
    </row>
    <row r="621" spans="1:7" x14ac:dyDescent="0.25">
      <c r="A621" s="3" t="s">
        <v>46</v>
      </c>
      <c r="B621" s="6" t="s">
        <v>423</v>
      </c>
      <c r="C621" s="3" t="s">
        <v>424</v>
      </c>
      <c r="D621" s="6">
        <v>66.959999999999994</v>
      </c>
      <c r="E621" s="6">
        <v>36.75</v>
      </c>
      <c r="F621" s="6">
        <v>23.59</v>
      </c>
    </row>
    <row r="622" spans="1:7" x14ac:dyDescent="0.25">
      <c r="A622" s="3" t="s">
        <v>46</v>
      </c>
      <c r="B622" s="6" t="s">
        <v>546</v>
      </c>
      <c r="C622" s="3" t="s">
        <v>719</v>
      </c>
      <c r="D622" s="6">
        <v>72.34</v>
      </c>
      <c r="E622" s="6">
        <v>45.01</v>
      </c>
      <c r="F622" s="6">
        <v>26.78</v>
      </c>
    </row>
    <row r="623" spans="1:7" x14ac:dyDescent="0.25">
      <c r="A623" s="3" t="s">
        <v>46</v>
      </c>
      <c r="B623" s="6" t="s">
        <v>101</v>
      </c>
      <c r="C623" s="3" t="s">
        <v>1365</v>
      </c>
      <c r="D623" s="6">
        <v>90</v>
      </c>
      <c r="E623" s="6">
        <v>41</v>
      </c>
      <c r="F623" s="6">
        <v>30</v>
      </c>
    </row>
    <row r="624" spans="1:7" x14ac:dyDescent="0.25">
      <c r="A624" s="3" t="s">
        <v>46</v>
      </c>
      <c r="B624" s="6" t="s">
        <v>98</v>
      </c>
      <c r="C624" s="3" t="s">
        <v>788</v>
      </c>
      <c r="D624" s="6">
        <v>85</v>
      </c>
      <c r="E624" s="6">
        <v>40</v>
      </c>
      <c r="F624" s="6">
        <v>31</v>
      </c>
    </row>
    <row r="625" spans="1:6" x14ac:dyDescent="0.25">
      <c r="A625" s="3" t="s">
        <v>46</v>
      </c>
      <c r="B625" s="6" t="s">
        <v>90</v>
      </c>
      <c r="C625" s="3" t="s">
        <v>586</v>
      </c>
      <c r="D625" s="6">
        <v>69</v>
      </c>
      <c r="E625" s="6">
        <v>32</v>
      </c>
      <c r="F625" s="6">
        <v>24</v>
      </c>
    </row>
    <row r="626" spans="1:6" x14ac:dyDescent="0.25">
      <c r="A626" s="3" t="s">
        <v>46</v>
      </c>
      <c r="B626" s="6" t="s">
        <v>94</v>
      </c>
      <c r="C626" s="3" t="s">
        <v>651</v>
      </c>
      <c r="D626" s="6">
        <v>68</v>
      </c>
      <c r="E626" s="6">
        <v>32</v>
      </c>
      <c r="F626" s="6">
        <v>23</v>
      </c>
    </row>
    <row r="627" spans="1:6" x14ac:dyDescent="0.25">
      <c r="A627" s="3" t="s">
        <v>46</v>
      </c>
      <c r="B627" s="6" t="s">
        <v>32</v>
      </c>
      <c r="C627" s="3" t="s">
        <v>1366</v>
      </c>
      <c r="D627" s="6">
        <v>76.44</v>
      </c>
      <c r="E627" s="6">
        <v>40.21</v>
      </c>
      <c r="F627" s="6">
        <v>26.93</v>
      </c>
    </row>
    <row r="628" spans="1:6" x14ac:dyDescent="0.25">
      <c r="A628" s="3" t="s">
        <v>46</v>
      </c>
      <c r="B628" s="6" t="s">
        <v>440</v>
      </c>
      <c r="C628" s="3" t="s">
        <v>441</v>
      </c>
      <c r="D628" s="6">
        <v>93.62</v>
      </c>
      <c r="E628" s="6">
        <v>45.15</v>
      </c>
      <c r="F628" s="6">
        <v>32.46</v>
      </c>
    </row>
    <row r="629" spans="1:6" x14ac:dyDescent="0.25">
      <c r="A629" s="3" t="s">
        <v>46</v>
      </c>
      <c r="B629" s="6" t="s">
        <v>529</v>
      </c>
      <c r="C629" s="3" t="s">
        <v>1367</v>
      </c>
      <c r="D629" s="6">
        <v>70</v>
      </c>
      <c r="E629" s="6">
        <v>37</v>
      </c>
      <c r="F629" s="6">
        <v>24</v>
      </c>
    </row>
    <row r="630" spans="1:6" x14ac:dyDescent="0.25">
      <c r="A630" s="3" t="s">
        <v>46</v>
      </c>
      <c r="B630" s="6" t="s">
        <v>118</v>
      </c>
      <c r="C630" s="3" t="s">
        <v>376</v>
      </c>
      <c r="D630" s="6">
        <v>75</v>
      </c>
      <c r="E630" s="6">
        <v>37</v>
      </c>
      <c r="F630" s="6">
        <v>28</v>
      </c>
    </row>
    <row r="631" spans="1:6" x14ac:dyDescent="0.25">
      <c r="A631" s="3" t="s">
        <v>46</v>
      </c>
      <c r="B631" s="6" t="s">
        <v>597</v>
      </c>
      <c r="C631" s="3" t="s">
        <v>1368</v>
      </c>
      <c r="D631" s="6">
        <v>70.09</v>
      </c>
      <c r="E631" s="6">
        <v>38.18</v>
      </c>
      <c r="F631" s="6">
        <v>23.98</v>
      </c>
    </row>
    <row r="632" spans="1:6" x14ac:dyDescent="0.25">
      <c r="A632" s="3" t="s">
        <v>46</v>
      </c>
      <c r="B632" s="6" t="s">
        <v>602</v>
      </c>
      <c r="C632" s="3" t="s">
        <v>1369</v>
      </c>
      <c r="D632" s="6">
        <v>63.37</v>
      </c>
      <c r="E632" s="6">
        <v>35.97</v>
      </c>
      <c r="F632" s="6">
        <v>23.25</v>
      </c>
    </row>
    <row r="633" spans="1:6" x14ac:dyDescent="0.25">
      <c r="A633" s="3" t="s">
        <v>46</v>
      </c>
      <c r="B633" s="6" t="s">
        <v>599</v>
      </c>
      <c r="C633" s="3" t="s">
        <v>1370</v>
      </c>
      <c r="D633" s="6">
        <v>73</v>
      </c>
      <c r="E633" s="6">
        <v>39</v>
      </c>
      <c r="F633" s="6">
        <v>29</v>
      </c>
    </row>
    <row r="634" spans="1:6" x14ac:dyDescent="0.25">
      <c r="A634" s="3" t="s">
        <v>46</v>
      </c>
      <c r="B634" s="6" t="s">
        <v>374</v>
      </c>
      <c r="C634" s="3" t="s">
        <v>375</v>
      </c>
      <c r="D634" s="6">
        <v>86</v>
      </c>
      <c r="E634" s="6">
        <v>40</v>
      </c>
      <c r="F634" s="6">
        <v>32</v>
      </c>
    </row>
    <row r="635" spans="1:6" x14ac:dyDescent="0.25">
      <c r="A635" s="3" t="s">
        <v>46</v>
      </c>
      <c r="B635" s="6" t="s">
        <v>459</v>
      </c>
      <c r="C635" s="3" t="s">
        <v>1371</v>
      </c>
      <c r="D635" s="6">
        <v>66.91</v>
      </c>
      <c r="E635" s="6">
        <v>43.2</v>
      </c>
      <c r="F635" s="6">
        <v>27.97</v>
      </c>
    </row>
    <row r="636" spans="1:6" x14ac:dyDescent="0.25">
      <c r="A636" s="3" t="s">
        <v>46</v>
      </c>
      <c r="B636" s="6" t="s">
        <v>608</v>
      </c>
      <c r="C636" s="3" t="s">
        <v>1372</v>
      </c>
      <c r="D636" s="6">
        <v>83</v>
      </c>
      <c r="E636" s="6">
        <v>38</v>
      </c>
      <c r="F636" s="6">
        <v>31</v>
      </c>
    </row>
    <row r="637" spans="1:6" x14ac:dyDescent="0.25">
      <c r="A637" s="3" t="s">
        <v>46</v>
      </c>
      <c r="B637" s="6" t="s">
        <v>772</v>
      </c>
      <c r="C637" s="3" t="s">
        <v>773</v>
      </c>
      <c r="D637" s="6">
        <v>95.17</v>
      </c>
      <c r="E637" s="6">
        <v>48.4</v>
      </c>
      <c r="F637" s="6">
        <v>30.62</v>
      </c>
    </row>
    <row r="638" spans="1:6" x14ac:dyDescent="0.25">
      <c r="A638" s="3" t="s">
        <v>46</v>
      </c>
      <c r="B638" s="6" t="s">
        <v>174</v>
      </c>
      <c r="C638" s="3" t="s">
        <v>175</v>
      </c>
      <c r="D638" s="6">
        <v>63</v>
      </c>
      <c r="E638" s="6">
        <v>32</v>
      </c>
      <c r="F638" s="6">
        <v>22</v>
      </c>
    </row>
    <row r="639" spans="1:6" x14ac:dyDescent="0.25">
      <c r="A639" s="3" t="s">
        <v>46</v>
      </c>
      <c r="B639" s="6" t="s">
        <v>612</v>
      </c>
      <c r="C639" s="3" t="s">
        <v>785</v>
      </c>
      <c r="D639" s="6">
        <v>87.58</v>
      </c>
      <c r="E639" s="6">
        <v>43.19</v>
      </c>
      <c r="F639" s="6">
        <v>30.78</v>
      </c>
    </row>
    <row r="640" spans="1:6" x14ac:dyDescent="0.25">
      <c r="A640" s="3" t="s">
        <v>46</v>
      </c>
      <c r="B640" s="6" t="s">
        <v>320</v>
      </c>
      <c r="C640" s="3" t="s">
        <v>384</v>
      </c>
      <c r="D640" s="6">
        <v>85</v>
      </c>
      <c r="E640" s="6">
        <v>37</v>
      </c>
      <c r="F640" s="6">
        <v>33</v>
      </c>
    </row>
    <row r="641" spans="1:6" x14ac:dyDescent="0.25">
      <c r="A641" s="3" t="s">
        <v>46</v>
      </c>
      <c r="B641" s="6" t="s">
        <v>256</v>
      </c>
      <c r="C641" s="3" t="s">
        <v>257</v>
      </c>
      <c r="D641" s="6">
        <v>70</v>
      </c>
      <c r="E641" s="6">
        <v>35</v>
      </c>
      <c r="F641" s="6">
        <v>29</v>
      </c>
    </row>
    <row r="642" spans="1:6" x14ac:dyDescent="0.25">
      <c r="A642" s="3" t="s">
        <v>46</v>
      </c>
      <c r="B642" s="6" t="s">
        <v>156</v>
      </c>
      <c r="C642" s="3" t="s">
        <v>157</v>
      </c>
      <c r="D642" s="6">
        <v>92.03</v>
      </c>
      <c r="E642" s="6">
        <v>47.6</v>
      </c>
      <c r="F642" s="6">
        <v>29.07</v>
      </c>
    </row>
    <row r="643" spans="1:6" x14ac:dyDescent="0.25">
      <c r="A643" s="3" t="s">
        <v>46</v>
      </c>
      <c r="B643" s="6" t="s">
        <v>196</v>
      </c>
      <c r="C643" s="3" t="s">
        <v>197</v>
      </c>
      <c r="D643" s="6">
        <v>76</v>
      </c>
      <c r="E643" s="6">
        <v>36</v>
      </c>
      <c r="F643" s="6">
        <v>31</v>
      </c>
    </row>
    <row r="644" spans="1:6" x14ac:dyDescent="0.25">
      <c r="A644" s="3" t="s">
        <v>46</v>
      </c>
      <c r="B644" s="6" t="s">
        <v>682</v>
      </c>
      <c r="C644" s="3" t="s">
        <v>1373</v>
      </c>
      <c r="D644" s="6">
        <v>78</v>
      </c>
      <c r="E644" s="6">
        <v>37</v>
      </c>
      <c r="F644" s="6">
        <v>26</v>
      </c>
    </row>
    <row r="645" spans="1:6" x14ac:dyDescent="0.25">
      <c r="A645" s="3" t="s">
        <v>46</v>
      </c>
      <c r="B645" s="6" t="s">
        <v>670</v>
      </c>
      <c r="C645" s="3" t="s">
        <v>1374</v>
      </c>
      <c r="D645" s="6">
        <v>81.069999999999993</v>
      </c>
      <c r="E645" s="6">
        <v>43.87</v>
      </c>
      <c r="F645" s="6">
        <v>31.13</v>
      </c>
    </row>
    <row r="646" spans="1:6" x14ac:dyDescent="0.25">
      <c r="A646" s="3" t="s">
        <v>46</v>
      </c>
      <c r="B646" s="6" t="s">
        <v>444</v>
      </c>
      <c r="C646" s="3" t="s">
        <v>570</v>
      </c>
      <c r="D646" s="6">
        <v>70</v>
      </c>
      <c r="E646" s="6">
        <v>37</v>
      </c>
      <c r="F646" s="6">
        <v>45</v>
      </c>
    </row>
    <row r="647" spans="1:6" x14ac:dyDescent="0.25">
      <c r="A647" s="3" t="s">
        <v>46</v>
      </c>
      <c r="B647" s="6" t="s">
        <v>154</v>
      </c>
      <c r="C647" s="3" t="s">
        <v>155</v>
      </c>
      <c r="D647" s="6">
        <v>87.35</v>
      </c>
      <c r="E647" s="6">
        <v>43.95</v>
      </c>
      <c r="F647" s="6">
        <v>31.82</v>
      </c>
    </row>
    <row r="648" spans="1:6" x14ac:dyDescent="0.25">
      <c r="A648" s="3" t="s">
        <v>46</v>
      </c>
      <c r="B648" s="6" t="s">
        <v>251</v>
      </c>
      <c r="C648" s="3" t="s">
        <v>252</v>
      </c>
      <c r="D648" s="6">
        <v>76</v>
      </c>
      <c r="E648" s="6">
        <v>37</v>
      </c>
      <c r="F648" s="6">
        <v>26</v>
      </c>
    </row>
    <row r="649" spans="1:6" x14ac:dyDescent="0.25">
      <c r="A649" s="3" t="s">
        <v>46</v>
      </c>
      <c r="B649" s="6" t="s">
        <v>307</v>
      </c>
      <c r="C649" s="3" t="s">
        <v>1375</v>
      </c>
      <c r="D649" s="6">
        <v>80</v>
      </c>
      <c r="E649" s="6">
        <v>41</v>
      </c>
      <c r="F649" s="6">
        <v>29</v>
      </c>
    </row>
    <row r="650" spans="1:6" x14ac:dyDescent="0.25">
      <c r="A650" s="3" t="s">
        <v>46</v>
      </c>
      <c r="B650" s="6" t="s">
        <v>127</v>
      </c>
      <c r="C650" s="3" t="s">
        <v>807</v>
      </c>
      <c r="D650" s="6">
        <v>78.209999999999994</v>
      </c>
      <c r="E650" s="6">
        <v>38.83</v>
      </c>
      <c r="F650" s="6">
        <v>26.95</v>
      </c>
    </row>
    <row r="651" spans="1:6" x14ac:dyDescent="0.25">
      <c r="A651" s="3" t="s">
        <v>46</v>
      </c>
      <c r="B651" s="6" t="s">
        <v>931</v>
      </c>
      <c r="C651" s="3" t="s">
        <v>1376</v>
      </c>
      <c r="D651" s="6">
        <v>72.08</v>
      </c>
      <c r="E651" s="6">
        <v>39.11</v>
      </c>
      <c r="F651" s="6">
        <v>24.53</v>
      </c>
    </row>
    <row r="652" spans="1:6" x14ac:dyDescent="0.25">
      <c r="A652" s="3" t="s">
        <v>46</v>
      </c>
      <c r="B652" s="6" t="s">
        <v>170</v>
      </c>
      <c r="C652" s="3" t="s">
        <v>171</v>
      </c>
      <c r="D652" s="6">
        <v>68.77</v>
      </c>
      <c r="E652" s="6">
        <v>36.799999999999997</v>
      </c>
      <c r="F652" s="6">
        <v>28.44</v>
      </c>
    </row>
    <row r="653" spans="1:6" x14ac:dyDescent="0.25">
      <c r="A653" s="3" t="s">
        <v>46</v>
      </c>
      <c r="B653" s="6" t="s">
        <v>49</v>
      </c>
      <c r="C653" s="3" t="s">
        <v>50</v>
      </c>
      <c r="D653" s="6">
        <v>75.98</v>
      </c>
      <c r="E653" s="6">
        <v>40.25</v>
      </c>
      <c r="F653" s="6">
        <v>27.05</v>
      </c>
    </row>
    <row r="654" spans="1:6" x14ac:dyDescent="0.25">
      <c r="A654" s="3" t="s">
        <v>46</v>
      </c>
      <c r="B654" s="6" t="s">
        <v>172</v>
      </c>
      <c r="C654" s="3" t="s">
        <v>173</v>
      </c>
      <c r="D654" s="6">
        <v>78.84</v>
      </c>
      <c r="E654" s="6">
        <v>36.630000000000003</v>
      </c>
      <c r="F654" s="6">
        <v>28.68</v>
      </c>
    </row>
    <row r="655" spans="1:6" x14ac:dyDescent="0.25">
      <c r="A655" s="3" t="s">
        <v>46</v>
      </c>
      <c r="B655" s="6" t="s">
        <v>544</v>
      </c>
      <c r="C655" s="3" t="s">
        <v>712</v>
      </c>
      <c r="D655" s="6">
        <v>74.010000000000005</v>
      </c>
      <c r="E655" s="6">
        <v>37.299999999999997</v>
      </c>
      <c r="F655" s="6">
        <v>26.48</v>
      </c>
    </row>
    <row r="656" spans="1:6" x14ac:dyDescent="0.25">
      <c r="A656" s="3" t="s">
        <v>46</v>
      </c>
      <c r="B656" s="6" t="s">
        <v>112</v>
      </c>
      <c r="C656" s="3" t="s">
        <v>778</v>
      </c>
      <c r="D656" s="6">
        <v>75.22</v>
      </c>
      <c r="E656" s="6">
        <v>35.700000000000003</v>
      </c>
      <c r="F656" s="6">
        <v>27.46</v>
      </c>
    </row>
    <row r="657" spans="1:7" x14ac:dyDescent="0.25">
      <c r="A657" s="3" t="s">
        <v>46</v>
      </c>
      <c r="B657" s="6" t="s">
        <v>216</v>
      </c>
      <c r="C657" s="3" t="s">
        <v>1377</v>
      </c>
      <c r="D657" s="6">
        <v>85.75</v>
      </c>
      <c r="E657" s="6">
        <v>41.71</v>
      </c>
      <c r="F657" s="6">
        <v>31.39</v>
      </c>
    </row>
    <row r="658" spans="1:7" x14ac:dyDescent="0.25">
      <c r="A658" s="3" t="s">
        <v>46</v>
      </c>
      <c r="B658" s="6" t="s">
        <v>181</v>
      </c>
      <c r="C658" s="3" t="s">
        <v>182</v>
      </c>
      <c r="D658" s="6">
        <v>74</v>
      </c>
      <c r="E658" s="6">
        <v>34</v>
      </c>
      <c r="F658" s="6">
        <v>27</v>
      </c>
    </row>
    <row r="659" spans="1:7" x14ac:dyDescent="0.25">
      <c r="A659" s="3" t="s">
        <v>46</v>
      </c>
      <c r="B659" s="6" t="s">
        <v>434</v>
      </c>
      <c r="C659" s="3" t="s">
        <v>435</v>
      </c>
      <c r="D659" s="6">
        <v>87</v>
      </c>
      <c r="E659" s="6">
        <v>40</v>
      </c>
      <c r="F659" s="6">
        <v>32</v>
      </c>
    </row>
    <row r="660" spans="1:7" x14ac:dyDescent="0.25">
      <c r="A660" s="3" t="s">
        <v>46</v>
      </c>
      <c r="B660" s="6" t="s">
        <v>159</v>
      </c>
      <c r="C660" s="3" t="s">
        <v>160</v>
      </c>
      <c r="D660" s="6">
        <v>79.67</v>
      </c>
      <c r="E660" s="6">
        <v>43.19</v>
      </c>
      <c r="F660" s="6">
        <v>27.48</v>
      </c>
    </row>
    <row r="661" spans="1:7" x14ac:dyDescent="0.25">
      <c r="A661" s="3" t="s">
        <v>46</v>
      </c>
      <c r="B661" s="6" t="s">
        <v>662</v>
      </c>
      <c r="C661" s="3" t="s">
        <v>663</v>
      </c>
      <c r="D661" s="6">
        <v>68.91</v>
      </c>
      <c r="E661" s="6">
        <v>35.36</v>
      </c>
      <c r="F661" s="6">
        <v>24.96</v>
      </c>
    </row>
    <row r="662" spans="1:7" x14ac:dyDescent="0.25">
      <c r="A662" s="3" t="s">
        <v>46</v>
      </c>
      <c r="B662" s="6" t="s">
        <v>165</v>
      </c>
      <c r="C662" s="3" t="s">
        <v>166</v>
      </c>
      <c r="D662" s="6">
        <v>68.95</v>
      </c>
      <c r="E662" s="6">
        <v>40.11</v>
      </c>
      <c r="F662" s="6">
        <v>23.49</v>
      </c>
    </row>
    <row r="663" spans="1:7" x14ac:dyDescent="0.25">
      <c r="A663" s="3" t="s">
        <v>46</v>
      </c>
      <c r="B663" s="6" t="s">
        <v>349</v>
      </c>
      <c r="C663" s="3" t="s">
        <v>666</v>
      </c>
      <c r="D663" s="6">
        <v>86</v>
      </c>
      <c r="E663" s="6">
        <v>38</v>
      </c>
      <c r="F663" s="6">
        <v>29</v>
      </c>
    </row>
    <row r="664" spans="1:7" x14ac:dyDescent="0.25">
      <c r="A664" s="3" t="s">
        <v>46</v>
      </c>
      <c r="B664" s="6" t="s">
        <v>177</v>
      </c>
      <c r="C664" s="3" t="s">
        <v>178</v>
      </c>
      <c r="D664" s="6">
        <v>82.34</v>
      </c>
      <c r="E664" s="6">
        <v>43.01</v>
      </c>
      <c r="F664" s="6">
        <v>27.64</v>
      </c>
    </row>
    <row r="665" spans="1:7" x14ac:dyDescent="0.25">
      <c r="A665" s="3" t="s">
        <v>46</v>
      </c>
      <c r="B665" s="6" t="s">
        <v>843</v>
      </c>
      <c r="C665" s="3" t="s">
        <v>1378</v>
      </c>
      <c r="D665" s="6">
        <v>69.92</v>
      </c>
      <c r="E665" s="6">
        <v>42.15</v>
      </c>
      <c r="F665" s="6">
        <v>28.05</v>
      </c>
    </row>
    <row r="666" spans="1:7" x14ac:dyDescent="0.25">
      <c r="A666" s="3" t="s">
        <v>46</v>
      </c>
      <c r="B666" s="6" t="s">
        <v>804</v>
      </c>
      <c r="C666" s="3" t="s">
        <v>805</v>
      </c>
      <c r="D666" s="6">
        <v>71</v>
      </c>
      <c r="E666" s="6">
        <v>36</v>
      </c>
      <c r="F666" s="6">
        <v>27</v>
      </c>
    </row>
    <row r="667" spans="1:7" x14ac:dyDescent="0.25">
      <c r="A667" s="3" t="s">
        <v>46</v>
      </c>
      <c r="B667" s="6" t="s">
        <v>380</v>
      </c>
      <c r="C667" s="3" t="s">
        <v>381</v>
      </c>
      <c r="D667" s="6">
        <v>82</v>
      </c>
      <c r="E667" s="6">
        <v>40</v>
      </c>
      <c r="F667" s="6">
        <v>32</v>
      </c>
    </row>
    <row r="668" spans="1:7" x14ac:dyDescent="0.25">
      <c r="A668" s="3" t="s">
        <v>46</v>
      </c>
      <c r="B668" s="6" t="s">
        <v>211</v>
      </c>
      <c r="C668" s="3" t="s">
        <v>1379</v>
      </c>
      <c r="D668" s="6">
        <v>71.09</v>
      </c>
      <c r="E668" s="6">
        <v>42.68</v>
      </c>
      <c r="F668" s="6">
        <v>24.51</v>
      </c>
      <c r="G668" t="s">
        <v>1380</v>
      </c>
    </row>
    <row r="669" spans="1:7" x14ac:dyDescent="0.25">
      <c r="A669" s="3" t="s">
        <v>46</v>
      </c>
      <c r="B669" s="6" t="s">
        <v>202</v>
      </c>
      <c r="C669" s="3" t="s">
        <v>1381</v>
      </c>
      <c r="D669" s="6">
        <v>73.69</v>
      </c>
      <c r="E669" s="6">
        <v>39.380000000000003</v>
      </c>
      <c r="F669" s="6">
        <v>25.72</v>
      </c>
    </row>
    <row r="670" spans="1:7" x14ac:dyDescent="0.25">
      <c r="A670" s="3" t="s">
        <v>46</v>
      </c>
      <c r="B670" s="6" t="s">
        <v>264</v>
      </c>
      <c r="C670" s="3" t="s">
        <v>265</v>
      </c>
      <c r="D670" s="6">
        <v>76.34</v>
      </c>
      <c r="E670" s="6">
        <v>43.02</v>
      </c>
      <c r="F670" s="6">
        <v>29.46</v>
      </c>
    </row>
    <row r="671" spans="1:7" x14ac:dyDescent="0.25">
      <c r="A671" s="3" t="s">
        <v>46</v>
      </c>
      <c r="B671" s="6" t="s">
        <v>540</v>
      </c>
      <c r="C671" s="3" t="s">
        <v>1382</v>
      </c>
      <c r="D671" s="6">
        <v>80</v>
      </c>
      <c r="E671" s="6">
        <v>38</v>
      </c>
      <c r="F671" s="6">
        <v>29</v>
      </c>
    </row>
    <row r="672" spans="1:7" x14ac:dyDescent="0.25">
      <c r="A672" s="3" t="s">
        <v>46</v>
      </c>
      <c r="B672" s="6" t="s">
        <v>672</v>
      </c>
      <c r="C672" s="3" t="s">
        <v>1383</v>
      </c>
      <c r="D672" s="6">
        <v>88.63</v>
      </c>
      <c r="E672" s="6">
        <v>41.27</v>
      </c>
      <c r="F672" s="6">
        <v>31.95</v>
      </c>
    </row>
    <row r="673" spans="1:6" x14ac:dyDescent="0.25">
      <c r="A673" s="3" t="s">
        <v>46</v>
      </c>
      <c r="B673" s="6" t="s">
        <v>66</v>
      </c>
      <c r="C673" s="3" t="s">
        <v>67</v>
      </c>
      <c r="D673" s="6">
        <v>76.72</v>
      </c>
      <c r="E673" s="6">
        <v>42.05</v>
      </c>
      <c r="F673" s="6">
        <v>26.28</v>
      </c>
    </row>
    <row r="674" spans="1:6" x14ac:dyDescent="0.25">
      <c r="A674" s="3" t="s">
        <v>46</v>
      </c>
      <c r="B674" s="6" t="s">
        <v>57</v>
      </c>
      <c r="C674" s="3" t="s">
        <v>58</v>
      </c>
      <c r="D674" s="6">
        <v>77.14</v>
      </c>
      <c r="E674" s="6">
        <v>41.67</v>
      </c>
      <c r="F674" s="6">
        <v>27.56</v>
      </c>
    </row>
    <row r="675" spans="1:6" x14ac:dyDescent="0.25">
      <c r="A675" s="3" t="s">
        <v>46</v>
      </c>
      <c r="B675" s="6" t="s">
        <v>249</v>
      </c>
      <c r="C675" s="3" t="s">
        <v>250</v>
      </c>
      <c r="D675" s="6">
        <v>77.739999999999995</v>
      </c>
      <c r="E675" s="6">
        <v>39.630000000000003</v>
      </c>
      <c r="F675" s="6">
        <v>25</v>
      </c>
    </row>
    <row r="676" spans="1:6" x14ac:dyDescent="0.25">
      <c r="A676" s="3" t="s">
        <v>46</v>
      </c>
      <c r="B676" s="6" t="s">
        <v>23</v>
      </c>
      <c r="C676" s="3" t="s">
        <v>169</v>
      </c>
      <c r="D676" s="6">
        <v>80.180000000000007</v>
      </c>
      <c r="E676" s="6">
        <v>40.82</v>
      </c>
      <c r="F676" s="6">
        <v>27.55</v>
      </c>
    </row>
    <row r="677" spans="1:6" x14ac:dyDescent="0.25">
      <c r="A677" s="3" t="s">
        <v>46</v>
      </c>
      <c r="B677" s="6" t="s">
        <v>840</v>
      </c>
      <c r="C677" s="3" t="s">
        <v>1384</v>
      </c>
      <c r="D677" s="6">
        <v>73.86</v>
      </c>
      <c r="E677" s="6">
        <v>39.92</v>
      </c>
      <c r="F677" s="6">
        <v>22.82</v>
      </c>
    </row>
    <row r="678" spans="1:6" x14ac:dyDescent="0.25">
      <c r="A678" s="3" t="s">
        <v>46</v>
      </c>
      <c r="B678" s="6" t="s">
        <v>370</v>
      </c>
      <c r="C678" s="3" t="s">
        <v>1385</v>
      </c>
      <c r="D678" s="6">
        <v>88.08</v>
      </c>
      <c r="E678" s="6">
        <v>47.93</v>
      </c>
      <c r="F678" s="6">
        <v>31.44</v>
      </c>
    </row>
    <row r="679" spans="1:6" x14ac:dyDescent="0.25">
      <c r="A679" s="3" t="s">
        <v>46</v>
      </c>
      <c r="B679" s="6" t="s">
        <v>218</v>
      </c>
      <c r="C679" s="3" t="s">
        <v>382</v>
      </c>
      <c r="D679" s="6">
        <v>82</v>
      </c>
      <c r="E679" s="6">
        <v>38</v>
      </c>
      <c r="F679" s="6">
        <v>28</v>
      </c>
    </row>
    <row r="680" spans="1:6" x14ac:dyDescent="0.25">
      <c r="A680" s="3" t="s">
        <v>46</v>
      </c>
      <c r="B680" s="6" t="s">
        <v>220</v>
      </c>
      <c r="C680" s="3" t="s">
        <v>253</v>
      </c>
      <c r="D680" s="6">
        <v>67</v>
      </c>
      <c r="E680" s="6">
        <v>34</v>
      </c>
      <c r="F680" s="6">
        <v>25</v>
      </c>
    </row>
    <row r="681" spans="1:6" x14ac:dyDescent="0.25">
      <c r="A681" s="3" t="s">
        <v>46</v>
      </c>
      <c r="B681" s="6" t="s">
        <v>576</v>
      </c>
      <c r="C681" s="3" t="s">
        <v>577</v>
      </c>
      <c r="D681" s="6">
        <v>79</v>
      </c>
      <c r="E681" s="6">
        <v>43</v>
      </c>
      <c r="F681" s="6">
        <v>25</v>
      </c>
    </row>
    <row r="682" spans="1:6" x14ac:dyDescent="0.25">
      <c r="A682" s="3" t="s">
        <v>46</v>
      </c>
      <c r="B682" s="6" t="s">
        <v>209</v>
      </c>
      <c r="C682" s="3" t="s">
        <v>569</v>
      </c>
      <c r="D682" s="6">
        <v>84.89</v>
      </c>
      <c r="E682" s="6">
        <v>42.79</v>
      </c>
      <c r="F682" s="6">
        <v>28.77</v>
      </c>
    </row>
    <row r="683" spans="1:6" x14ac:dyDescent="0.25">
      <c r="A683" s="3" t="s">
        <v>46</v>
      </c>
      <c r="B683" s="6" t="s">
        <v>20</v>
      </c>
      <c r="C683" s="3" t="s">
        <v>191</v>
      </c>
      <c r="D683" s="6">
        <v>80.849999999999994</v>
      </c>
      <c r="E683" s="6">
        <v>36.700000000000003</v>
      </c>
      <c r="F683" s="6">
        <v>28.72</v>
      </c>
    </row>
    <row r="684" spans="1:6" x14ac:dyDescent="0.25">
      <c r="A684" s="3" t="s">
        <v>46</v>
      </c>
      <c r="B684" s="6" t="s">
        <v>610</v>
      </c>
      <c r="C684" s="3" t="s">
        <v>803</v>
      </c>
      <c r="D684" s="6">
        <v>71</v>
      </c>
      <c r="E684" s="6">
        <v>34</v>
      </c>
      <c r="F684" s="6">
        <v>26</v>
      </c>
    </row>
    <row r="685" spans="1:6" x14ac:dyDescent="0.25">
      <c r="A685" s="3" t="s">
        <v>46</v>
      </c>
      <c r="B685" s="6" t="s">
        <v>891</v>
      </c>
      <c r="C685" s="3" t="s">
        <v>1386</v>
      </c>
      <c r="D685" s="6">
        <v>70.81</v>
      </c>
      <c r="E685" s="6">
        <v>36.82</v>
      </c>
      <c r="F685" s="6">
        <v>27.51</v>
      </c>
    </row>
    <row r="686" spans="1:6" x14ac:dyDescent="0.25">
      <c r="A686" s="3" t="s">
        <v>46</v>
      </c>
      <c r="B686" s="6" t="s">
        <v>116</v>
      </c>
      <c r="C686" s="3" t="s">
        <v>668</v>
      </c>
      <c r="D686" s="6">
        <v>63.59</v>
      </c>
      <c r="E686" s="6">
        <v>35.83</v>
      </c>
      <c r="F686" s="6">
        <v>23.73</v>
      </c>
    </row>
    <row r="687" spans="1:6" x14ac:dyDescent="0.25">
      <c r="A687" s="3" t="s">
        <v>46</v>
      </c>
      <c r="B687" s="6" t="s">
        <v>29</v>
      </c>
      <c r="C687" s="3" t="s">
        <v>161</v>
      </c>
      <c r="D687" s="6">
        <v>87.4</v>
      </c>
      <c r="E687" s="6">
        <v>42.32</v>
      </c>
      <c r="F687" s="6">
        <v>33.340000000000003</v>
      </c>
    </row>
    <row r="688" spans="1:6" x14ac:dyDescent="0.25">
      <c r="A688" s="3" t="s">
        <v>46</v>
      </c>
      <c r="B688" s="6" t="s">
        <v>786</v>
      </c>
      <c r="C688" s="3" t="s">
        <v>787</v>
      </c>
      <c r="D688" s="6">
        <v>75.11</v>
      </c>
      <c r="E688" s="6">
        <v>43.52</v>
      </c>
      <c r="F688" s="6">
        <v>25.45</v>
      </c>
    </row>
    <row r="689" spans="1:6" x14ac:dyDescent="0.25">
      <c r="A689" s="3" t="s">
        <v>46</v>
      </c>
      <c r="B689" s="6" t="s">
        <v>51</v>
      </c>
      <c r="C689" s="3" t="s">
        <v>52</v>
      </c>
      <c r="D689" s="6">
        <v>92.37</v>
      </c>
      <c r="E689" s="6">
        <v>47.28</v>
      </c>
      <c r="F689" s="6">
        <v>34.01</v>
      </c>
    </row>
    <row r="690" spans="1:6" x14ac:dyDescent="0.25">
      <c r="A690" s="3" t="s">
        <v>46</v>
      </c>
      <c r="B690" s="6" t="s">
        <v>27</v>
      </c>
      <c r="C690" s="3" t="s">
        <v>659</v>
      </c>
      <c r="D690" s="6">
        <v>66.87</v>
      </c>
      <c r="E690" s="6">
        <v>35.46</v>
      </c>
      <c r="F690" s="6">
        <v>24.22</v>
      </c>
    </row>
    <row r="691" spans="1:6" x14ac:dyDescent="0.25">
      <c r="A691" s="3" t="s">
        <v>46</v>
      </c>
      <c r="B691" s="6" t="s">
        <v>68</v>
      </c>
      <c r="C691" s="3" t="s">
        <v>69</v>
      </c>
      <c r="D691" s="6">
        <v>68</v>
      </c>
      <c r="E691" s="6">
        <v>33</v>
      </c>
      <c r="F691" s="6">
        <v>26</v>
      </c>
    </row>
    <row r="692" spans="1:6" x14ac:dyDescent="0.25">
      <c r="A692" s="3" t="s">
        <v>46</v>
      </c>
      <c r="B692" s="6" t="s">
        <v>835</v>
      </c>
      <c r="C692" s="3" t="s">
        <v>1387</v>
      </c>
      <c r="D692" s="6">
        <v>88.88</v>
      </c>
      <c r="E692" s="6">
        <v>42.31</v>
      </c>
      <c r="F692" s="6">
        <v>29.85</v>
      </c>
    </row>
    <row r="693" spans="1:6" x14ac:dyDescent="0.25">
      <c r="A693" s="3" t="s">
        <v>46</v>
      </c>
      <c r="B693" s="6" t="s">
        <v>654</v>
      </c>
      <c r="C693" s="3" t="s">
        <v>655</v>
      </c>
      <c r="D693" s="6">
        <v>89</v>
      </c>
      <c r="E693" s="6">
        <v>43</v>
      </c>
      <c r="F693" s="6">
        <v>34</v>
      </c>
    </row>
    <row r="694" spans="1:6" x14ac:dyDescent="0.25">
      <c r="A694" s="3" t="s">
        <v>46</v>
      </c>
      <c r="B694" s="6" t="s">
        <v>554</v>
      </c>
      <c r="C694" s="3" t="s">
        <v>1388</v>
      </c>
      <c r="D694" s="6">
        <v>86</v>
      </c>
      <c r="E694" s="6">
        <v>47</v>
      </c>
      <c r="F694" s="6">
        <v>33</v>
      </c>
    </row>
    <row r="695" spans="1:6" x14ac:dyDescent="0.25">
      <c r="A695" s="3" t="s">
        <v>46</v>
      </c>
      <c r="B695" s="6" t="s">
        <v>918</v>
      </c>
      <c r="C695" s="3" t="s">
        <v>1389</v>
      </c>
      <c r="D695" s="6">
        <v>70</v>
      </c>
      <c r="E695" s="6">
        <v>35</v>
      </c>
      <c r="F695" s="6">
        <v>26</v>
      </c>
    </row>
    <row r="696" spans="1:6" x14ac:dyDescent="0.25">
      <c r="A696" s="3" t="s">
        <v>46</v>
      </c>
      <c r="B696" s="6" t="s">
        <v>456</v>
      </c>
      <c r="C696" s="3" t="s">
        <v>1390</v>
      </c>
      <c r="D696" s="6">
        <v>65.77</v>
      </c>
      <c r="E696" s="6">
        <v>38.18</v>
      </c>
      <c r="F696" s="6">
        <v>24.89</v>
      </c>
    </row>
    <row r="697" spans="1:6" x14ac:dyDescent="0.25">
      <c r="A697" s="3" t="s">
        <v>46</v>
      </c>
      <c r="B697" s="6" t="s">
        <v>994</v>
      </c>
      <c r="C697" s="3" t="s">
        <v>1391</v>
      </c>
      <c r="D697" s="6">
        <v>67</v>
      </c>
      <c r="E697" s="6">
        <v>35</v>
      </c>
      <c r="F697" s="6">
        <v>22</v>
      </c>
    </row>
    <row r="698" spans="1:6" x14ac:dyDescent="0.25">
      <c r="A698" s="3" t="s">
        <v>46</v>
      </c>
      <c r="B698" s="6" t="s">
        <v>188</v>
      </c>
      <c r="C698" s="3" t="s">
        <v>189</v>
      </c>
      <c r="D698" s="6">
        <v>86</v>
      </c>
      <c r="E698" s="6">
        <v>42</v>
      </c>
      <c r="F698" s="6">
        <v>36</v>
      </c>
    </row>
    <row r="699" spans="1:6" x14ac:dyDescent="0.25">
      <c r="A699" s="3" t="s">
        <v>46</v>
      </c>
      <c r="B699" s="6" t="s">
        <v>442</v>
      </c>
      <c r="C699" s="3" t="s">
        <v>443</v>
      </c>
      <c r="D699" s="6">
        <v>75</v>
      </c>
      <c r="E699" s="6">
        <v>37</v>
      </c>
      <c r="F699" s="6">
        <v>27</v>
      </c>
    </row>
    <row r="700" spans="1:6" x14ac:dyDescent="0.25">
      <c r="A700" s="3" t="s">
        <v>46</v>
      </c>
      <c r="B700" s="6" t="s">
        <v>393</v>
      </c>
      <c r="C700" s="3" t="s">
        <v>394</v>
      </c>
      <c r="D700" s="6">
        <v>68</v>
      </c>
      <c r="E700" s="6">
        <v>35</v>
      </c>
      <c r="F700" s="6">
        <v>25</v>
      </c>
    </row>
    <row r="701" spans="1:6" x14ac:dyDescent="0.25">
      <c r="A701" s="3" t="s">
        <v>46</v>
      </c>
      <c r="B701" s="6" t="s">
        <v>179</v>
      </c>
      <c r="C701" s="3" t="s">
        <v>180</v>
      </c>
      <c r="D701" s="6">
        <v>83.57</v>
      </c>
      <c r="E701" s="6">
        <v>41.01</v>
      </c>
      <c r="F701" s="6">
        <v>30.63</v>
      </c>
    </row>
    <row r="702" spans="1:6" x14ac:dyDescent="0.25">
      <c r="A702" s="3" t="s">
        <v>46</v>
      </c>
      <c r="B702" s="6" t="s">
        <v>674</v>
      </c>
      <c r="C702" s="3" t="s">
        <v>1392</v>
      </c>
      <c r="D702" s="6">
        <v>79</v>
      </c>
      <c r="E702" s="6">
        <v>41</v>
      </c>
      <c r="F702" s="6">
        <v>31</v>
      </c>
    </row>
    <row r="703" spans="1:6" x14ac:dyDescent="0.25">
      <c r="A703" s="3" t="s">
        <v>46</v>
      </c>
      <c r="B703" s="6" t="s">
        <v>924</v>
      </c>
      <c r="C703" s="3" t="s">
        <v>1393</v>
      </c>
      <c r="D703" s="6">
        <v>82</v>
      </c>
      <c r="E703" s="6">
        <v>40</v>
      </c>
      <c r="F703" s="6">
        <v>31</v>
      </c>
    </row>
    <row r="704" spans="1:6" x14ac:dyDescent="0.25">
      <c r="A704" s="3" t="s">
        <v>46</v>
      </c>
      <c r="B704" s="6" t="s">
        <v>389</v>
      </c>
      <c r="C704" s="3" t="s">
        <v>390</v>
      </c>
      <c r="D704" s="6">
        <v>78</v>
      </c>
      <c r="E704" s="6">
        <v>35</v>
      </c>
      <c r="F704" s="6">
        <v>28</v>
      </c>
    </row>
    <row r="705" spans="1:6" x14ac:dyDescent="0.25">
      <c r="A705" s="3" t="s">
        <v>46</v>
      </c>
      <c r="B705" s="6" t="s">
        <v>462</v>
      </c>
      <c r="C705" s="3" t="s">
        <v>645</v>
      </c>
      <c r="D705" s="6">
        <v>81</v>
      </c>
      <c r="E705" s="6">
        <v>40</v>
      </c>
      <c r="F705" s="6">
        <v>28</v>
      </c>
    </row>
    <row r="706" spans="1:6" x14ac:dyDescent="0.25">
      <c r="A706" s="3" t="s">
        <v>46</v>
      </c>
      <c r="B706" s="6" t="s">
        <v>582</v>
      </c>
      <c r="C706" s="3" t="s">
        <v>583</v>
      </c>
      <c r="D706" s="6">
        <v>78</v>
      </c>
      <c r="E706" s="6">
        <v>34</v>
      </c>
      <c r="F706" s="6">
        <v>29</v>
      </c>
    </row>
    <row r="707" spans="1:6" x14ac:dyDescent="0.25">
      <c r="A707" s="3" t="s">
        <v>46</v>
      </c>
      <c r="B707" s="6" t="s">
        <v>312</v>
      </c>
      <c r="C707" s="3" t="s">
        <v>635</v>
      </c>
      <c r="D707" s="6">
        <v>71</v>
      </c>
      <c r="E707" s="6">
        <v>38</v>
      </c>
      <c r="F707" s="6">
        <v>27</v>
      </c>
    </row>
    <row r="708" spans="1:6" x14ac:dyDescent="0.25">
      <c r="A708" s="3" t="s">
        <v>46</v>
      </c>
      <c r="B708" s="6" t="s">
        <v>204</v>
      </c>
      <c r="C708" s="3" t="s">
        <v>387</v>
      </c>
      <c r="D708" s="6">
        <v>71</v>
      </c>
      <c r="E708" s="6">
        <v>34</v>
      </c>
      <c r="F708" s="6">
        <v>24</v>
      </c>
    </row>
    <row r="709" spans="1:6" x14ac:dyDescent="0.25">
      <c r="A709" s="3" t="s">
        <v>46</v>
      </c>
      <c r="B709" s="6" t="s">
        <v>818</v>
      </c>
      <c r="C709" s="3" t="s">
        <v>819</v>
      </c>
      <c r="D709" s="6">
        <v>83</v>
      </c>
      <c r="E709" s="6">
        <v>41</v>
      </c>
      <c r="F709" s="6">
        <v>30</v>
      </c>
    </row>
    <row r="710" spans="1:6" x14ac:dyDescent="0.25">
      <c r="A710" s="3" t="s">
        <v>46</v>
      </c>
      <c r="B710" s="6" t="s">
        <v>35</v>
      </c>
      <c r="C710" s="3" t="s">
        <v>158</v>
      </c>
      <c r="D710" s="6">
        <v>68</v>
      </c>
      <c r="E710" s="6">
        <v>35</v>
      </c>
      <c r="F710" s="6">
        <v>30</v>
      </c>
    </row>
    <row r="711" spans="1:6" x14ac:dyDescent="0.25">
      <c r="A711" s="3" t="s">
        <v>46</v>
      </c>
      <c r="B711" s="6" t="s">
        <v>783</v>
      </c>
      <c r="C711" s="3" t="s">
        <v>784</v>
      </c>
      <c r="D711" s="6">
        <v>85</v>
      </c>
      <c r="E711" s="6">
        <v>38</v>
      </c>
      <c r="F711" s="6">
        <v>36</v>
      </c>
    </row>
    <row r="712" spans="1:6" x14ac:dyDescent="0.25">
      <c r="A712" s="3" t="s">
        <v>46</v>
      </c>
      <c r="B712" s="6" t="s">
        <v>739</v>
      </c>
      <c r="C712" s="3" t="s">
        <v>1394</v>
      </c>
      <c r="D712" s="6">
        <v>81</v>
      </c>
      <c r="E712" s="6">
        <v>40</v>
      </c>
      <c r="F712" s="6">
        <v>30</v>
      </c>
    </row>
    <row r="713" spans="1:6" x14ac:dyDescent="0.25">
      <c r="A713" s="3" t="s">
        <v>46</v>
      </c>
      <c r="B713" s="6" t="s">
        <v>44</v>
      </c>
      <c r="C713" s="3" t="s">
        <v>730</v>
      </c>
      <c r="D713" s="6">
        <v>78</v>
      </c>
      <c r="E713" s="6">
        <v>40</v>
      </c>
      <c r="F713" s="6">
        <v>29</v>
      </c>
    </row>
    <row r="714" spans="1:6" x14ac:dyDescent="0.25">
      <c r="A714" s="3" t="s">
        <v>46</v>
      </c>
      <c r="B714" s="6" t="s">
        <v>41</v>
      </c>
      <c r="C714" s="3" t="s">
        <v>187</v>
      </c>
      <c r="D714" s="6">
        <v>71</v>
      </c>
      <c r="E714" s="6">
        <v>36</v>
      </c>
      <c r="F714" s="6">
        <v>26</v>
      </c>
    </row>
    <row r="715" spans="1:6" x14ac:dyDescent="0.25">
      <c r="A715" s="3" t="s">
        <v>46</v>
      </c>
      <c r="B715" s="6" t="s">
        <v>59</v>
      </c>
      <c r="C715" s="3" t="s">
        <v>60</v>
      </c>
      <c r="D715" s="6">
        <v>77</v>
      </c>
      <c r="E715" s="6">
        <v>39</v>
      </c>
      <c r="F715" s="6">
        <v>31</v>
      </c>
    </row>
    <row r="716" spans="1:6" x14ac:dyDescent="0.25">
      <c r="A716" s="3" t="s">
        <v>46</v>
      </c>
      <c r="B716" s="6" t="s">
        <v>70</v>
      </c>
      <c r="C716" s="3" t="s">
        <v>71</v>
      </c>
      <c r="D716" s="6">
        <v>79</v>
      </c>
      <c r="E716" s="6">
        <v>37</v>
      </c>
      <c r="F716" s="6">
        <v>32</v>
      </c>
    </row>
    <row r="717" spans="1:6" x14ac:dyDescent="0.25">
      <c r="A717" s="3" t="s">
        <v>46</v>
      </c>
      <c r="B717" s="6" t="s">
        <v>763</v>
      </c>
      <c r="C717" s="3" t="s">
        <v>1395</v>
      </c>
      <c r="D717" s="6">
        <v>67</v>
      </c>
      <c r="E717" s="6">
        <v>35</v>
      </c>
      <c r="F717" s="6">
        <v>25</v>
      </c>
    </row>
    <row r="718" spans="1:6" x14ac:dyDescent="0.25">
      <c r="A718" s="3" t="s">
        <v>46</v>
      </c>
      <c r="B718" s="6" t="s">
        <v>214</v>
      </c>
      <c r="C718" s="3" t="s">
        <v>1396</v>
      </c>
      <c r="D718" s="6">
        <v>92</v>
      </c>
      <c r="E718" s="6">
        <v>45</v>
      </c>
      <c r="F718" s="6">
        <v>33</v>
      </c>
    </row>
    <row r="719" spans="1:6" x14ac:dyDescent="0.25">
      <c r="A719" s="3" t="s">
        <v>46</v>
      </c>
      <c r="B719" s="6" t="s">
        <v>200</v>
      </c>
      <c r="C719" s="3" t="s">
        <v>1397</v>
      </c>
      <c r="D719" s="6">
        <v>67</v>
      </c>
      <c r="E719" s="6">
        <v>37</v>
      </c>
      <c r="F719" s="6">
        <v>26</v>
      </c>
    </row>
    <row r="720" spans="1:6" x14ac:dyDescent="0.25">
      <c r="A720" s="3" t="s">
        <v>46</v>
      </c>
      <c r="B720" s="6" t="s">
        <v>386</v>
      </c>
      <c r="C720" s="3" t="s">
        <v>1398</v>
      </c>
      <c r="D720" s="6">
        <v>70</v>
      </c>
      <c r="E720" s="6">
        <v>36</v>
      </c>
      <c r="F720" s="6">
        <v>27</v>
      </c>
    </row>
    <row r="721" spans="1:6" x14ac:dyDescent="0.25">
      <c r="A721" s="3" t="s">
        <v>46</v>
      </c>
      <c r="B721" s="6" t="s">
        <v>779</v>
      </c>
      <c r="C721" s="3" t="s">
        <v>780</v>
      </c>
      <c r="D721" s="6">
        <v>75</v>
      </c>
      <c r="E721" s="6">
        <v>37</v>
      </c>
      <c r="F721" s="6">
        <v>27</v>
      </c>
    </row>
    <row r="722" spans="1:6" x14ac:dyDescent="0.25">
      <c r="A722" s="3" t="s">
        <v>46</v>
      </c>
      <c r="B722" s="6" t="s">
        <v>108</v>
      </c>
      <c r="C722" s="3" t="s">
        <v>729</v>
      </c>
      <c r="D722" s="6">
        <v>84</v>
      </c>
      <c r="E722" s="6">
        <v>40</v>
      </c>
      <c r="F722" s="6">
        <v>30</v>
      </c>
    </row>
    <row r="723" spans="1:6" x14ac:dyDescent="0.25">
      <c r="A723" s="3" t="s">
        <v>46</v>
      </c>
      <c r="B723" s="6" t="s">
        <v>61</v>
      </c>
      <c r="C723" s="3" t="s">
        <v>62</v>
      </c>
      <c r="D723" s="6">
        <v>78</v>
      </c>
      <c r="E723" s="6">
        <v>40</v>
      </c>
      <c r="F723" s="6">
        <v>26</v>
      </c>
    </row>
    <row r="724" spans="1:6" x14ac:dyDescent="0.25">
      <c r="A724" s="3" t="s">
        <v>46</v>
      </c>
      <c r="B724" s="6" t="s">
        <v>568</v>
      </c>
      <c r="C724" s="3" t="s">
        <v>1399</v>
      </c>
      <c r="D724" s="6">
        <v>71</v>
      </c>
      <c r="E724" s="6">
        <v>36</v>
      </c>
      <c r="F724" s="6">
        <v>27</v>
      </c>
    </row>
    <row r="725" spans="1:6" x14ac:dyDescent="0.25">
      <c r="A725" s="3" t="s">
        <v>46</v>
      </c>
      <c r="B725" s="6" t="s">
        <v>973</v>
      </c>
      <c r="C725" s="3" t="s">
        <v>665</v>
      </c>
      <c r="D725" s="6">
        <v>65</v>
      </c>
      <c r="E725" s="6">
        <v>34</v>
      </c>
      <c r="F725" s="6">
        <v>23</v>
      </c>
    </row>
    <row r="726" spans="1:6" x14ac:dyDescent="0.25">
      <c r="A726" s="3" t="s">
        <v>46</v>
      </c>
      <c r="B726" s="6" t="s">
        <v>254</v>
      </c>
      <c r="C726" s="3" t="s">
        <v>255</v>
      </c>
      <c r="D726" s="6">
        <v>67</v>
      </c>
      <c r="E726" s="6">
        <v>35</v>
      </c>
      <c r="F726" s="6">
        <v>23</v>
      </c>
    </row>
    <row r="727" spans="1:6" x14ac:dyDescent="0.25">
      <c r="A727" s="3" t="s">
        <v>46</v>
      </c>
      <c r="B727" s="6" t="s">
        <v>884</v>
      </c>
      <c r="C727" s="3" t="s">
        <v>1400</v>
      </c>
      <c r="D727" s="6">
        <v>67</v>
      </c>
      <c r="E727" s="6">
        <v>35</v>
      </c>
      <c r="F727" s="6">
        <v>25</v>
      </c>
    </row>
    <row r="728" spans="1:6" x14ac:dyDescent="0.25">
      <c r="A728" s="3" t="s">
        <v>46</v>
      </c>
      <c r="B728" s="6" t="s">
        <v>708</v>
      </c>
      <c r="C728" s="3" t="s">
        <v>1401</v>
      </c>
      <c r="D728" s="6">
        <v>86</v>
      </c>
      <c r="E728" s="6">
        <v>40</v>
      </c>
      <c r="F728" s="6">
        <v>29</v>
      </c>
    </row>
    <row r="729" spans="1:6" x14ac:dyDescent="0.25">
      <c r="A729" s="3" t="s">
        <v>46</v>
      </c>
      <c r="B729" s="6" t="s">
        <v>580</v>
      </c>
      <c r="C729" s="3" t="s">
        <v>581</v>
      </c>
      <c r="D729" s="6">
        <v>85</v>
      </c>
      <c r="E729" s="6">
        <v>38</v>
      </c>
      <c r="F729" s="6">
        <v>30</v>
      </c>
    </row>
    <row r="730" spans="1:6" x14ac:dyDescent="0.25">
      <c r="A730" s="3" t="s">
        <v>46</v>
      </c>
      <c r="B730" s="6" t="s">
        <v>408</v>
      </c>
      <c r="C730" s="3" t="s">
        <v>1402</v>
      </c>
      <c r="D730" s="6">
        <v>72</v>
      </c>
      <c r="E730" s="6">
        <v>37</v>
      </c>
      <c r="F730" s="6">
        <v>29</v>
      </c>
    </row>
    <row r="731" spans="1:6" x14ac:dyDescent="0.25">
      <c r="A731" s="3" t="s">
        <v>46</v>
      </c>
      <c r="B731" s="6" t="s">
        <v>241</v>
      </c>
      <c r="C731" s="3" t="s">
        <v>1403</v>
      </c>
      <c r="D731" s="6">
        <v>71</v>
      </c>
      <c r="E731" s="6">
        <v>38</v>
      </c>
      <c r="F731" s="6">
        <v>25</v>
      </c>
    </row>
    <row r="732" spans="1:6" x14ac:dyDescent="0.25">
      <c r="A732" s="3" t="s">
        <v>46</v>
      </c>
      <c r="B732" s="6" t="s">
        <v>436</v>
      </c>
      <c r="C732" s="3" t="s">
        <v>437</v>
      </c>
      <c r="D732" s="6">
        <v>72</v>
      </c>
      <c r="E732" s="6">
        <v>38</v>
      </c>
      <c r="F732" s="6">
        <v>27</v>
      </c>
    </row>
    <row r="733" spans="1:6" x14ac:dyDescent="0.25">
      <c r="A733" s="3" t="s">
        <v>46</v>
      </c>
      <c r="B733" s="6" t="s">
        <v>277</v>
      </c>
      <c r="C733" s="3" t="s">
        <v>479</v>
      </c>
      <c r="D733" s="6">
        <v>63</v>
      </c>
      <c r="E733" s="6">
        <v>30</v>
      </c>
      <c r="F733" s="6">
        <v>24</v>
      </c>
    </row>
    <row r="734" spans="1:6" x14ac:dyDescent="0.25">
      <c r="A734" s="3" t="s">
        <v>46</v>
      </c>
      <c r="B734" s="6" t="s">
        <v>475</v>
      </c>
      <c r="C734" s="3" t="s">
        <v>476</v>
      </c>
      <c r="D734" s="6">
        <v>65</v>
      </c>
      <c r="E734" s="6">
        <v>36</v>
      </c>
      <c r="F734" s="6">
        <v>23</v>
      </c>
    </row>
    <row r="735" spans="1:6" x14ac:dyDescent="0.25">
      <c r="A735" s="3" t="s">
        <v>46</v>
      </c>
      <c r="B735" s="6" t="s">
        <v>131</v>
      </c>
      <c r="C735" s="3" t="s">
        <v>1404</v>
      </c>
      <c r="D735" s="6">
        <v>76</v>
      </c>
      <c r="E735" s="6">
        <v>39</v>
      </c>
      <c r="F735" s="6">
        <v>28</v>
      </c>
    </row>
    <row r="736" spans="1:6" x14ac:dyDescent="0.25">
      <c r="A736" s="3" t="s">
        <v>46</v>
      </c>
      <c r="B736" s="6" t="s">
        <v>809</v>
      </c>
      <c r="C736" s="3" t="s">
        <v>810</v>
      </c>
      <c r="D736" s="6">
        <v>85</v>
      </c>
      <c r="E736" s="6">
        <v>39</v>
      </c>
      <c r="F736" s="6">
        <v>30</v>
      </c>
    </row>
    <row r="737" spans="1:6" x14ac:dyDescent="0.25">
      <c r="A737" s="3" t="s">
        <v>46</v>
      </c>
      <c r="B737" s="6" t="s">
        <v>505</v>
      </c>
      <c r="C737" s="3" t="s">
        <v>648</v>
      </c>
      <c r="D737" s="6">
        <v>69</v>
      </c>
      <c r="E737" s="6">
        <v>35</v>
      </c>
      <c r="F737" s="6">
        <v>26</v>
      </c>
    </row>
    <row r="738" spans="1:6" x14ac:dyDescent="0.25">
      <c r="A738" s="3" t="s">
        <v>46</v>
      </c>
      <c r="B738" s="6" t="s">
        <v>482</v>
      </c>
      <c r="C738" s="3" t="s">
        <v>483</v>
      </c>
      <c r="D738" s="6">
        <v>73</v>
      </c>
      <c r="E738" s="6">
        <v>36</v>
      </c>
      <c r="F738" s="6">
        <v>26</v>
      </c>
    </row>
    <row r="739" spans="1:6" x14ac:dyDescent="0.25">
      <c r="A739" s="3" t="s">
        <v>46</v>
      </c>
      <c r="B739" s="6" t="s">
        <v>185</v>
      </c>
      <c r="C739" s="3" t="s">
        <v>186</v>
      </c>
      <c r="D739" s="6">
        <v>67</v>
      </c>
      <c r="E739" s="6">
        <v>37</v>
      </c>
      <c r="F739" s="6">
        <v>25</v>
      </c>
    </row>
    <row r="740" spans="1:6" x14ac:dyDescent="0.25">
      <c r="A740" s="3" t="s">
        <v>46</v>
      </c>
      <c r="B740" s="6" t="s">
        <v>863</v>
      </c>
      <c r="C740" s="3" t="s">
        <v>1405</v>
      </c>
      <c r="D740" s="6">
        <v>61</v>
      </c>
      <c r="E740" s="6">
        <v>33</v>
      </c>
      <c r="F740" s="6">
        <v>24</v>
      </c>
    </row>
    <row r="741" spans="1:6" x14ac:dyDescent="0.25">
      <c r="A741" s="3" t="s">
        <v>46</v>
      </c>
      <c r="B741" s="6" t="s">
        <v>908</v>
      </c>
      <c r="C741" s="3" t="s">
        <v>1406</v>
      </c>
      <c r="D741" s="6">
        <v>81</v>
      </c>
      <c r="E741" s="6">
        <v>38</v>
      </c>
      <c r="F741" s="6">
        <v>27</v>
      </c>
    </row>
    <row r="742" spans="1:6" x14ac:dyDescent="0.25">
      <c r="A742" s="3" t="s">
        <v>46</v>
      </c>
      <c r="B742" s="6" t="s">
        <v>643</v>
      </c>
      <c r="C742" s="3" t="s">
        <v>644</v>
      </c>
      <c r="D742" s="6">
        <v>81</v>
      </c>
      <c r="E742" s="6">
        <v>37</v>
      </c>
      <c r="F742" s="6">
        <v>30</v>
      </c>
    </row>
    <row r="743" spans="1:6" x14ac:dyDescent="0.25">
      <c r="A743" s="3" t="s">
        <v>46</v>
      </c>
      <c r="B743" s="6" t="s">
        <v>438</v>
      </c>
      <c r="C743" s="3" t="s">
        <v>439</v>
      </c>
      <c r="D743" s="6">
        <v>74</v>
      </c>
      <c r="E743" s="6">
        <v>34</v>
      </c>
      <c r="F743" s="6">
        <v>26</v>
      </c>
    </row>
    <row r="744" spans="1:6" x14ac:dyDescent="0.25">
      <c r="A744" s="3" t="s">
        <v>46</v>
      </c>
      <c r="B744" s="6" t="s">
        <v>163</v>
      </c>
      <c r="C744" s="3" t="s">
        <v>164</v>
      </c>
      <c r="D744" s="6">
        <v>71</v>
      </c>
      <c r="E744" s="6">
        <v>37</v>
      </c>
      <c r="F744" s="6">
        <v>24</v>
      </c>
    </row>
    <row r="745" spans="1:6" x14ac:dyDescent="0.25">
      <c r="A745" s="3" t="s">
        <v>46</v>
      </c>
      <c r="B745" s="6" t="s">
        <v>578</v>
      </c>
      <c r="C745" s="3" t="s">
        <v>579</v>
      </c>
      <c r="D745" s="6">
        <v>86</v>
      </c>
      <c r="E745" s="6">
        <v>44</v>
      </c>
      <c r="F745" s="6">
        <v>30</v>
      </c>
    </row>
    <row r="746" spans="1:6" x14ac:dyDescent="0.25">
      <c r="A746" s="3" t="s">
        <v>46</v>
      </c>
      <c r="B746" s="6" t="s">
        <v>833</v>
      </c>
      <c r="C746" s="3" t="s">
        <v>1407</v>
      </c>
      <c r="D746" s="6">
        <v>86</v>
      </c>
      <c r="E746" s="6">
        <v>42</v>
      </c>
      <c r="F746" s="6">
        <v>33</v>
      </c>
    </row>
    <row r="747" spans="1:6" x14ac:dyDescent="0.25">
      <c r="A747" s="3" t="s">
        <v>46</v>
      </c>
      <c r="B747" s="6" t="s">
        <v>410</v>
      </c>
      <c r="C747" s="3" t="s">
        <v>1408</v>
      </c>
      <c r="D747" s="6">
        <v>66</v>
      </c>
      <c r="E747" s="6">
        <v>35</v>
      </c>
      <c r="F747" s="6">
        <v>24</v>
      </c>
    </row>
    <row r="748" spans="1:6" x14ac:dyDescent="0.25">
      <c r="A748" s="3" t="s">
        <v>46</v>
      </c>
      <c r="B748" s="6" t="s">
        <v>493</v>
      </c>
      <c r="C748" s="3" t="s">
        <v>667</v>
      </c>
      <c r="D748" s="6">
        <v>69</v>
      </c>
      <c r="E748" s="6">
        <v>36</v>
      </c>
      <c r="F748" s="6">
        <v>24</v>
      </c>
    </row>
    <row r="749" spans="1:6" x14ac:dyDescent="0.25">
      <c r="A749" s="3" t="s">
        <v>46</v>
      </c>
      <c r="B749" s="6" t="s">
        <v>243</v>
      </c>
      <c r="C749" s="3" t="s">
        <v>1409</v>
      </c>
      <c r="D749" s="6">
        <v>75</v>
      </c>
      <c r="E749" s="6">
        <v>37</v>
      </c>
      <c r="F749" s="6">
        <v>28</v>
      </c>
    </row>
    <row r="750" spans="1:6" x14ac:dyDescent="0.25">
      <c r="A750" s="3" t="s">
        <v>46</v>
      </c>
      <c r="B750" s="6" t="s">
        <v>632</v>
      </c>
      <c r="C750" s="3" t="s">
        <v>633</v>
      </c>
      <c r="D750" s="6">
        <v>84</v>
      </c>
      <c r="E750" s="6">
        <v>41</v>
      </c>
      <c r="F750" s="6">
        <v>33</v>
      </c>
    </row>
    <row r="751" spans="1:6" x14ac:dyDescent="0.25">
      <c r="A751" s="3" t="s">
        <v>46</v>
      </c>
      <c r="B751" s="6" t="s">
        <v>942</v>
      </c>
      <c r="C751" s="3" t="s">
        <v>1410</v>
      </c>
      <c r="D751" s="6">
        <v>78</v>
      </c>
      <c r="E751" s="6">
        <v>35</v>
      </c>
      <c r="F751" s="6">
        <v>25</v>
      </c>
    </row>
    <row r="752" spans="1:6" x14ac:dyDescent="0.25">
      <c r="A752" s="3" t="s">
        <v>46</v>
      </c>
      <c r="B752" s="6" t="s">
        <v>47</v>
      </c>
      <c r="C752" s="3" t="s">
        <v>48</v>
      </c>
      <c r="D752" s="6">
        <v>96</v>
      </c>
      <c r="E752" s="6">
        <v>46</v>
      </c>
      <c r="F752" s="6">
        <v>37</v>
      </c>
    </row>
    <row r="753" spans="1:8" x14ac:dyDescent="0.25">
      <c r="A753" s="3" t="s">
        <v>46</v>
      </c>
      <c r="B753" s="6" t="s">
        <v>571</v>
      </c>
      <c r="C753" s="3" t="s">
        <v>572</v>
      </c>
      <c r="D753" s="6">
        <v>83</v>
      </c>
      <c r="E753" s="6">
        <v>42</v>
      </c>
      <c r="F753" s="6">
        <v>35</v>
      </c>
    </row>
    <row r="754" spans="1:8" x14ac:dyDescent="0.25">
      <c r="A754" s="3" t="s">
        <v>46</v>
      </c>
      <c r="B754" s="6" t="s">
        <v>480</v>
      </c>
      <c r="C754" s="3" t="s">
        <v>481</v>
      </c>
      <c r="D754" s="6">
        <v>68</v>
      </c>
      <c r="E754" s="6">
        <v>34</v>
      </c>
      <c r="F754" s="6">
        <v>25</v>
      </c>
    </row>
    <row r="755" spans="1:8" x14ac:dyDescent="0.25">
      <c r="A755" s="3" t="s">
        <v>46</v>
      </c>
      <c r="B755" s="6" t="s">
        <v>281</v>
      </c>
      <c r="C755" s="3" t="s">
        <v>808</v>
      </c>
      <c r="D755" s="6">
        <v>97</v>
      </c>
      <c r="E755" s="6">
        <v>45</v>
      </c>
      <c r="F755" s="6">
        <v>35</v>
      </c>
    </row>
    <row r="756" spans="1:8" x14ac:dyDescent="0.25">
      <c r="A756" s="3" t="s">
        <v>46</v>
      </c>
      <c r="B756" s="6" t="s">
        <v>910</v>
      </c>
      <c r="C756" s="3" t="s">
        <v>1411</v>
      </c>
      <c r="D756" s="6">
        <v>76</v>
      </c>
      <c r="E756" s="6">
        <v>40</v>
      </c>
      <c r="F756" s="6">
        <v>29</v>
      </c>
    </row>
    <row r="757" spans="1:8" x14ac:dyDescent="0.25">
      <c r="A757" s="3" t="s">
        <v>46</v>
      </c>
      <c r="B757" s="6" t="s">
        <v>258</v>
      </c>
      <c r="C757" s="3" t="s">
        <v>259</v>
      </c>
      <c r="D757" s="6">
        <v>83</v>
      </c>
      <c r="E757" s="6">
        <v>40</v>
      </c>
      <c r="F757" s="6">
        <v>33</v>
      </c>
    </row>
    <row r="758" spans="1:8" x14ac:dyDescent="0.25">
      <c r="A758" s="3" t="s">
        <v>46</v>
      </c>
      <c r="B758" s="6" t="s">
        <v>266</v>
      </c>
      <c r="C758" s="3" t="s">
        <v>267</v>
      </c>
      <c r="D758" s="6">
        <v>67</v>
      </c>
      <c r="E758" s="6">
        <v>36</v>
      </c>
      <c r="F758" s="6">
        <v>24</v>
      </c>
    </row>
    <row r="759" spans="1:8" x14ac:dyDescent="0.25">
      <c r="A759" s="3" t="s">
        <v>46</v>
      </c>
      <c r="B759" s="6" t="s">
        <v>86</v>
      </c>
      <c r="C759" s="3" t="s">
        <v>1412</v>
      </c>
      <c r="D759" s="6">
        <v>87</v>
      </c>
      <c r="E759" s="6">
        <v>44</v>
      </c>
      <c r="F759" s="6">
        <v>32</v>
      </c>
    </row>
    <row r="760" spans="1:8" x14ac:dyDescent="0.25">
      <c r="A760" s="3" t="s">
        <v>46</v>
      </c>
      <c r="B760" s="6" t="s">
        <v>646</v>
      </c>
      <c r="C760" s="3" t="s">
        <v>647</v>
      </c>
      <c r="D760" s="6">
        <v>87</v>
      </c>
      <c r="E760" s="6">
        <v>43</v>
      </c>
      <c r="F760" s="6">
        <v>32</v>
      </c>
    </row>
    <row r="761" spans="1:8" x14ac:dyDescent="0.25">
      <c r="A761" s="3" t="s">
        <v>46</v>
      </c>
      <c r="B761" s="6" t="s">
        <v>865</v>
      </c>
      <c r="C761" s="3" t="s">
        <v>1413</v>
      </c>
      <c r="D761" s="6">
        <v>93</v>
      </c>
      <c r="E761" s="6">
        <v>45</v>
      </c>
      <c r="F761" s="6">
        <v>33</v>
      </c>
    </row>
    <row r="762" spans="1:8" x14ac:dyDescent="0.25">
      <c r="A762" s="3" t="s">
        <v>46</v>
      </c>
      <c r="B762" s="6" t="s">
        <v>558</v>
      </c>
      <c r="C762" s="3" t="s">
        <v>1414</v>
      </c>
      <c r="D762" s="6">
        <v>83</v>
      </c>
      <c r="E762" s="6">
        <v>38</v>
      </c>
      <c r="F762" s="6">
        <v>33</v>
      </c>
    </row>
    <row r="763" spans="1:8" x14ac:dyDescent="0.25">
      <c r="A763" s="3" t="s">
        <v>46</v>
      </c>
      <c r="B763" s="6" t="s">
        <v>565</v>
      </c>
      <c r="C763" s="3" t="s">
        <v>1415</v>
      </c>
      <c r="D763" s="6">
        <v>59.27</v>
      </c>
      <c r="E763" s="6">
        <v>35.15</v>
      </c>
      <c r="F763" s="6">
        <v>19.68</v>
      </c>
    </row>
    <row r="764" spans="1:8" x14ac:dyDescent="0.25">
      <c r="A764" s="3" t="s">
        <v>46</v>
      </c>
      <c r="B764" s="6" t="s">
        <v>711</v>
      </c>
      <c r="C764" s="3" t="s">
        <v>1416</v>
      </c>
      <c r="D764" s="6">
        <v>85.34</v>
      </c>
      <c r="E764" s="6">
        <v>43.28</v>
      </c>
      <c r="F764" s="6">
        <v>30.25</v>
      </c>
    </row>
    <row r="765" spans="1:8" x14ac:dyDescent="0.25">
      <c r="G765" t="s">
        <v>1417</v>
      </c>
    </row>
    <row r="766" spans="1:8" x14ac:dyDescent="0.25">
      <c r="A766" s="3" t="s">
        <v>72</v>
      </c>
      <c r="B766" s="6" t="s">
        <v>90</v>
      </c>
      <c r="D766" s="6">
        <v>79.099999999999994</v>
      </c>
      <c r="E766" s="6">
        <v>83.08</v>
      </c>
      <c r="F766" s="6">
        <v>18</v>
      </c>
      <c r="G766">
        <v>64.619</v>
      </c>
      <c r="H766" t="s">
        <v>1418</v>
      </c>
    </row>
    <row r="767" spans="1:8" x14ac:dyDescent="0.25">
      <c r="A767" s="3" t="s">
        <v>72</v>
      </c>
      <c r="B767" s="6" t="s">
        <v>440</v>
      </c>
      <c r="D767" s="6">
        <v>74</v>
      </c>
      <c r="E767" s="6">
        <v>77</v>
      </c>
      <c r="F767" s="6">
        <v>18</v>
      </c>
      <c r="G767">
        <v>50.795000000000002</v>
      </c>
      <c r="H767" t="s">
        <v>1419</v>
      </c>
    </row>
    <row r="768" spans="1:8" x14ac:dyDescent="0.25">
      <c r="A768" s="3" t="s">
        <v>72</v>
      </c>
      <c r="B768" s="6" t="s">
        <v>118</v>
      </c>
      <c r="D768" s="6">
        <v>76</v>
      </c>
      <c r="E768" s="6">
        <v>79.5</v>
      </c>
      <c r="F768" s="6">
        <v>19.5</v>
      </c>
      <c r="G768">
        <v>55.555999999999997</v>
      </c>
    </row>
    <row r="769" spans="1:7" x14ac:dyDescent="0.25">
      <c r="A769" s="3" t="s">
        <v>72</v>
      </c>
      <c r="B769" s="6" t="s">
        <v>32</v>
      </c>
      <c r="D769" s="6">
        <v>77</v>
      </c>
      <c r="E769" s="6">
        <v>76</v>
      </c>
      <c r="F769" s="6">
        <v>20</v>
      </c>
      <c r="G769">
        <v>61.011000000000003</v>
      </c>
    </row>
    <row r="770" spans="1:7" x14ac:dyDescent="0.25">
      <c r="A770" s="3" t="s">
        <v>72</v>
      </c>
      <c r="B770" s="6" t="s">
        <v>529</v>
      </c>
      <c r="D770" s="6">
        <v>73</v>
      </c>
      <c r="E770" s="6">
        <v>79.5</v>
      </c>
      <c r="F770" s="6">
        <v>23</v>
      </c>
      <c r="G770">
        <v>69.206999999999994</v>
      </c>
    </row>
    <row r="771" spans="1:7" x14ac:dyDescent="0.25">
      <c r="A771" s="3" t="s">
        <v>72</v>
      </c>
      <c r="B771" s="6" t="s">
        <v>101</v>
      </c>
      <c r="D771" s="6">
        <v>76</v>
      </c>
      <c r="E771" s="6">
        <v>82</v>
      </c>
      <c r="F771" s="6">
        <v>21</v>
      </c>
      <c r="G771">
        <v>62.124000000000002</v>
      </c>
    </row>
    <row r="772" spans="1:7" x14ac:dyDescent="0.25">
      <c r="A772" s="3" t="s">
        <v>72</v>
      </c>
      <c r="B772" s="6" t="s">
        <v>98</v>
      </c>
      <c r="D772" s="6">
        <v>72</v>
      </c>
      <c r="E772" s="6">
        <v>75</v>
      </c>
      <c r="F772" s="6">
        <v>18</v>
      </c>
      <c r="G772">
        <v>48.384</v>
      </c>
    </row>
    <row r="773" spans="1:7" x14ac:dyDescent="0.25">
      <c r="A773" s="3" t="s">
        <v>72</v>
      </c>
      <c r="B773" s="6" t="s">
        <v>94</v>
      </c>
      <c r="D773" s="6">
        <v>77.5</v>
      </c>
      <c r="E773" s="6">
        <v>83.5</v>
      </c>
      <c r="F773" s="6">
        <v>20</v>
      </c>
      <c r="G773">
        <v>67.811999999999998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804F-A259-964C-A6AE-A8DCBBDBEF8E}">
  <dimension ref="A1:D181"/>
  <sheetViews>
    <sheetView topLeftCell="A48" zoomScale="110" zoomScaleNormal="110" workbookViewId="0">
      <selection activeCell="D57" sqref="D57"/>
    </sheetView>
  </sheetViews>
  <sheetFormatPr defaultColWidth="11" defaultRowHeight="15.75" x14ac:dyDescent="0.25"/>
  <sheetData>
    <row r="1" spans="1:4" x14ac:dyDescent="0.25">
      <c r="A1" t="s">
        <v>2</v>
      </c>
      <c r="B1" t="s">
        <v>1420</v>
      </c>
      <c r="C1" t="s">
        <v>1421</v>
      </c>
      <c r="D1" t="s">
        <v>1422</v>
      </c>
    </row>
    <row r="2" spans="1:4" x14ac:dyDescent="0.25">
      <c r="A2">
        <v>1</v>
      </c>
      <c r="B2">
        <v>1</v>
      </c>
      <c r="C2" t="s">
        <v>1423</v>
      </c>
    </row>
    <row r="3" spans="1:4" x14ac:dyDescent="0.25">
      <c r="A3">
        <v>1</v>
      </c>
      <c r="B3">
        <v>2</v>
      </c>
      <c r="C3" t="s">
        <v>1424</v>
      </c>
    </row>
    <row r="4" spans="1:4" x14ac:dyDescent="0.25">
      <c r="A4">
        <v>1</v>
      </c>
      <c r="B4">
        <v>3</v>
      </c>
      <c r="C4" t="s">
        <v>1425</v>
      </c>
    </row>
    <row r="5" spans="1:4" x14ac:dyDescent="0.25">
      <c r="A5">
        <v>1</v>
      </c>
      <c r="B5">
        <v>4</v>
      </c>
      <c r="C5" t="s">
        <v>1426</v>
      </c>
    </row>
    <row r="6" spans="1:4" x14ac:dyDescent="0.25">
      <c r="A6">
        <v>1</v>
      </c>
      <c r="B6">
        <v>5</v>
      </c>
      <c r="C6" t="s">
        <v>1427</v>
      </c>
    </row>
    <row r="7" spans="1:4" x14ac:dyDescent="0.25">
      <c r="A7">
        <v>1</v>
      </c>
      <c r="B7">
        <v>6</v>
      </c>
      <c r="C7" t="s">
        <v>1428</v>
      </c>
    </row>
    <row r="8" spans="1:4" x14ac:dyDescent="0.25">
      <c r="A8">
        <v>1</v>
      </c>
      <c r="B8">
        <v>7</v>
      </c>
      <c r="C8" t="s">
        <v>1429</v>
      </c>
    </row>
    <row r="9" spans="1:4" x14ac:dyDescent="0.25">
      <c r="A9">
        <v>1</v>
      </c>
      <c r="B9">
        <v>8</v>
      </c>
      <c r="C9" t="s">
        <v>1430</v>
      </c>
    </row>
    <row r="10" spans="1:4" x14ac:dyDescent="0.25">
      <c r="A10">
        <v>1</v>
      </c>
      <c r="B10">
        <v>9</v>
      </c>
      <c r="C10" t="s">
        <v>1431</v>
      </c>
    </row>
    <row r="11" spans="1:4" x14ac:dyDescent="0.25">
      <c r="A11">
        <v>2</v>
      </c>
      <c r="B11">
        <v>1</v>
      </c>
      <c r="C11" t="s">
        <v>1432</v>
      </c>
    </row>
    <row r="12" spans="1:4" x14ac:dyDescent="0.25">
      <c r="A12">
        <v>2</v>
      </c>
      <c r="B12">
        <v>2</v>
      </c>
      <c r="C12" t="s">
        <v>1433</v>
      </c>
    </row>
    <row r="13" spans="1:4" x14ac:dyDescent="0.25">
      <c r="A13">
        <v>2</v>
      </c>
      <c r="B13">
        <v>3</v>
      </c>
      <c r="C13" t="s">
        <v>1434</v>
      </c>
    </row>
    <row r="14" spans="1:4" x14ac:dyDescent="0.25">
      <c r="A14">
        <v>2</v>
      </c>
      <c r="B14">
        <v>4</v>
      </c>
      <c r="C14" t="s">
        <v>1435</v>
      </c>
    </row>
    <row r="15" spans="1:4" x14ac:dyDescent="0.25">
      <c r="A15">
        <v>2</v>
      </c>
      <c r="B15">
        <v>5</v>
      </c>
      <c r="C15" t="s">
        <v>1436</v>
      </c>
    </row>
    <row r="16" spans="1:4" x14ac:dyDescent="0.25">
      <c r="A16">
        <v>2</v>
      </c>
      <c r="B16">
        <v>6</v>
      </c>
      <c r="C16" t="s">
        <v>1437</v>
      </c>
    </row>
    <row r="17" spans="1:3" x14ac:dyDescent="0.25">
      <c r="A17">
        <v>2</v>
      </c>
      <c r="B17">
        <v>7</v>
      </c>
      <c r="C17" t="s">
        <v>1438</v>
      </c>
    </row>
    <row r="18" spans="1:3" x14ac:dyDescent="0.25">
      <c r="A18">
        <v>2</v>
      </c>
      <c r="B18">
        <v>8</v>
      </c>
      <c r="C18" t="s">
        <v>1439</v>
      </c>
    </row>
    <row r="19" spans="1:3" x14ac:dyDescent="0.25">
      <c r="A19">
        <v>2</v>
      </c>
      <c r="B19">
        <v>9</v>
      </c>
      <c r="C19" t="s">
        <v>1440</v>
      </c>
    </row>
    <row r="20" spans="1:3" x14ac:dyDescent="0.25">
      <c r="A20">
        <v>3</v>
      </c>
      <c r="B20">
        <v>1</v>
      </c>
      <c r="C20" t="s">
        <v>1441</v>
      </c>
    </row>
    <row r="21" spans="1:3" x14ac:dyDescent="0.25">
      <c r="A21">
        <v>3</v>
      </c>
      <c r="B21">
        <v>2</v>
      </c>
      <c r="C21" t="s">
        <v>1442</v>
      </c>
    </row>
    <row r="22" spans="1:3" x14ac:dyDescent="0.25">
      <c r="A22">
        <v>3</v>
      </c>
      <c r="B22">
        <v>3</v>
      </c>
      <c r="C22" t="s">
        <v>1443</v>
      </c>
    </row>
    <row r="23" spans="1:3" x14ac:dyDescent="0.25">
      <c r="A23">
        <v>3</v>
      </c>
      <c r="B23">
        <v>4</v>
      </c>
      <c r="C23" t="s">
        <v>1444</v>
      </c>
    </row>
    <row r="24" spans="1:3" x14ac:dyDescent="0.25">
      <c r="A24">
        <v>3</v>
      </c>
      <c r="B24">
        <v>5</v>
      </c>
      <c r="C24" t="s">
        <v>1445</v>
      </c>
    </row>
    <row r="25" spans="1:3" x14ac:dyDescent="0.25">
      <c r="A25">
        <v>3</v>
      </c>
      <c r="B25">
        <v>6</v>
      </c>
      <c r="C25" t="s">
        <v>1446</v>
      </c>
    </row>
    <row r="26" spans="1:3" x14ac:dyDescent="0.25">
      <c r="A26">
        <v>3</v>
      </c>
      <c r="B26">
        <v>7</v>
      </c>
      <c r="C26" t="s">
        <v>1447</v>
      </c>
    </row>
    <row r="27" spans="1:3" x14ac:dyDescent="0.25">
      <c r="A27">
        <v>3</v>
      </c>
      <c r="B27">
        <v>8</v>
      </c>
      <c r="C27" t="s">
        <v>1448</v>
      </c>
    </row>
    <row r="28" spans="1:3" x14ac:dyDescent="0.25">
      <c r="A28">
        <v>3</v>
      </c>
      <c r="B28">
        <v>9</v>
      </c>
      <c r="C28" t="s">
        <v>1449</v>
      </c>
    </row>
    <row r="29" spans="1:3" x14ac:dyDescent="0.25">
      <c r="A29">
        <v>4</v>
      </c>
      <c r="B29">
        <v>1</v>
      </c>
      <c r="C29" t="s">
        <v>1450</v>
      </c>
    </row>
    <row r="30" spans="1:3" x14ac:dyDescent="0.25">
      <c r="A30">
        <v>4</v>
      </c>
      <c r="B30">
        <v>2</v>
      </c>
      <c r="C30" t="s">
        <v>1451</v>
      </c>
    </row>
    <row r="31" spans="1:3" x14ac:dyDescent="0.25">
      <c r="A31">
        <v>4</v>
      </c>
      <c r="B31">
        <v>3</v>
      </c>
      <c r="C31" t="s">
        <v>1452</v>
      </c>
    </row>
    <row r="32" spans="1:3" x14ac:dyDescent="0.25">
      <c r="A32">
        <v>4</v>
      </c>
      <c r="B32">
        <v>4</v>
      </c>
      <c r="C32" t="s">
        <v>1453</v>
      </c>
    </row>
    <row r="33" spans="1:4" x14ac:dyDescent="0.25">
      <c r="A33">
        <v>4</v>
      </c>
      <c r="B33">
        <v>5</v>
      </c>
      <c r="C33" t="s">
        <v>1454</v>
      </c>
    </row>
    <row r="34" spans="1:4" x14ac:dyDescent="0.25">
      <c r="A34">
        <v>4</v>
      </c>
      <c r="B34">
        <v>6</v>
      </c>
      <c r="C34" t="s">
        <v>1455</v>
      </c>
    </row>
    <row r="35" spans="1:4" x14ac:dyDescent="0.25">
      <c r="A35">
        <v>4</v>
      </c>
      <c r="B35">
        <v>7</v>
      </c>
      <c r="C35" t="s">
        <v>1456</v>
      </c>
    </row>
    <row r="36" spans="1:4" x14ac:dyDescent="0.25">
      <c r="A36">
        <v>4</v>
      </c>
      <c r="B36">
        <v>8</v>
      </c>
      <c r="C36" t="s">
        <v>1457</v>
      </c>
    </row>
    <row r="37" spans="1:4" x14ac:dyDescent="0.25">
      <c r="A37">
        <v>4</v>
      </c>
      <c r="B37">
        <v>9</v>
      </c>
      <c r="C37" t="s">
        <v>1458</v>
      </c>
    </row>
    <row r="38" spans="1:4" x14ac:dyDescent="0.25">
      <c r="A38">
        <v>5</v>
      </c>
      <c r="B38">
        <v>1</v>
      </c>
      <c r="C38" t="s">
        <v>1459</v>
      </c>
    </row>
    <row r="39" spans="1:4" x14ac:dyDescent="0.25">
      <c r="A39">
        <v>5</v>
      </c>
      <c r="B39">
        <v>2</v>
      </c>
      <c r="C39" t="s">
        <v>1460</v>
      </c>
    </row>
    <row r="40" spans="1:4" x14ac:dyDescent="0.25">
      <c r="A40">
        <v>5</v>
      </c>
      <c r="B40">
        <v>3</v>
      </c>
      <c r="C40" t="s">
        <v>1461</v>
      </c>
    </row>
    <row r="41" spans="1:4" x14ac:dyDescent="0.25">
      <c r="A41">
        <v>5</v>
      </c>
      <c r="B41">
        <v>4</v>
      </c>
      <c r="C41" t="s">
        <v>1462</v>
      </c>
    </row>
    <row r="42" spans="1:4" x14ac:dyDescent="0.25">
      <c r="A42">
        <v>5</v>
      </c>
      <c r="B42">
        <v>5</v>
      </c>
      <c r="C42" t="s">
        <v>1463</v>
      </c>
    </row>
    <row r="43" spans="1:4" x14ac:dyDescent="0.25">
      <c r="A43">
        <v>5</v>
      </c>
      <c r="B43">
        <v>6</v>
      </c>
      <c r="C43" t="s">
        <v>1464</v>
      </c>
    </row>
    <row r="44" spans="1:4" x14ac:dyDescent="0.25">
      <c r="A44">
        <v>5</v>
      </c>
      <c r="B44">
        <v>7</v>
      </c>
      <c r="C44" t="s">
        <v>1465</v>
      </c>
    </row>
    <row r="45" spans="1:4" x14ac:dyDescent="0.25">
      <c r="A45">
        <v>5</v>
      </c>
      <c r="B45">
        <v>8</v>
      </c>
      <c r="C45" t="s">
        <v>1466</v>
      </c>
      <c r="D45" t="s">
        <v>1467</v>
      </c>
    </row>
    <row r="46" spans="1:4" x14ac:dyDescent="0.25">
      <c r="A46">
        <v>5</v>
      </c>
      <c r="B46">
        <v>9</v>
      </c>
      <c r="C46" t="s">
        <v>1468</v>
      </c>
    </row>
    <row r="47" spans="1:4" x14ac:dyDescent="0.25">
      <c r="A47">
        <v>6</v>
      </c>
      <c r="B47">
        <v>1</v>
      </c>
      <c r="C47" t="s">
        <v>396</v>
      </c>
    </row>
    <row r="48" spans="1:4" x14ac:dyDescent="0.25">
      <c r="A48">
        <v>6</v>
      </c>
      <c r="B48">
        <v>2</v>
      </c>
      <c r="C48" t="s">
        <v>405</v>
      </c>
    </row>
    <row r="49" spans="1:4" x14ac:dyDescent="0.25">
      <c r="A49">
        <v>6</v>
      </c>
      <c r="B49">
        <v>3</v>
      </c>
      <c r="C49" t="s">
        <v>418</v>
      </c>
    </row>
    <row r="50" spans="1:4" x14ac:dyDescent="0.25">
      <c r="A50">
        <v>6</v>
      </c>
      <c r="B50">
        <v>4</v>
      </c>
      <c r="C50" t="s">
        <v>428</v>
      </c>
    </row>
    <row r="51" spans="1:4" x14ac:dyDescent="0.25">
      <c r="A51">
        <v>6</v>
      </c>
      <c r="B51">
        <v>5</v>
      </c>
      <c r="C51" t="s">
        <v>435</v>
      </c>
    </row>
    <row r="52" spans="1:4" x14ac:dyDescent="0.25">
      <c r="A52">
        <v>6</v>
      </c>
      <c r="B52">
        <v>6</v>
      </c>
      <c r="C52" t="s">
        <v>441</v>
      </c>
    </row>
    <row r="53" spans="1:4" x14ac:dyDescent="0.25">
      <c r="A53">
        <v>6</v>
      </c>
      <c r="B53">
        <v>7</v>
      </c>
      <c r="C53" t="s">
        <v>450</v>
      </c>
      <c r="D53" t="s">
        <v>1469</v>
      </c>
    </row>
    <row r="54" spans="1:4" x14ac:dyDescent="0.25">
      <c r="A54">
        <v>6</v>
      </c>
      <c r="B54">
        <v>8</v>
      </c>
      <c r="C54" t="s">
        <v>453</v>
      </c>
    </row>
    <row r="55" spans="1:4" x14ac:dyDescent="0.25">
      <c r="A55">
        <v>6</v>
      </c>
      <c r="B55">
        <v>9</v>
      </c>
      <c r="C55" t="s">
        <v>461</v>
      </c>
    </row>
    <row r="56" spans="1:4" x14ac:dyDescent="0.25">
      <c r="A56">
        <v>7</v>
      </c>
      <c r="B56">
        <v>1</v>
      </c>
      <c r="C56" t="s">
        <v>470</v>
      </c>
    </row>
    <row r="57" spans="1:4" x14ac:dyDescent="0.25">
      <c r="A57">
        <v>7</v>
      </c>
      <c r="B57">
        <v>2</v>
      </c>
      <c r="C57" t="s">
        <v>476</v>
      </c>
    </row>
    <row r="58" spans="1:4" x14ac:dyDescent="0.25">
      <c r="A58">
        <v>7</v>
      </c>
      <c r="B58">
        <v>3</v>
      </c>
      <c r="C58" t="s">
        <v>487</v>
      </c>
    </row>
    <row r="59" spans="1:4" x14ac:dyDescent="0.25">
      <c r="A59">
        <v>7</v>
      </c>
      <c r="B59">
        <v>4</v>
      </c>
      <c r="C59" t="s">
        <v>1470</v>
      </c>
    </row>
    <row r="60" spans="1:4" x14ac:dyDescent="0.25">
      <c r="A60">
        <v>7</v>
      </c>
      <c r="B60">
        <v>5</v>
      </c>
      <c r="C60" t="s">
        <v>500</v>
      </c>
    </row>
    <row r="61" spans="1:4" x14ac:dyDescent="0.25">
      <c r="A61">
        <v>7</v>
      </c>
      <c r="B61">
        <v>6</v>
      </c>
      <c r="C61" t="s">
        <v>510</v>
      </c>
    </row>
    <row r="62" spans="1:4" x14ac:dyDescent="0.25">
      <c r="A62">
        <v>7</v>
      </c>
      <c r="B62">
        <v>7</v>
      </c>
      <c r="C62" t="s">
        <v>514</v>
      </c>
    </row>
    <row r="63" spans="1:4" x14ac:dyDescent="0.25">
      <c r="A63">
        <v>7</v>
      </c>
      <c r="B63">
        <v>8</v>
      </c>
      <c r="C63" t="s">
        <v>530</v>
      </c>
    </row>
    <row r="64" spans="1:4" x14ac:dyDescent="0.25">
      <c r="A64">
        <v>7</v>
      </c>
      <c r="B64">
        <v>9</v>
      </c>
      <c r="C64" t="s">
        <v>532</v>
      </c>
    </row>
    <row r="65" spans="1:3" x14ac:dyDescent="0.25">
      <c r="A65">
        <v>8</v>
      </c>
      <c r="B65">
        <v>1</v>
      </c>
      <c r="C65" t="s">
        <v>541</v>
      </c>
    </row>
    <row r="66" spans="1:3" x14ac:dyDescent="0.25">
      <c r="A66">
        <v>8</v>
      </c>
      <c r="B66">
        <v>2</v>
      </c>
      <c r="C66" t="s">
        <v>547</v>
      </c>
    </row>
    <row r="67" spans="1:3" x14ac:dyDescent="0.25">
      <c r="A67">
        <v>8</v>
      </c>
      <c r="B67">
        <v>3</v>
      </c>
      <c r="C67" t="s">
        <v>551</v>
      </c>
    </row>
    <row r="68" spans="1:3" x14ac:dyDescent="0.25">
      <c r="A68">
        <v>8</v>
      </c>
      <c r="B68">
        <v>4</v>
      </c>
      <c r="C68" t="s">
        <v>1175</v>
      </c>
    </row>
    <row r="69" spans="1:3" x14ac:dyDescent="0.25">
      <c r="A69">
        <v>8</v>
      </c>
      <c r="B69">
        <v>5</v>
      </c>
      <c r="C69" t="s">
        <v>1305</v>
      </c>
    </row>
    <row r="70" spans="1:3" x14ac:dyDescent="0.25">
      <c r="A70">
        <v>8</v>
      </c>
      <c r="B70">
        <v>6</v>
      </c>
      <c r="C70" t="s">
        <v>1228</v>
      </c>
    </row>
    <row r="71" spans="1:3" x14ac:dyDescent="0.25">
      <c r="A71">
        <v>8</v>
      </c>
      <c r="B71">
        <v>7</v>
      </c>
      <c r="C71" t="s">
        <v>570</v>
      </c>
    </row>
    <row r="72" spans="1:3" x14ac:dyDescent="0.25">
      <c r="A72">
        <v>8</v>
      </c>
      <c r="B72">
        <v>8</v>
      </c>
      <c r="C72" t="s">
        <v>581</v>
      </c>
    </row>
    <row r="73" spans="1:3" x14ac:dyDescent="0.25">
      <c r="A73">
        <v>8</v>
      </c>
      <c r="B73">
        <v>9</v>
      </c>
      <c r="C73" t="s">
        <v>586</v>
      </c>
    </row>
    <row r="74" spans="1:3" x14ac:dyDescent="0.25">
      <c r="A74">
        <v>9</v>
      </c>
      <c r="B74">
        <v>1</v>
      </c>
      <c r="C74" t="s">
        <v>1471</v>
      </c>
    </row>
    <row r="75" spans="1:3" x14ac:dyDescent="0.25">
      <c r="A75">
        <v>9</v>
      </c>
      <c r="B75">
        <v>2</v>
      </c>
      <c r="C75" t="s">
        <v>1472</v>
      </c>
    </row>
    <row r="76" spans="1:3" x14ac:dyDescent="0.25">
      <c r="A76">
        <v>9</v>
      </c>
      <c r="B76">
        <v>3</v>
      </c>
      <c r="C76" t="s">
        <v>1473</v>
      </c>
    </row>
    <row r="77" spans="1:3" x14ac:dyDescent="0.25">
      <c r="A77">
        <v>9</v>
      </c>
      <c r="B77">
        <v>4</v>
      </c>
      <c r="C77" t="s">
        <v>614</v>
      </c>
    </row>
    <row r="78" spans="1:3" x14ac:dyDescent="0.25">
      <c r="A78">
        <v>9</v>
      </c>
      <c r="B78">
        <v>5</v>
      </c>
      <c r="C78" t="s">
        <v>1474</v>
      </c>
    </row>
    <row r="79" spans="1:3" x14ac:dyDescent="0.25">
      <c r="A79">
        <v>9</v>
      </c>
      <c r="B79">
        <v>6</v>
      </c>
      <c r="C79" t="s">
        <v>630</v>
      </c>
    </row>
    <row r="80" spans="1:3" x14ac:dyDescent="0.25">
      <c r="A80">
        <v>9</v>
      </c>
      <c r="B80">
        <v>7</v>
      </c>
      <c r="C80" t="s">
        <v>635</v>
      </c>
    </row>
    <row r="81" spans="1:3" x14ac:dyDescent="0.25">
      <c r="A81">
        <v>9</v>
      </c>
      <c r="B81">
        <v>8</v>
      </c>
      <c r="C81" t="s">
        <v>637</v>
      </c>
    </row>
    <row r="82" spans="1:3" x14ac:dyDescent="0.25">
      <c r="A82">
        <v>9</v>
      </c>
      <c r="B82">
        <v>9</v>
      </c>
      <c r="C82" t="s">
        <v>648</v>
      </c>
    </row>
    <row r="83" spans="1:3" x14ac:dyDescent="0.25">
      <c r="A83">
        <v>10</v>
      </c>
      <c r="B83">
        <v>1</v>
      </c>
      <c r="C83" t="s">
        <v>655</v>
      </c>
    </row>
    <row r="84" spans="1:3" x14ac:dyDescent="0.25">
      <c r="A84">
        <v>10</v>
      </c>
      <c r="B84">
        <v>2</v>
      </c>
      <c r="C84" t="s">
        <v>658</v>
      </c>
    </row>
    <row r="85" spans="1:3" x14ac:dyDescent="0.25">
      <c r="A85">
        <v>10</v>
      </c>
      <c r="B85">
        <v>3</v>
      </c>
      <c r="C85" t="s">
        <v>667</v>
      </c>
    </row>
    <row r="86" spans="1:3" x14ac:dyDescent="0.25">
      <c r="A86">
        <v>10</v>
      </c>
      <c r="B86">
        <v>4</v>
      </c>
      <c r="C86" t="s">
        <v>1475</v>
      </c>
    </row>
    <row r="87" spans="1:3" x14ac:dyDescent="0.25">
      <c r="A87">
        <v>10</v>
      </c>
      <c r="B87">
        <v>5</v>
      </c>
      <c r="C87" t="s">
        <v>1476</v>
      </c>
    </row>
    <row r="88" spans="1:3" x14ac:dyDescent="0.25">
      <c r="A88">
        <v>10</v>
      </c>
      <c r="B88">
        <v>6</v>
      </c>
      <c r="C88" t="s">
        <v>1477</v>
      </c>
    </row>
    <row r="89" spans="1:3" x14ac:dyDescent="0.25">
      <c r="A89">
        <v>10</v>
      </c>
      <c r="B89">
        <v>7</v>
      </c>
      <c r="C89" t="s">
        <v>1478</v>
      </c>
    </row>
    <row r="90" spans="1:3" x14ac:dyDescent="0.25">
      <c r="A90">
        <v>10</v>
      </c>
      <c r="B90">
        <v>8</v>
      </c>
      <c r="C90" t="s">
        <v>1479</v>
      </c>
    </row>
    <row r="91" spans="1:3" x14ac:dyDescent="0.25">
      <c r="A91">
        <v>10</v>
      </c>
      <c r="B91">
        <v>9</v>
      </c>
      <c r="C91" t="s">
        <v>1480</v>
      </c>
    </row>
    <row r="92" spans="1:3" x14ac:dyDescent="0.25">
      <c r="A92">
        <v>11</v>
      </c>
      <c r="B92">
        <v>1</v>
      </c>
      <c r="C92" t="s">
        <v>1481</v>
      </c>
    </row>
    <row r="93" spans="1:3" x14ac:dyDescent="0.25">
      <c r="A93">
        <v>11</v>
      </c>
      <c r="B93">
        <v>2</v>
      </c>
      <c r="C93" t="s">
        <v>1482</v>
      </c>
    </row>
    <row r="94" spans="1:3" x14ac:dyDescent="0.25">
      <c r="A94">
        <v>11</v>
      </c>
      <c r="B94">
        <v>3</v>
      </c>
      <c r="C94" t="s">
        <v>1483</v>
      </c>
    </row>
    <row r="95" spans="1:3" x14ac:dyDescent="0.25">
      <c r="A95">
        <v>11</v>
      </c>
      <c r="B95">
        <v>4</v>
      </c>
      <c r="C95" t="s">
        <v>1484</v>
      </c>
    </row>
    <row r="96" spans="1:3" x14ac:dyDescent="0.25">
      <c r="A96">
        <v>11</v>
      </c>
      <c r="B96">
        <v>5</v>
      </c>
      <c r="C96" t="s">
        <v>1485</v>
      </c>
    </row>
    <row r="97" spans="1:3" x14ac:dyDescent="0.25">
      <c r="A97">
        <v>11</v>
      </c>
      <c r="B97">
        <v>6</v>
      </c>
      <c r="C97" t="s">
        <v>1486</v>
      </c>
    </row>
    <row r="98" spans="1:3" x14ac:dyDescent="0.25">
      <c r="A98">
        <v>11</v>
      </c>
      <c r="B98">
        <v>7</v>
      </c>
      <c r="C98" t="s">
        <v>1487</v>
      </c>
    </row>
    <row r="99" spans="1:3" x14ac:dyDescent="0.25">
      <c r="A99">
        <v>11</v>
      </c>
      <c r="B99">
        <v>8</v>
      </c>
      <c r="C99" t="s">
        <v>1488</v>
      </c>
    </row>
    <row r="100" spans="1:3" x14ac:dyDescent="0.25">
      <c r="A100">
        <v>11</v>
      </c>
      <c r="B100">
        <v>9</v>
      </c>
      <c r="C100" t="s">
        <v>1489</v>
      </c>
    </row>
    <row r="101" spans="1:3" x14ac:dyDescent="0.25">
      <c r="A101">
        <v>12</v>
      </c>
      <c r="B101">
        <v>1</v>
      </c>
      <c r="C101" t="s">
        <v>1490</v>
      </c>
    </row>
    <row r="102" spans="1:3" x14ac:dyDescent="0.25">
      <c r="A102">
        <v>12</v>
      </c>
      <c r="B102">
        <v>2</v>
      </c>
      <c r="C102" t="s">
        <v>1491</v>
      </c>
    </row>
    <row r="103" spans="1:3" x14ac:dyDescent="0.25">
      <c r="A103">
        <v>12</v>
      </c>
      <c r="B103">
        <v>3</v>
      </c>
      <c r="C103" t="s">
        <v>1492</v>
      </c>
    </row>
    <row r="104" spans="1:3" x14ac:dyDescent="0.25">
      <c r="A104">
        <v>12</v>
      </c>
      <c r="B104">
        <v>4</v>
      </c>
      <c r="C104" t="s">
        <v>1493</v>
      </c>
    </row>
    <row r="105" spans="1:3" x14ac:dyDescent="0.25">
      <c r="A105">
        <v>12</v>
      </c>
      <c r="B105">
        <v>5</v>
      </c>
      <c r="C105" t="s">
        <v>1494</v>
      </c>
    </row>
    <row r="106" spans="1:3" x14ac:dyDescent="0.25">
      <c r="A106">
        <v>12</v>
      </c>
      <c r="B106">
        <v>6</v>
      </c>
      <c r="C106" t="s">
        <v>1495</v>
      </c>
    </row>
    <row r="107" spans="1:3" x14ac:dyDescent="0.25">
      <c r="A107">
        <v>12</v>
      </c>
      <c r="B107">
        <v>7</v>
      </c>
      <c r="C107" t="s">
        <v>1496</v>
      </c>
    </row>
    <row r="108" spans="1:3" x14ac:dyDescent="0.25">
      <c r="A108">
        <v>12</v>
      </c>
      <c r="B108">
        <v>8</v>
      </c>
      <c r="C108" t="s">
        <v>1497</v>
      </c>
    </row>
    <row r="109" spans="1:3" x14ac:dyDescent="0.25">
      <c r="A109">
        <v>12</v>
      </c>
      <c r="B109">
        <v>9</v>
      </c>
      <c r="C109" t="s">
        <v>1498</v>
      </c>
    </row>
    <row r="110" spans="1:3" x14ac:dyDescent="0.25">
      <c r="A110">
        <v>13</v>
      </c>
      <c r="B110">
        <v>1</v>
      </c>
      <c r="C110" t="s">
        <v>1499</v>
      </c>
    </row>
    <row r="111" spans="1:3" x14ac:dyDescent="0.25">
      <c r="A111">
        <v>13</v>
      </c>
      <c r="B111">
        <v>2</v>
      </c>
      <c r="C111" t="s">
        <v>1500</v>
      </c>
    </row>
    <row r="112" spans="1:3" x14ac:dyDescent="0.25">
      <c r="A112">
        <v>13</v>
      </c>
      <c r="B112">
        <v>3</v>
      </c>
      <c r="C112" t="s">
        <v>1501</v>
      </c>
    </row>
    <row r="113" spans="1:3" x14ac:dyDescent="0.25">
      <c r="A113">
        <v>13</v>
      </c>
      <c r="B113">
        <v>4</v>
      </c>
      <c r="C113" t="s">
        <v>1502</v>
      </c>
    </row>
    <row r="114" spans="1:3" x14ac:dyDescent="0.25">
      <c r="A114">
        <v>13</v>
      </c>
      <c r="B114">
        <v>5</v>
      </c>
      <c r="C114" t="s">
        <v>1503</v>
      </c>
    </row>
    <row r="115" spans="1:3" x14ac:dyDescent="0.25">
      <c r="A115">
        <v>13</v>
      </c>
      <c r="B115">
        <v>6</v>
      </c>
      <c r="C115" t="s">
        <v>1504</v>
      </c>
    </row>
    <row r="116" spans="1:3" x14ac:dyDescent="0.25">
      <c r="A116">
        <v>13</v>
      </c>
      <c r="B116">
        <v>7</v>
      </c>
      <c r="C116" t="s">
        <v>1505</v>
      </c>
    </row>
    <row r="117" spans="1:3" x14ac:dyDescent="0.25">
      <c r="A117">
        <v>13</v>
      </c>
      <c r="B117">
        <v>8</v>
      </c>
      <c r="C117" t="s">
        <v>1506</v>
      </c>
    </row>
    <row r="118" spans="1:3" x14ac:dyDescent="0.25">
      <c r="A118">
        <v>13</v>
      </c>
      <c r="B118">
        <v>9</v>
      </c>
      <c r="C118" t="s">
        <v>1507</v>
      </c>
    </row>
    <row r="119" spans="1:3" x14ac:dyDescent="0.25">
      <c r="A119">
        <v>14</v>
      </c>
      <c r="B119">
        <v>1</v>
      </c>
      <c r="C119" t="s">
        <v>1508</v>
      </c>
    </row>
    <row r="120" spans="1:3" x14ac:dyDescent="0.25">
      <c r="A120">
        <v>14</v>
      </c>
      <c r="B120">
        <v>2</v>
      </c>
      <c r="C120" t="s">
        <v>1509</v>
      </c>
    </row>
    <row r="121" spans="1:3" x14ac:dyDescent="0.25">
      <c r="A121">
        <v>14</v>
      </c>
      <c r="B121">
        <v>3</v>
      </c>
      <c r="C121" t="s">
        <v>1510</v>
      </c>
    </row>
    <row r="122" spans="1:3" x14ac:dyDescent="0.25">
      <c r="A122">
        <v>14</v>
      </c>
      <c r="B122">
        <v>4</v>
      </c>
      <c r="C122" t="s">
        <v>1511</v>
      </c>
    </row>
    <row r="123" spans="1:3" x14ac:dyDescent="0.25">
      <c r="A123">
        <v>14</v>
      </c>
      <c r="B123">
        <v>5</v>
      </c>
      <c r="C123" t="s">
        <v>1512</v>
      </c>
    </row>
    <row r="124" spans="1:3" x14ac:dyDescent="0.25">
      <c r="A124">
        <v>14</v>
      </c>
      <c r="B124">
        <v>6</v>
      </c>
      <c r="C124" t="s">
        <v>1513</v>
      </c>
    </row>
    <row r="125" spans="1:3" x14ac:dyDescent="0.25">
      <c r="A125">
        <v>14</v>
      </c>
      <c r="B125">
        <v>7</v>
      </c>
      <c r="C125" t="s">
        <v>1514</v>
      </c>
    </row>
    <row r="126" spans="1:3" x14ac:dyDescent="0.25">
      <c r="A126">
        <v>14</v>
      </c>
      <c r="B126">
        <v>8</v>
      </c>
      <c r="C126" t="s">
        <v>1515</v>
      </c>
    </row>
    <row r="127" spans="1:3" x14ac:dyDescent="0.25">
      <c r="A127">
        <v>14</v>
      </c>
      <c r="B127">
        <v>9</v>
      </c>
      <c r="C127" t="s">
        <v>1516</v>
      </c>
    </row>
    <row r="128" spans="1:3" x14ac:dyDescent="0.25">
      <c r="A128">
        <v>15</v>
      </c>
      <c r="B128">
        <v>1</v>
      </c>
      <c r="C128" t="s">
        <v>1517</v>
      </c>
    </row>
    <row r="129" spans="1:3" x14ac:dyDescent="0.25">
      <c r="A129">
        <v>15</v>
      </c>
      <c r="B129">
        <v>2</v>
      </c>
      <c r="C129" t="s">
        <v>1518</v>
      </c>
    </row>
    <row r="130" spans="1:3" x14ac:dyDescent="0.25">
      <c r="A130">
        <v>15</v>
      </c>
      <c r="B130">
        <v>3</v>
      </c>
      <c r="C130" t="s">
        <v>1519</v>
      </c>
    </row>
    <row r="131" spans="1:3" x14ac:dyDescent="0.25">
      <c r="A131">
        <v>15</v>
      </c>
      <c r="B131">
        <v>4</v>
      </c>
      <c r="C131" t="s">
        <v>1520</v>
      </c>
    </row>
    <row r="132" spans="1:3" x14ac:dyDescent="0.25">
      <c r="A132">
        <v>15</v>
      </c>
      <c r="B132">
        <v>5</v>
      </c>
      <c r="C132" t="s">
        <v>1521</v>
      </c>
    </row>
    <row r="133" spans="1:3" x14ac:dyDescent="0.25">
      <c r="A133">
        <v>15</v>
      </c>
      <c r="B133">
        <v>6</v>
      </c>
      <c r="C133" t="s">
        <v>1522</v>
      </c>
    </row>
    <row r="134" spans="1:3" x14ac:dyDescent="0.25">
      <c r="A134">
        <v>15</v>
      </c>
      <c r="B134">
        <v>7</v>
      </c>
      <c r="C134" t="s">
        <v>1523</v>
      </c>
    </row>
    <row r="135" spans="1:3" x14ac:dyDescent="0.25">
      <c r="A135">
        <v>15</v>
      </c>
      <c r="B135">
        <v>8</v>
      </c>
      <c r="C135" t="s">
        <v>1524</v>
      </c>
    </row>
    <row r="136" spans="1:3" x14ac:dyDescent="0.25">
      <c r="A136">
        <v>15</v>
      </c>
      <c r="B136">
        <v>9</v>
      </c>
      <c r="C136" t="s">
        <v>1525</v>
      </c>
    </row>
    <row r="137" spans="1:3" x14ac:dyDescent="0.25">
      <c r="A137">
        <v>16</v>
      </c>
      <c r="B137">
        <v>1</v>
      </c>
      <c r="C137" t="s">
        <v>1526</v>
      </c>
    </row>
    <row r="138" spans="1:3" x14ac:dyDescent="0.25">
      <c r="A138">
        <v>16</v>
      </c>
      <c r="B138">
        <v>2</v>
      </c>
      <c r="C138" t="s">
        <v>1527</v>
      </c>
    </row>
    <row r="139" spans="1:3" x14ac:dyDescent="0.25">
      <c r="A139">
        <v>16</v>
      </c>
      <c r="B139">
        <v>3</v>
      </c>
      <c r="C139" t="s">
        <v>1528</v>
      </c>
    </row>
    <row r="140" spans="1:3" x14ac:dyDescent="0.25">
      <c r="A140">
        <v>16</v>
      </c>
      <c r="B140">
        <v>4</v>
      </c>
      <c r="C140" t="s">
        <v>1529</v>
      </c>
    </row>
    <row r="141" spans="1:3" x14ac:dyDescent="0.25">
      <c r="A141">
        <v>16</v>
      </c>
      <c r="B141">
        <v>5</v>
      </c>
      <c r="C141" t="s">
        <v>1530</v>
      </c>
    </row>
    <row r="142" spans="1:3" x14ac:dyDescent="0.25">
      <c r="A142">
        <v>16</v>
      </c>
      <c r="B142">
        <v>6</v>
      </c>
      <c r="C142" t="s">
        <v>1531</v>
      </c>
    </row>
    <row r="143" spans="1:3" x14ac:dyDescent="0.25">
      <c r="A143">
        <v>16</v>
      </c>
      <c r="B143">
        <v>7</v>
      </c>
      <c r="C143" t="s">
        <v>1532</v>
      </c>
    </row>
    <row r="144" spans="1:3" x14ac:dyDescent="0.25">
      <c r="A144">
        <v>16</v>
      </c>
      <c r="B144">
        <v>8</v>
      </c>
      <c r="C144" t="s">
        <v>1533</v>
      </c>
    </row>
    <row r="145" spans="1:3" x14ac:dyDescent="0.25">
      <c r="A145">
        <v>16</v>
      </c>
      <c r="B145">
        <v>9</v>
      </c>
      <c r="C145" t="s">
        <v>1534</v>
      </c>
    </row>
    <row r="146" spans="1:3" x14ac:dyDescent="0.25">
      <c r="A146">
        <v>17</v>
      </c>
      <c r="B146">
        <v>1</v>
      </c>
      <c r="C146" t="s">
        <v>1535</v>
      </c>
    </row>
    <row r="147" spans="1:3" x14ac:dyDescent="0.25">
      <c r="A147">
        <v>17</v>
      </c>
      <c r="B147">
        <v>2</v>
      </c>
      <c r="C147" t="s">
        <v>1536</v>
      </c>
    </row>
    <row r="148" spans="1:3" x14ac:dyDescent="0.25">
      <c r="A148">
        <v>17</v>
      </c>
      <c r="B148">
        <v>3</v>
      </c>
      <c r="C148" t="s">
        <v>1526</v>
      </c>
    </row>
    <row r="149" spans="1:3" x14ac:dyDescent="0.25">
      <c r="A149">
        <v>17</v>
      </c>
      <c r="B149">
        <v>4</v>
      </c>
      <c r="C149" t="s">
        <v>1537</v>
      </c>
    </row>
    <row r="150" spans="1:3" x14ac:dyDescent="0.25">
      <c r="A150">
        <v>17</v>
      </c>
      <c r="B150">
        <v>5</v>
      </c>
      <c r="C150" t="s">
        <v>1538</v>
      </c>
    </row>
    <row r="151" spans="1:3" x14ac:dyDescent="0.25">
      <c r="A151">
        <v>17</v>
      </c>
      <c r="B151">
        <v>6</v>
      </c>
      <c r="C151" t="s">
        <v>1539</v>
      </c>
    </row>
    <row r="152" spans="1:3" x14ac:dyDescent="0.25">
      <c r="A152">
        <v>17</v>
      </c>
      <c r="B152">
        <v>7</v>
      </c>
      <c r="C152" t="s">
        <v>1540</v>
      </c>
    </row>
    <row r="153" spans="1:3" x14ac:dyDescent="0.25">
      <c r="A153">
        <v>17</v>
      </c>
      <c r="B153">
        <v>8</v>
      </c>
      <c r="C153" t="s">
        <v>1541</v>
      </c>
    </row>
    <row r="154" spans="1:3" x14ac:dyDescent="0.25">
      <c r="A154">
        <v>17</v>
      </c>
      <c r="B154">
        <v>9</v>
      </c>
      <c r="C154" t="s">
        <v>1542</v>
      </c>
    </row>
    <row r="155" spans="1:3" x14ac:dyDescent="0.25">
      <c r="A155">
        <v>18</v>
      </c>
      <c r="B155">
        <v>1</v>
      </c>
      <c r="C155" t="s">
        <v>1543</v>
      </c>
    </row>
    <row r="156" spans="1:3" x14ac:dyDescent="0.25">
      <c r="A156">
        <v>18</v>
      </c>
      <c r="B156">
        <v>2</v>
      </c>
      <c r="C156" t="s">
        <v>1544</v>
      </c>
    </row>
    <row r="157" spans="1:3" x14ac:dyDescent="0.25">
      <c r="A157">
        <v>18</v>
      </c>
      <c r="B157">
        <v>3</v>
      </c>
      <c r="C157" t="s">
        <v>1545</v>
      </c>
    </row>
    <row r="158" spans="1:3" x14ac:dyDescent="0.25">
      <c r="A158">
        <v>18</v>
      </c>
      <c r="B158">
        <v>4</v>
      </c>
      <c r="C158" t="s">
        <v>1546</v>
      </c>
    </row>
    <row r="159" spans="1:3" x14ac:dyDescent="0.25">
      <c r="A159">
        <v>18</v>
      </c>
      <c r="B159">
        <v>5</v>
      </c>
      <c r="C159" t="s">
        <v>1547</v>
      </c>
    </row>
    <row r="160" spans="1:3" x14ac:dyDescent="0.25">
      <c r="A160">
        <v>18</v>
      </c>
      <c r="B160">
        <v>6</v>
      </c>
      <c r="C160" t="s">
        <v>1548</v>
      </c>
    </row>
    <row r="161" spans="1:3" x14ac:dyDescent="0.25">
      <c r="A161">
        <v>18</v>
      </c>
      <c r="B161">
        <v>7</v>
      </c>
      <c r="C161" t="s">
        <v>1448</v>
      </c>
    </row>
    <row r="162" spans="1:3" x14ac:dyDescent="0.25">
      <c r="A162">
        <v>18</v>
      </c>
      <c r="B162">
        <v>8</v>
      </c>
      <c r="C162" t="s">
        <v>1549</v>
      </c>
    </row>
    <row r="163" spans="1:3" x14ac:dyDescent="0.25">
      <c r="A163">
        <v>18</v>
      </c>
      <c r="B163">
        <v>9</v>
      </c>
      <c r="C163" t="s">
        <v>1550</v>
      </c>
    </row>
    <row r="164" spans="1:3" x14ac:dyDescent="0.25">
      <c r="A164">
        <v>19</v>
      </c>
      <c r="B164">
        <v>1</v>
      </c>
      <c r="C164" t="s">
        <v>1551</v>
      </c>
    </row>
    <row r="165" spans="1:3" x14ac:dyDescent="0.25">
      <c r="A165">
        <v>19</v>
      </c>
      <c r="B165">
        <v>2</v>
      </c>
      <c r="C165" t="s">
        <v>1552</v>
      </c>
    </row>
    <row r="166" spans="1:3" x14ac:dyDescent="0.25">
      <c r="A166">
        <v>19</v>
      </c>
      <c r="B166">
        <v>3</v>
      </c>
      <c r="C166" t="s">
        <v>1553</v>
      </c>
    </row>
    <row r="167" spans="1:3" x14ac:dyDescent="0.25">
      <c r="A167">
        <v>19</v>
      </c>
      <c r="B167">
        <v>4</v>
      </c>
      <c r="C167" t="s">
        <v>1554</v>
      </c>
    </row>
    <row r="168" spans="1:3" x14ac:dyDescent="0.25">
      <c r="A168">
        <v>19</v>
      </c>
      <c r="B168">
        <v>5</v>
      </c>
      <c r="C168" t="s">
        <v>1555</v>
      </c>
    </row>
    <row r="169" spans="1:3" x14ac:dyDescent="0.25">
      <c r="A169">
        <v>19</v>
      </c>
      <c r="B169">
        <v>6</v>
      </c>
      <c r="C169" t="s">
        <v>1556</v>
      </c>
    </row>
    <row r="170" spans="1:3" x14ac:dyDescent="0.25">
      <c r="A170">
        <v>19</v>
      </c>
      <c r="B170">
        <v>7</v>
      </c>
      <c r="C170" t="s">
        <v>1557</v>
      </c>
    </row>
    <row r="171" spans="1:3" x14ac:dyDescent="0.25">
      <c r="A171">
        <v>19</v>
      </c>
      <c r="B171">
        <v>8</v>
      </c>
      <c r="C171" t="s">
        <v>1558</v>
      </c>
    </row>
    <row r="172" spans="1:3" x14ac:dyDescent="0.25">
      <c r="A172">
        <v>19</v>
      </c>
      <c r="B172">
        <v>9</v>
      </c>
      <c r="C172" t="s">
        <v>1559</v>
      </c>
    </row>
    <row r="173" spans="1:3" x14ac:dyDescent="0.25">
      <c r="A173">
        <v>20</v>
      </c>
      <c r="B173">
        <v>1</v>
      </c>
      <c r="C173" t="s">
        <v>1560</v>
      </c>
    </row>
    <row r="174" spans="1:3" x14ac:dyDescent="0.25">
      <c r="A174">
        <v>20</v>
      </c>
      <c r="B174">
        <v>2</v>
      </c>
      <c r="C174" t="s">
        <v>1561</v>
      </c>
    </row>
    <row r="175" spans="1:3" x14ac:dyDescent="0.25">
      <c r="A175">
        <v>20</v>
      </c>
      <c r="B175">
        <v>3</v>
      </c>
      <c r="C175" t="s">
        <v>1562</v>
      </c>
    </row>
    <row r="176" spans="1:3" x14ac:dyDescent="0.25">
      <c r="A176">
        <v>20</v>
      </c>
      <c r="B176">
        <v>4</v>
      </c>
      <c r="C176" t="s">
        <v>1563</v>
      </c>
    </row>
    <row r="177" spans="1:3" x14ac:dyDescent="0.25">
      <c r="A177">
        <v>20</v>
      </c>
      <c r="B177">
        <v>5</v>
      </c>
      <c r="C177" t="s">
        <v>1564</v>
      </c>
    </row>
    <row r="178" spans="1:3" x14ac:dyDescent="0.25">
      <c r="A178">
        <v>20</v>
      </c>
      <c r="B178">
        <v>6</v>
      </c>
      <c r="C178" t="s">
        <v>1565</v>
      </c>
    </row>
    <row r="179" spans="1:3" x14ac:dyDescent="0.25">
      <c r="A179">
        <v>20</v>
      </c>
      <c r="B179">
        <v>7</v>
      </c>
      <c r="C179" t="s">
        <v>1566</v>
      </c>
    </row>
    <row r="180" spans="1:3" x14ac:dyDescent="0.25">
      <c r="A180">
        <v>20</v>
      </c>
      <c r="B180">
        <v>8</v>
      </c>
      <c r="C180" t="s">
        <v>1567</v>
      </c>
    </row>
    <row r="181" spans="1:3" x14ac:dyDescent="0.25">
      <c r="A181">
        <v>20</v>
      </c>
      <c r="B181">
        <v>9</v>
      </c>
      <c r="C181" t="s">
        <v>1568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64891b-fa03-4fb1-a092-31ef8f540ecb">
      <Terms xmlns="http://schemas.microsoft.com/office/infopath/2007/PartnerControls"/>
    </lcf76f155ced4ddcb4097134ff3c332f>
    <TaxCatchAll xmlns="5550a5bc-a596-4b67-9c99-647c66ecfd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E6CC1808C4BD42BF29501F7CA1A6AC" ma:contentTypeVersion="18" ma:contentTypeDescription="Create a new document." ma:contentTypeScope="" ma:versionID="03e63cbb86a6f486e25c53871da09d5a">
  <xsd:schema xmlns:xsd="http://www.w3.org/2001/XMLSchema" xmlns:xs="http://www.w3.org/2001/XMLSchema" xmlns:p="http://schemas.microsoft.com/office/2006/metadata/properties" xmlns:ns2="2a64891b-fa03-4fb1-a092-31ef8f540ecb" xmlns:ns3="5550a5bc-a596-4b67-9c99-647c66ecfdd3" targetNamespace="http://schemas.microsoft.com/office/2006/metadata/properties" ma:root="true" ma:fieldsID="c5172554fb0c52baf3466013f0649e3e" ns2:_="" ns3:_="">
    <xsd:import namespace="2a64891b-fa03-4fb1-a092-31ef8f540ecb"/>
    <xsd:import namespace="5550a5bc-a596-4b67-9c99-647c66ecfd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4891b-fa03-4fb1-a092-31ef8f540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04022ad-ef34-4d1e-9200-18c9974f96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0a5bc-a596-4b67-9c99-647c66ecfdd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5a14b-ad50-405f-8dbe-70eb91d2d67d}" ma:internalName="TaxCatchAll" ma:showField="CatchAllData" ma:web="5550a5bc-a596-4b67-9c99-647c66ecfd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055D2-108C-448D-8C79-5C86647E9D58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5550a5bc-a596-4b67-9c99-647c66ecfdd3"/>
    <ds:schemaRef ds:uri="http://purl.org/dc/dcmitype/"/>
    <ds:schemaRef ds:uri="http://purl.org/dc/terms/"/>
    <ds:schemaRef ds:uri="http://schemas.microsoft.com/office/infopath/2007/PartnerControls"/>
    <ds:schemaRef ds:uri="2a64891b-fa03-4fb1-a092-31ef8f540ec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48F43F0-AE3C-499C-A512-C7C0522A0C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3EAA88-CDBE-4D3F-BD8B-1FF157346F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4891b-fa03-4fb1-a092-31ef8f540ecb"/>
    <ds:schemaRef ds:uri="5550a5bc-a596-4b67-9c99-647c66ecfd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Master Renamed</vt:lpstr>
      <vt:lpstr>Tagging key</vt:lpstr>
      <vt:lpstr>Feeding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Gossner</dc:creator>
  <cp:keywords/>
  <dc:description/>
  <cp:lastModifiedBy>Olivia Boyan</cp:lastModifiedBy>
  <cp:revision/>
  <dcterms:created xsi:type="dcterms:W3CDTF">2025-06-19T19:11:20Z</dcterms:created>
  <dcterms:modified xsi:type="dcterms:W3CDTF">2025-11-04T03:17:05Z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0x01010045E6CC1808C4BD42BF29501F7CA1A6AC</vt:lpwstr>
  </property>
  <property fmtid="{D5CDD505-2E9C-101B-9397-08002B2CF9AE}" pid="3" name="MediaServiceImageTags">
    <vt:lpwstr/>
  </property>
</Properties>
</file>